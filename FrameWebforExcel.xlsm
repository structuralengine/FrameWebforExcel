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sac\Documents\Visual Studio 2017\Projects\FrameWebforExcel\"/>
    </mc:Choice>
  </mc:AlternateContent>
  <bookViews>
    <workbookView xWindow="0" yWindow="0" windowWidth="11775" windowHeight="7575" tabRatio="842"/>
  </bookViews>
  <sheets>
    <sheet name="ご利用方法" sheetId="13" r:id="rId1"/>
    <sheet name="格点" sheetId="18" r:id="rId2"/>
    <sheet name="支点" sheetId="19" r:id="rId3"/>
    <sheet name="部材" sheetId="14" r:id="rId4"/>
    <sheet name="材料" sheetId="21" r:id="rId5"/>
    <sheet name="結合" sheetId="22" r:id="rId6"/>
    <sheet name="着目点" sheetId="26" r:id="rId7"/>
    <sheet name="バネ" sheetId="23" r:id="rId8"/>
    <sheet name="荷重名称" sheetId="15" r:id="rId9"/>
    <sheet name="荷重強度" sheetId="24" r:id="rId10"/>
    <sheet name="荷重図" sheetId="25" r:id="rId11"/>
    <sheet name="DEFINE" sheetId="27" r:id="rId12"/>
    <sheet name="COMBINE" sheetId="28" r:id="rId13"/>
    <sheet name="PICKUP" sheetId="29" r:id="rId14"/>
    <sheet name="計算・出力" sheetId="16" r:id="rId15"/>
    <sheet name="PickUp・出力" sheetId="30" r:id="rId16"/>
    <sheet name="PickUp・変位" sheetId="31" r:id="rId17"/>
    <sheet name="応力図" sheetId="17" r:id="rId18"/>
  </sheets>
  <functionGroups builtInGroupCount="18"/>
  <externalReferences>
    <externalReference r:id="rId19"/>
    <externalReference r:id="rId20"/>
    <externalReference r:id="rId21"/>
  </externalReferences>
  <definedNames>
    <definedName name="_1__123Graph_Aｸﾞﾗﾌ_1" localSheetId="16" hidden="1">#REF!</definedName>
    <definedName name="_1__123Graph_Aｸﾞﾗﾌ_1" hidden="1">#REF!</definedName>
    <definedName name="_10__123Graph_Aｸﾞﾗﾌ_4" localSheetId="4" hidden="1">#REF!</definedName>
    <definedName name="_11__123Graph_Aｸﾞﾗﾌ_4" localSheetId="2" hidden="1">#REF!</definedName>
    <definedName name="_12__123Graph_Aｸﾞﾗﾌ_4" localSheetId="16" hidden="1">#REF!</definedName>
    <definedName name="_12__123Graph_Aｸﾞﾗﾌ_4" hidden="1">#REF!</definedName>
    <definedName name="_13__123Graph_Bｸﾞﾗﾌ_1" localSheetId="16" hidden="1">#REF!</definedName>
    <definedName name="_13__123Graph_Bｸﾞﾗﾌ_1" hidden="1">#REF!</definedName>
    <definedName name="_14__123Graph_Bｸﾞﾗﾌ_2" localSheetId="16" hidden="1">#REF!</definedName>
    <definedName name="_14__123Graph_Bｸﾞﾗﾌ_2" hidden="1">#REF!</definedName>
    <definedName name="_15__123Graph_Bｸﾞﾗﾌ_3" localSheetId="16" hidden="1">#REF!</definedName>
    <definedName name="_15__123Graph_Bｸﾞﾗﾌ_3" hidden="1">#REF!</definedName>
    <definedName name="_16__123Graph_Bｸﾞﾗﾌ_4" localSheetId="15" hidden="1">#REF!</definedName>
    <definedName name="_16__123Graph_Bｸﾞﾗﾌ_4" localSheetId="16" hidden="1">#REF!</definedName>
    <definedName name="_17__123Graph_Bｸﾞﾗﾌ_4" localSheetId="7" hidden="1">#REF!</definedName>
    <definedName name="_18__123Graph_Bｸﾞﾗﾌ_4" localSheetId="9" hidden="1">#REF!</definedName>
    <definedName name="_19__123Graph_Bｸﾞﾗﾌ_4" localSheetId="10" hidden="1">#REF!</definedName>
    <definedName name="_2__123Graph_Aｸﾞﾗﾌ_2" localSheetId="16" hidden="1">#REF!</definedName>
    <definedName name="_2__123Graph_Aｸﾞﾗﾌ_2" hidden="1">#REF!</definedName>
    <definedName name="_20__123Graph_Bｸﾞﾗﾌ_4" localSheetId="1" hidden="1">#REF!</definedName>
    <definedName name="_21__123Graph_Bｸﾞﾗﾌ_4" localSheetId="5" hidden="1">#REF!</definedName>
    <definedName name="_22__123Graph_Bｸﾞﾗﾌ_4" localSheetId="4" hidden="1">#REF!</definedName>
    <definedName name="_23__123Graph_Bｸﾞﾗﾌ_4" localSheetId="2" hidden="1">#REF!</definedName>
    <definedName name="_24__123Graph_Bｸﾞﾗﾌ_4" localSheetId="16" hidden="1">#REF!</definedName>
    <definedName name="_24__123Graph_Bｸﾞﾗﾌ_4" hidden="1">#REF!</definedName>
    <definedName name="_25__123Graph_Cｸﾞﾗﾌ_1" hidden="1">[1]躯体の設計!$AN$1064:$AN$1065</definedName>
    <definedName name="_26__123Graph_Cｸﾞﾗﾌ_4" localSheetId="15" hidden="1">#REF!</definedName>
    <definedName name="_26__123Graph_Cｸﾞﾗﾌ_4" localSheetId="16" hidden="1">#REF!</definedName>
    <definedName name="_27__123Graph_Cｸﾞﾗﾌ_4" localSheetId="7" hidden="1">#REF!</definedName>
    <definedName name="_28__123Graph_Cｸﾞﾗﾌ_4" localSheetId="9" hidden="1">#REF!</definedName>
    <definedName name="_29__123Graph_Cｸﾞﾗﾌ_4" localSheetId="10" hidden="1">#REF!</definedName>
    <definedName name="_3__123Graph_Aｸﾞﾗﾌ_3" localSheetId="16" hidden="1">#REF!</definedName>
    <definedName name="_3__123Graph_Aｸﾞﾗﾌ_3" hidden="1">#REF!</definedName>
    <definedName name="_30__123Graph_Cｸﾞﾗﾌ_4" localSheetId="1" hidden="1">#REF!</definedName>
    <definedName name="_31__123Graph_Cｸﾞﾗﾌ_4" localSheetId="5" hidden="1">#REF!</definedName>
    <definedName name="_32__123Graph_Cｸﾞﾗﾌ_4" localSheetId="4" hidden="1">#REF!</definedName>
    <definedName name="_33__123Graph_Cｸﾞﾗﾌ_4" localSheetId="2" hidden="1">#REF!</definedName>
    <definedName name="_34__123Graph_Cｸﾞﾗﾌ_4" localSheetId="16" hidden="1">#REF!</definedName>
    <definedName name="_34__123Graph_Cｸﾞﾗﾌ_4" hidden="1">#REF!</definedName>
    <definedName name="_35__123Graph_Dｸﾞﾗﾌ_1" hidden="1">[1]躯体の設計!$AO$1064:$AO$1065</definedName>
    <definedName name="_36__123Graph_Dｸﾞﾗﾌ_4" localSheetId="15" hidden="1">#REF!</definedName>
    <definedName name="_36__123Graph_Dｸﾞﾗﾌ_4" localSheetId="16" hidden="1">#REF!</definedName>
    <definedName name="_37__123Graph_Dｸﾞﾗﾌ_4" localSheetId="7" hidden="1">#REF!</definedName>
    <definedName name="_38__123Graph_Dｸﾞﾗﾌ_4" localSheetId="9" hidden="1">#REF!</definedName>
    <definedName name="_39__123Graph_Dｸﾞﾗﾌ_4" localSheetId="10" hidden="1">#REF!</definedName>
    <definedName name="_4__123Graph_Aｸﾞﾗﾌ_4" localSheetId="15" hidden="1">#REF!</definedName>
    <definedName name="_4__123Graph_Aｸﾞﾗﾌ_4" localSheetId="16" hidden="1">#REF!</definedName>
    <definedName name="_40__123Graph_Dｸﾞﾗﾌ_4" localSheetId="1" hidden="1">#REF!</definedName>
    <definedName name="_41__123Graph_Dｸﾞﾗﾌ_4" localSheetId="5" hidden="1">#REF!</definedName>
    <definedName name="_42__123Graph_Dｸﾞﾗﾌ_4" localSheetId="4" hidden="1">#REF!</definedName>
    <definedName name="_43__123Graph_Dｸﾞﾗﾌ_4" localSheetId="2" hidden="1">#REF!</definedName>
    <definedName name="_44__123Graph_Dｸﾞﾗﾌ_4" localSheetId="16" hidden="1">#REF!</definedName>
    <definedName name="_44__123Graph_Dｸﾞﾗﾌ_4" hidden="1">#REF!</definedName>
    <definedName name="_45__123Graph_Xｸﾞﾗﾌ_1" hidden="1">[1]躯体の設計!$AJ$1064:$AJ$1065</definedName>
    <definedName name="_46__123Graph_Xｸﾞﾗﾌ_2" localSheetId="16" hidden="1">#REF!</definedName>
    <definedName name="_46__123Graph_Xｸﾞﾗﾌ_2" hidden="1">#REF!</definedName>
    <definedName name="_47__123Graph_Xｸﾞﾗﾌ_3" localSheetId="16" hidden="1">#REF!</definedName>
    <definedName name="_47__123Graph_Xｸﾞﾗﾌ_3" hidden="1">#REF!</definedName>
    <definedName name="_5__123Graph_Aｸﾞﾗﾌ_4" localSheetId="7" hidden="1">#REF!</definedName>
    <definedName name="_6__123Graph_Aｸﾞﾗﾌ_4" localSheetId="9" hidden="1">#REF!</definedName>
    <definedName name="_7__123Graph_Aｸﾞﾗﾌ_4" localSheetId="10" hidden="1">#REF!</definedName>
    <definedName name="_8__123Graph_Aｸﾞﾗﾌ_4" localSheetId="1" hidden="1">#REF!</definedName>
    <definedName name="_9__123Graph_Aｸﾞﾗﾌ_4" localSheetId="5" hidden="1">#REF!</definedName>
    <definedName name="_DEL2" localSheetId="16" hidden="1">#REF!</definedName>
    <definedName name="_DEL2" hidden="1">#REF!</definedName>
    <definedName name="_Fill" localSheetId="16" hidden="1">#REF!</definedName>
    <definedName name="_Fill" hidden="1">#REF!</definedName>
    <definedName name="_Table1_In1" hidden="1">[2]ｽｲﾍｲ!$C$22</definedName>
    <definedName name="_Table1_Out" hidden="1">[2]ｽｲﾍｲ!$D$22</definedName>
    <definedName name="_Table2" hidden="1">[3]ｽｲﾍｲ!$D$22</definedName>
    <definedName name="_荷重倍率" localSheetId="10">荷重図!$D$11</definedName>
    <definedName name="_荷重描画" localSheetId="10">荷重図!$D$10</definedName>
    <definedName name="_回転角X" localSheetId="17">応力図!$D$14</definedName>
    <definedName name="_回転角X" localSheetId="10">荷重図!$D$14</definedName>
    <definedName name="_回転角Y" localSheetId="17">応力図!$D$15</definedName>
    <definedName name="_回転角Y" localSheetId="10">荷重図!$D$15</definedName>
    <definedName name="_回転角Z" localSheetId="17">応力図!$D$16</definedName>
    <definedName name="_回転角Z" localSheetId="10">荷重図!$D$16</definedName>
    <definedName name="_節点番号フォント" localSheetId="17">応力図!$D$6</definedName>
    <definedName name="_節点番号フォント" localSheetId="10">荷重図!$D$6</definedName>
    <definedName name="_節点番号描画" localSheetId="17">応力図!$D$5</definedName>
    <definedName name="_節点番号描画" localSheetId="10">荷重図!$D$5</definedName>
    <definedName name="_節点描画" localSheetId="17">応力図!$D$4</definedName>
    <definedName name="_節点描画" localSheetId="10">荷重図!$D$4</definedName>
    <definedName name="_描画エリア" localSheetId="17">応力図!$F$4:$K$27</definedName>
    <definedName name="_描画エリア" localSheetId="10">荷重図!$I$9:$AK$32</definedName>
    <definedName name="_変位描画" localSheetId="17">応力図!$D$10</definedName>
    <definedName name="_変位描画倍率" localSheetId="17">応力図!$D$11</definedName>
    <definedName name="_要素番号フォント" localSheetId="17">応力図!$D$9</definedName>
    <definedName name="_要素番号フォント" localSheetId="10">荷重図!$D$9</definedName>
    <definedName name="_要素番号描画" localSheetId="17">応力図!$D$8</definedName>
    <definedName name="_要素番号描画" localSheetId="10">荷重図!$D$8</definedName>
    <definedName name="_要素描画" localSheetId="17">応力図!$D$7</definedName>
    <definedName name="_要素描画" localSheetId="10">荷重図!$D$7</definedName>
    <definedName name="anscount" hidden="1">1</definedName>
    <definedName name="DEL" localSheetId="16" hidden="1">#REF!</definedName>
    <definedName name="DEL" hidden="1">#REF!</definedName>
    <definedName name="header_A1" localSheetId="4">材料!$E$6</definedName>
    <definedName name="header_A2" localSheetId="4">材料!$L$6</definedName>
    <definedName name="header_A3" localSheetId="4">材料!$S$6</definedName>
    <definedName name="header_Case" localSheetId="12">COMBINE!$B$4</definedName>
    <definedName name="header_Case" localSheetId="11">DEFINE!$B$4</definedName>
    <definedName name="header_Case" localSheetId="13">PICKUP!$B$4</definedName>
    <definedName name="header_E1" localSheetId="4">材料!$B$6</definedName>
    <definedName name="header_E2" localSheetId="4">材料!$I$6</definedName>
    <definedName name="header_E3" localSheetId="4">材料!$P$6</definedName>
    <definedName name="header_G1" localSheetId="4">材料!$C$6</definedName>
    <definedName name="header_G2" localSheetId="4">材料!$J$6</definedName>
    <definedName name="header_G3" localSheetId="4">材料!$Q$6</definedName>
    <definedName name="header_J1" localSheetId="4">材料!$F$6</definedName>
    <definedName name="header_J2" localSheetId="4">材料!$M$6</definedName>
    <definedName name="header_J3" localSheetId="4">材料!$T$6</definedName>
    <definedName name="header_L1" localSheetId="9">荷重強度!$F$5:$F$6</definedName>
    <definedName name="header_L1" localSheetId="6">着目点!$C$5</definedName>
    <definedName name="header_L2" localSheetId="9">荷重強度!$G$5:$G$6</definedName>
    <definedName name="header_Length" localSheetId="6">着目点!$B$4:$B$5</definedName>
    <definedName name="header_Length" localSheetId="3">部材!$D$5</definedName>
    <definedName name="header_MX" localSheetId="9">荷重強度!$N$6</definedName>
    <definedName name="header_MY" localSheetId="9">荷重強度!$O$6</definedName>
    <definedName name="header_MZ" localSheetId="9">荷重強度!$P$6</definedName>
    <definedName name="header_No" localSheetId="12">COMBINE!$A$4:'COMBINE'!$A$5</definedName>
    <definedName name="header_No" localSheetId="11">DEFINE!$A$4</definedName>
    <definedName name="header_No" localSheetId="13">PICKUP!$A$4</definedName>
    <definedName name="header_No" localSheetId="7">バネ!$A$5:$A$7</definedName>
    <definedName name="header_No" localSheetId="1">格点!$A$5</definedName>
    <definedName name="header_No" localSheetId="5">結合!$A$5:$A$6</definedName>
    <definedName name="header_No" localSheetId="4">材料!$A$5:$A$6</definedName>
    <definedName name="header_No" localSheetId="2">支点!$A$5:$A$7</definedName>
    <definedName name="header_No" localSheetId="6">着目点!$A$4:$A$5</definedName>
    <definedName name="header_No" localSheetId="3">部材!$A$5</definedName>
    <definedName name="header_P1" localSheetId="9">荷重強度!$H$5:$H$6</definedName>
    <definedName name="header_P2" localSheetId="9">荷重強度!$I$5:$I$6</definedName>
    <definedName name="header_points" localSheetId="6">着目点!$C$4:$N$4</definedName>
    <definedName name="header_RX1" localSheetId="2">支点!$E$7</definedName>
    <definedName name="header_RX2" localSheetId="2">支点!$K$7</definedName>
    <definedName name="header_RX3" localSheetId="2">支点!$Q$7</definedName>
    <definedName name="header_RY1" localSheetId="2">支点!$F$7</definedName>
    <definedName name="header_RY2" localSheetId="2">支点!$L$7</definedName>
    <definedName name="header_RY3" localSheetId="2">支点!$R$7</definedName>
    <definedName name="header_RZ1" localSheetId="2">支点!$G$7</definedName>
    <definedName name="header_RZ2" localSheetId="2">支点!$M$7</definedName>
    <definedName name="header_RZ3" localSheetId="2">支点!$S$7</definedName>
    <definedName name="header_TR1" localSheetId="7">バネ!$E$7</definedName>
    <definedName name="header_TR2" localSheetId="7">バネ!$I$7</definedName>
    <definedName name="header_TR3" localSheetId="7">バネ!$M$7</definedName>
    <definedName name="header_TX" localSheetId="9">荷重強度!$K$6</definedName>
    <definedName name="header_TX1" localSheetId="7">バネ!$B$7</definedName>
    <definedName name="header_TX1" localSheetId="2">支点!$B$7</definedName>
    <definedName name="header_TX2" localSheetId="7">バネ!$F$7</definedName>
    <definedName name="header_TX2" localSheetId="2">支点!$H$7</definedName>
    <definedName name="header_TX3" localSheetId="7">バネ!$J$7</definedName>
    <definedName name="header_TX3" localSheetId="2">支点!$N$7</definedName>
    <definedName name="header_TY" localSheetId="9">荷重強度!$L$6</definedName>
    <definedName name="header_TY1" localSheetId="7">バネ!$C$7</definedName>
    <definedName name="header_TY1" localSheetId="2">支点!$C$7</definedName>
    <definedName name="header_TY2" localSheetId="7">バネ!$G$7</definedName>
    <definedName name="header_TY2" localSheetId="2">支点!$I$7</definedName>
    <definedName name="header_TY3" localSheetId="7">バネ!$K$7</definedName>
    <definedName name="header_TY3" localSheetId="2">支点!$O$7</definedName>
    <definedName name="header_TZ" localSheetId="9">荷重強度!$M$6</definedName>
    <definedName name="header_TZ1" localSheetId="7">バネ!$D$7</definedName>
    <definedName name="header_TZ1" localSheetId="2">支点!$D$7</definedName>
    <definedName name="header_TZ2" localSheetId="7">バネ!$H$7</definedName>
    <definedName name="header_TZ2" localSheetId="2">支点!$J$7</definedName>
    <definedName name="header_TZ3" localSheetId="7">バネ!$L$7</definedName>
    <definedName name="header_TZ3" localSheetId="2">支点!$P$7</definedName>
    <definedName name="header_x" localSheetId="1">格点!$B$5</definedName>
    <definedName name="header_X11" localSheetId="5">結合!$B$6</definedName>
    <definedName name="header_X12" localSheetId="5">結合!$E$6</definedName>
    <definedName name="header_X21" localSheetId="5">結合!$H$6</definedName>
    <definedName name="header_X22" localSheetId="5">結合!$K$6</definedName>
    <definedName name="header_X31" localSheetId="5">結合!$N$6</definedName>
    <definedName name="header_X32" localSheetId="5">結合!$Q$6</definedName>
    <definedName name="header_xp1" localSheetId="4">材料!$D$6</definedName>
    <definedName name="header_xp2" localSheetId="4">材料!$K$6</definedName>
    <definedName name="header_xp3" localSheetId="4">材料!$R$6</definedName>
    <definedName name="header_y" localSheetId="1">格点!$C$5</definedName>
    <definedName name="header_Y11" localSheetId="5">結合!$C$6</definedName>
    <definedName name="header_Y12" localSheetId="5">結合!$F$6</definedName>
    <definedName name="header_Y21" localSheetId="5">結合!$I$6</definedName>
    <definedName name="header_Y22" localSheetId="5">結合!$L$6</definedName>
    <definedName name="header_Y31" localSheetId="5">結合!$O$6</definedName>
    <definedName name="header_Y32" localSheetId="5">結合!$R$6</definedName>
    <definedName name="header_yi1" localSheetId="4">材料!$G$6</definedName>
    <definedName name="header_yi2" localSheetId="4">材料!$N$6</definedName>
    <definedName name="header_yi3" localSheetId="4">材料!$U$6</definedName>
    <definedName name="header_z" localSheetId="1">格点!$D$5</definedName>
    <definedName name="header_Z11" localSheetId="5">結合!$D$6</definedName>
    <definedName name="header_Z12" localSheetId="5">結合!$G$6</definedName>
    <definedName name="header_Z21" localSheetId="5">結合!$J$6</definedName>
    <definedName name="header_Z22" localSheetId="5">結合!$M$6</definedName>
    <definedName name="header_Z31" localSheetId="5">結合!$P$6</definedName>
    <definedName name="header_Z32" localSheetId="5">結合!$S$6</definedName>
    <definedName name="header_zi1" localSheetId="4">材料!$H$6</definedName>
    <definedName name="header_zi2" localSheetId="4">材料!$O$6</definedName>
    <definedName name="header_zi3" localSheetId="4">材料!$V$6</definedName>
    <definedName name="header_ｺｰﾄﾞｱﾝｸﾞﾙ" localSheetId="3">部材!$F$5</definedName>
    <definedName name="header_ﾏｰｸ" localSheetId="9">荷重強度!$E$5:$E$6</definedName>
    <definedName name="header_荷重No" localSheetId="9">荷重強度!$A$4:$A$6</definedName>
    <definedName name="header_材料" localSheetId="3">部材!$E$5</definedName>
    <definedName name="header_節点" localSheetId="9">荷重強度!$J$5:$J$6</definedName>
    <definedName name="header_節点1" localSheetId="3">部材!$B$5</definedName>
    <definedName name="header_節点2" localSheetId="3">部材!$C$5</definedName>
    <definedName name="header_部材1" localSheetId="9">荷重強度!$B$5:$B$6</definedName>
    <definedName name="header_部材2" localSheetId="9">荷重強度!$C$5:$C$6</definedName>
    <definedName name="header_方向" localSheetId="9">荷重強度!$D$5:$D$6</definedName>
    <definedName name="HTML_CodePage" hidden="1">932</definedName>
    <definedName name="HTML_Control" hidden="1">{"'表紙・目次 '!$A$8:$K$8"}</definedName>
    <definedName name="HTML_Description" hidden="1">""</definedName>
    <definedName name="HTML_Email" hidden="1">""</definedName>
    <definedName name="HTML_Header" hidden="1">"表紙・目次"</definedName>
    <definedName name="HTML_LastUpdate" hidden="1">"97/12/10"</definedName>
    <definedName name="HTML_LineAfter" hidden="1">FALSE</definedName>
    <definedName name="HTML_LineBefore" hidden="1">FALSE</definedName>
    <definedName name="HTML_Name" hidden="1">"ずう広電"</definedName>
    <definedName name="HTML_OBDlg2" hidden="1">TRUE</definedName>
    <definedName name="HTML_OBDlg4" hidden="1">TRUE</definedName>
    <definedName name="HTML_OS" hidden="1">0</definedName>
    <definedName name="HTML_PathFile" hidden="1">"B:\Zou設計計算\MyHTML.htm"</definedName>
    <definedName name="HTML_Title" hidden="1">"山陽本線97073-1"</definedName>
    <definedName name="MODE">ご利用方法!$B$26</definedName>
    <definedName name="password" localSheetId="0">ご利用方法!$B$15</definedName>
    <definedName name="_xlnm.Print_Area" localSheetId="9">荷重強度!$A$1:$O$163</definedName>
    <definedName name="_xlnm.Print_Area" localSheetId="8">荷重名称!$A$1:$H$26</definedName>
    <definedName name="_xlnm.Print_Titles" localSheetId="9">荷重強度!$1:$6</definedName>
    <definedName name="username" localSheetId="0">ご利用方法!$B$13</definedName>
    <definedName name="ええ" hidden="1">{"'表紙・目次 '!$A$8:$K$8"}</definedName>
    <definedName name="バネ_header" localSheetId="8">荷重名称!$F$5</definedName>
    <definedName name="荷重No" localSheetId="17">応力図!$D$25</definedName>
    <definedName name="荷重No" localSheetId="10">荷重図!$D$24</definedName>
    <definedName name="荷重No_header" localSheetId="8">荷重名称!$B$4:$B$5</definedName>
    <definedName name="割増係数_header" localSheetId="8">荷重名称!$A$4:$A$5</definedName>
    <definedName name="記号_header" localSheetId="8">荷重名称!$C$4:$C$5</definedName>
    <definedName name="結合_header" localSheetId="8">荷重名称!$H$5</definedName>
    <definedName name="支点_header" localSheetId="8">荷重名称!$E$5</definedName>
    <definedName name="終局せん断" hidden="1">{"'表紙・目次 '!$A$8:$K$8"}</definedName>
    <definedName name="設計条件" hidden="1">{"'表紙・目次 '!$A$8:$K$8"}</definedName>
    <definedName name="断面_header" localSheetId="8">荷重名称!$G$5</definedName>
    <definedName name="抵抗モーメント" hidden="1">[3]ｽｲﾍｲ!$C$22</definedName>
    <definedName name="白紙" hidden="1">[2]ｽｲﾍｲ!$C$22</definedName>
    <definedName name="名称_header" localSheetId="8">荷重名称!$D$4:$D$5</definedName>
  </definedNames>
  <calcPr calcId="152511"/>
</workbook>
</file>

<file path=xl/calcChain.xml><?xml version="1.0" encoding="utf-8"?>
<calcChain xmlns="http://schemas.openxmlformats.org/spreadsheetml/2006/main">
  <c r="F10" i="19" l="1"/>
  <c r="F11" i="19" s="1"/>
  <c r="F12" i="19" s="1"/>
  <c r="F13" i="19" s="1"/>
  <c r="F14" i="19" s="1"/>
  <c r="E10" i="19"/>
  <c r="E11" i="19" s="1"/>
  <c r="E12" i="19" s="1"/>
  <c r="E13" i="19" s="1"/>
  <c r="E14" i="19" s="1"/>
  <c r="B10" i="19"/>
  <c r="B11" i="19" s="1"/>
  <c r="B12" i="19" s="1"/>
  <c r="B13" i="19" s="1"/>
  <c r="B14" i="19" s="1"/>
  <c r="G9" i="19"/>
  <c r="G10" i="19" s="1"/>
  <c r="G11" i="19" s="1"/>
  <c r="G12" i="19" s="1"/>
  <c r="G13" i="19" s="1"/>
  <c r="G14" i="19" s="1"/>
  <c r="F9" i="19"/>
  <c r="E9" i="19"/>
  <c r="D9" i="19"/>
  <c r="D10" i="19" s="1"/>
  <c r="D11" i="19" s="1"/>
  <c r="D12" i="19" s="1"/>
  <c r="D13" i="19" s="1"/>
  <c r="D14" i="19" s="1"/>
  <c r="C9" i="19"/>
  <c r="C10" i="19" s="1"/>
  <c r="C11" i="19" s="1"/>
  <c r="C12" i="19" s="1"/>
  <c r="C13" i="19" s="1"/>
  <c r="C14" i="19" s="1"/>
  <c r="B9" i="19"/>
</calcChain>
</file>

<file path=xl/sharedStrings.xml><?xml version="1.0" encoding="utf-8"?>
<sst xmlns="http://schemas.openxmlformats.org/spreadsheetml/2006/main" count="2808" uniqueCount="222">
  <si>
    <t>パスワード</t>
  </si>
  <si>
    <t>本製品の使用または使用不能、およびそれと関連する保守・サポートによって生じ</t>
  </si>
  <si>
    <t>た特別、偶発的、間接的、または二次的な損害(商益の損失、事業の中断、事業情報</t>
  </si>
  <si>
    <t>たします。</t>
  </si>
  <si>
    <t>開発者向け（本システムの概要）</t>
    <rPh sb="0" eb="3">
      <t>カイハツシャ</t>
    </rPh>
    <rPh sb="3" eb="4">
      <t>ム</t>
    </rPh>
    <rPh sb="6" eb="7">
      <t>ホン</t>
    </rPh>
    <rPh sb="12" eb="14">
      <t>ガイヨウ</t>
    </rPh>
    <phoneticPr fontId="2"/>
  </si>
  <si>
    <t>Office ドキュメントのマクロを有効または無効にする</t>
    <phoneticPr fontId="2"/>
  </si>
  <si>
    <t>本ファイルを利用するには マクロを有効にしてください。</t>
    <rPh sb="0" eb="1">
      <t>ホン</t>
    </rPh>
    <rPh sb="6" eb="8">
      <t>リヨウ</t>
    </rPh>
    <rPh sb="17" eb="19">
      <t>ユウコウ</t>
    </rPh>
    <phoneticPr fontId="2"/>
  </si>
  <si>
    <t>本ファイルを利用するには ユーザー名とパスワードを入力してください</t>
    <rPh sb="0" eb="1">
      <t>ホン</t>
    </rPh>
    <rPh sb="6" eb="8">
      <t>リヨウ</t>
    </rPh>
    <rPh sb="17" eb="18">
      <t>メイ</t>
    </rPh>
    <rPh sb="25" eb="27">
      <t>ニュウリョク</t>
    </rPh>
    <phoneticPr fontId="2"/>
  </si>
  <si>
    <t>ユーザー名またはメールアドレス</t>
    <phoneticPr fontId="2"/>
  </si>
  <si>
    <t>上記の入力欄にそのファイルの参照先を記しておくと、毎回のログイン操作が</t>
    <rPh sb="0" eb="2">
      <t>ジョウキ</t>
    </rPh>
    <rPh sb="3" eb="5">
      <t>ニュウリョク</t>
    </rPh>
    <rPh sb="5" eb="6">
      <t>ラン</t>
    </rPh>
    <rPh sb="14" eb="16">
      <t>サンショウ</t>
    </rPh>
    <rPh sb="16" eb="17">
      <t>サキ</t>
    </rPh>
    <rPh sb="18" eb="19">
      <t>シル</t>
    </rPh>
    <rPh sb="25" eb="27">
      <t>マイカイ</t>
    </rPh>
    <rPh sb="32" eb="34">
      <t>ソウサ</t>
    </rPh>
    <phoneticPr fontId="2"/>
  </si>
  <si>
    <t>※ユーザー名, パスワード を １行目に記したテキストファイルを それぞれ用意し</t>
    <rPh sb="5" eb="6">
      <t>メイ</t>
    </rPh>
    <rPh sb="17" eb="19">
      <t>ギョウメ</t>
    </rPh>
    <rPh sb="20" eb="21">
      <t>シル</t>
    </rPh>
    <rPh sb="37" eb="39">
      <t>ヨウイ</t>
    </rPh>
    <phoneticPr fontId="2"/>
  </si>
  <si>
    <t>免責事項</t>
    <phoneticPr fontId="2"/>
  </si>
  <si>
    <t>は じ め に</t>
    <phoneticPr fontId="2"/>
  </si>
  <si>
    <t>データの送受信には json 形式の 文字列で通信します。</t>
    <rPh sb="4" eb="7">
      <t>ソウジュシン</t>
    </rPh>
    <rPh sb="15" eb="17">
      <t>ケイシキ</t>
    </rPh>
    <rPh sb="19" eb="22">
      <t>モジレツ</t>
    </rPh>
    <rPh sb="23" eb="25">
      <t>ツウシン</t>
    </rPh>
    <phoneticPr fontId="2"/>
  </si>
  <si>
    <t>ｖ</t>
    <phoneticPr fontId="2"/>
  </si>
  <si>
    <r>
      <rPr>
        <sz val="11"/>
        <rFont val="ＭＳ Ｐゴシック"/>
        <family val="3"/>
        <charset val="128"/>
      </rPr>
      <t>┃　　笹澤</t>
    </r>
    <r>
      <rPr>
        <sz val="11"/>
        <rFont val="Courier New"/>
        <family val="3"/>
      </rPr>
      <t xml:space="preserve"> </t>
    </r>
    <r>
      <rPr>
        <sz val="11"/>
        <rFont val="ＭＳ Ｐゴシック"/>
        <family val="3"/>
        <charset val="128"/>
      </rPr>
      <t>陽佑</t>
    </r>
    <r>
      <rPr>
        <sz val="11"/>
        <rFont val="Courier New"/>
        <family val="3"/>
      </rPr>
      <t> </t>
    </r>
    <phoneticPr fontId="2"/>
  </si>
  <si>
    <r>
      <rPr>
        <sz val="11"/>
        <rFont val="ＭＳ Ｐゴシック"/>
        <family val="3"/>
        <charset val="128"/>
      </rPr>
      <t>┃　　〒</t>
    </r>
    <r>
      <rPr>
        <sz val="11"/>
        <rFont val="Courier New"/>
        <family val="3"/>
      </rPr>
      <t>177-0041</t>
    </r>
    <r>
      <rPr>
        <sz val="11"/>
        <rFont val="ＭＳ Ｐゴシック"/>
        <family val="3"/>
        <charset val="128"/>
      </rPr>
      <t>　東京都練馬区石神井町</t>
    </r>
    <r>
      <rPr>
        <sz val="11"/>
        <rFont val="Courier New"/>
        <family val="3"/>
      </rPr>
      <t>2-30-11 </t>
    </r>
    <phoneticPr fontId="2"/>
  </si>
  <si>
    <r>
      <rPr>
        <sz val="11"/>
        <rFont val="ＭＳ Ｐゴシック"/>
        <family val="3"/>
        <charset val="128"/>
      </rPr>
      <t>┃　　　　　　　　　　エトワール石神井</t>
    </r>
    <r>
      <rPr>
        <sz val="11"/>
        <rFont val="Courier New"/>
        <family val="3"/>
      </rPr>
      <t>202</t>
    </r>
    <phoneticPr fontId="2"/>
  </si>
  <si>
    <r>
      <rPr>
        <sz val="11"/>
        <rFont val="ＭＳ Ｐゴシック"/>
        <family val="3"/>
        <charset val="128"/>
      </rPr>
      <t>┃株式会社　ささこう</t>
    </r>
    <r>
      <rPr>
        <sz val="11"/>
        <rFont val="Courier New"/>
        <family val="3"/>
      </rPr>
      <t> </t>
    </r>
    <phoneticPr fontId="2"/>
  </si>
  <si>
    <t>お問い合わせ</t>
    <rPh sb="1" eb="2">
      <t>ト</t>
    </rPh>
    <rPh sb="3" eb="4">
      <t>ア</t>
    </rPh>
    <phoneticPr fontId="2"/>
  </si>
  <si>
    <t>X</t>
    <phoneticPr fontId="2"/>
  </si>
  <si>
    <t>Y</t>
    <phoneticPr fontId="2"/>
  </si>
  <si>
    <t>Z</t>
    <phoneticPr fontId="2"/>
  </si>
  <si>
    <t>弾性係数</t>
    <rPh sb="0" eb="2">
      <t>ダンセイ</t>
    </rPh>
    <rPh sb="2" eb="4">
      <t>ケイスウ</t>
    </rPh>
    <phoneticPr fontId="2"/>
  </si>
  <si>
    <t>断面積</t>
  </si>
  <si>
    <t>節点1</t>
    <rPh sb="0" eb="2">
      <t>セッテン</t>
    </rPh>
    <phoneticPr fontId="2"/>
  </si>
  <si>
    <t>節点2</t>
    <rPh sb="0" eb="2">
      <t>セッテン</t>
    </rPh>
    <phoneticPr fontId="2"/>
  </si>
  <si>
    <t>x1</t>
    <phoneticPr fontId="2"/>
  </si>
  <si>
    <t>y1</t>
    <phoneticPr fontId="2"/>
  </si>
  <si>
    <t>z1</t>
    <phoneticPr fontId="2"/>
  </si>
  <si>
    <t>x2</t>
    <phoneticPr fontId="2"/>
  </si>
  <si>
    <t>y2</t>
    <phoneticPr fontId="2"/>
  </si>
  <si>
    <t>z2</t>
    <phoneticPr fontId="2"/>
  </si>
  <si>
    <t>変位拘束</t>
    <rPh sb="0" eb="2">
      <t>ヘンイ</t>
    </rPh>
    <rPh sb="2" eb="4">
      <t>コウソク</t>
    </rPh>
    <phoneticPr fontId="2"/>
  </si>
  <si>
    <t>モーメント拘束</t>
    <rPh sb="5" eb="7">
      <t>コウソク</t>
    </rPh>
    <phoneticPr fontId="2"/>
  </si>
  <si>
    <t>荷重</t>
    <rPh sb="0" eb="2">
      <t>カジュウ</t>
    </rPh>
    <phoneticPr fontId="2"/>
  </si>
  <si>
    <t>モーメント</t>
    <phoneticPr fontId="2"/>
  </si>
  <si>
    <t>節点</t>
    <rPh sb="0" eb="2">
      <t>セッテン</t>
    </rPh>
    <phoneticPr fontId="2"/>
  </si>
  <si>
    <t>三次元骨組解析（描画）</t>
    <rPh sb="0" eb="3">
      <t>サンジゲン</t>
    </rPh>
    <rPh sb="8" eb="10">
      <t>ビョウガ</t>
    </rPh>
    <phoneticPr fontId="2"/>
  </si>
  <si>
    <t>節点描画</t>
    <rPh sb="0" eb="2">
      <t>セッテン</t>
    </rPh>
    <rPh sb="2" eb="4">
      <t>ビョウガ</t>
    </rPh>
    <phoneticPr fontId="2"/>
  </si>
  <si>
    <t>番号</t>
    <rPh sb="0" eb="2">
      <t>バンゴウ</t>
    </rPh>
    <phoneticPr fontId="2"/>
  </si>
  <si>
    <t>フォント</t>
    <phoneticPr fontId="2"/>
  </si>
  <si>
    <t>要素描画</t>
    <rPh sb="0" eb="2">
      <t>ヨウソ</t>
    </rPh>
    <rPh sb="2" eb="4">
      <t>ビョウガ</t>
    </rPh>
    <phoneticPr fontId="2"/>
  </si>
  <si>
    <t>倍率</t>
    <rPh sb="0" eb="2">
      <t>バイリツ</t>
    </rPh>
    <phoneticPr fontId="2"/>
  </si>
  <si>
    <t>角度</t>
    <rPh sb="0" eb="2">
      <t>カクド</t>
    </rPh>
    <phoneticPr fontId="2"/>
  </si>
  <si>
    <t>X</t>
    <phoneticPr fontId="2"/>
  </si>
  <si>
    <t>Y</t>
    <phoneticPr fontId="2"/>
  </si>
  <si>
    <t>Z</t>
    <phoneticPr fontId="2"/>
  </si>
  <si>
    <t>三次元骨組解析（入力データ：支点）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シテン</t>
    </rPh>
    <phoneticPr fontId="2"/>
  </si>
  <si>
    <t>タイプ１</t>
    <phoneticPr fontId="2"/>
  </si>
  <si>
    <t>タイプ２</t>
  </si>
  <si>
    <t>三次元骨組解析（入力データ：部材）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phoneticPr fontId="2"/>
  </si>
  <si>
    <t>タイプ３</t>
  </si>
  <si>
    <t>部材No</t>
    <rPh sb="0" eb="2">
      <t>ブザイ</t>
    </rPh>
    <phoneticPr fontId="2"/>
  </si>
  <si>
    <t>数値：バネ支点</t>
    <rPh sb="0" eb="2">
      <t>スウチ</t>
    </rPh>
    <rPh sb="5" eb="7">
      <t>シテン</t>
    </rPh>
    <phoneticPr fontId="2"/>
  </si>
  <si>
    <t>回転拘束</t>
    <rPh sb="0" eb="2">
      <t>カイテン</t>
    </rPh>
    <rPh sb="2" eb="4">
      <t>コウソク</t>
    </rPh>
    <phoneticPr fontId="2"/>
  </si>
  <si>
    <t>R</t>
    <phoneticPr fontId="2"/>
  </si>
  <si>
    <t>タイプ2</t>
    <phoneticPr fontId="2"/>
  </si>
  <si>
    <t>割増係数</t>
    <rPh sb="0" eb="1">
      <t>ワ</t>
    </rPh>
    <rPh sb="1" eb="2">
      <t>マ</t>
    </rPh>
    <rPh sb="2" eb="4">
      <t>ケイスウ</t>
    </rPh>
    <phoneticPr fontId="2"/>
  </si>
  <si>
    <t>荷重No</t>
    <rPh sb="0" eb="2">
      <t>カジュウ</t>
    </rPh>
    <phoneticPr fontId="2"/>
  </si>
  <si>
    <t>記号</t>
    <rPh sb="0" eb="2">
      <t>キゴウ</t>
    </rPh>
    <phoneticPr fontId="2"/>
  </si>
  <si>
    <t>名称</t>
    <rPh sb="0" eb="2">
      <t>メイショウ</t>
    </rPh>
    <phoneticPr fontId="2"/>
  </si>
  <si>
    <t>構造系条件</t>
    <rPh sb="0" eb="2">
      <t>コウゾウ</t>
    </rPh>
    <rPh sb="2" eb="3">
      <t>ケイ</t>
    </rPh>
    <rPh sb="3" eb="5">
      <t>ジョウケン</t>
    </rPh>
    <phoneticPr fontId="2"/>
  </si>
  <si>
    <t>支点</t>
    <rPh sb="0" eb="2">
      <t>シテン</t>
    </rPh>
    <phoneticPr fontId="2"/>
  </si>
  <si>
    <t>断面</t>
    <rPh sb="0" eb="2">
      <t>ダンメン</t>
    </rPh>
    <phoneticPr fontId="2"/>
  </si>
  <si>
    <t>結合</t>
    <rPh sb="0" eb="2">
      <t>ケツゴウ</t>
    </rPh>
    <phoneticPr fontId="2"/>
  </si>
  <si>
    <t>三次元骨組解析（入力データ：荷重名称）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メイショウ</t>
    </rPh>
    <phoneticPr fontId="2"/>
  </si>
  <si>
    <t>部材1</t>
    <rPh sb="0" eb="2">
      <t>ブザイ</t>
    </rPh>
    <phoneticPr fontId="2"/>
  </si>
  <si>
    <t>部材2</t>
    <rPh sb="0" eb="2">
      <t>ブザイ</t>
    </rPh>
    <phoneticPr fontId="2"/>
  </si>
  <si>
    <t>部材荷重</t>
    <rPh sb="0" eb="2">
      <t>ブザイ</t>
    </rPh>
    <rPh sb="2" eb="4">
      <t>カジュウ</t>
    </rPh>
    <phoneticPr fontId="2"/>
  </si>
  <si>
    <t>節点荷重</t>
    <rPh sb="0" eb="1">
      <t>フシ</t>
    </rPh>
    <rPh sb="1" eb="2">
      <t>テン</t>
    </rPh>
    <rPh sb="2" eb="4">
      <t>カジュウ</t>
    </rPh>
    <phoneticPr fontId="2"/>
  </si>
  <si>
    <t>本システムは、入力データをサーバーに送出し, 計算結果をサーバーから受け取ります</t>
    <rPh sb="7" eb="9">
      <t>ニュウリョク</t>
    </rPh>
    <rPh sb="18" eb="20">
      <t>ソウシュツ</t>
    </rPh>
    <rPh sb="23" eb="25">
      <t>ケイサン</t>
    </rPh>
    <rPh sb="25" eb="27">
      <t>ケッカ</t>
    </rPh>
    <rPh sb="34" eb="35">
      <t>ウ</t>
    </rPh>
    <rPh sb="36" eb="37">
      <t>ト</t>
    </rPh>
    <phoneticPr fontId="2"/>
  </si>
  <si>
    <t>"WebFrame" --- 立体骨組構造解析プログラム</t>
    <rPh sb="15" eb="17">
      <t>リッタイ</t>
    </rPh>
    <rPh sb="17" eb="18">
      <t>ホネ</t>
    </rPh>
    <rPh sb="18" eb="19">
      <t>グ</t>
    </rPh>
    <rPh sb="19" eb="21">
      <t>コウゾウ</t>
    </rPh>
    <rPh sb="21" eb="23">
      <t>カイセキ</t>
    </rPh>
    <phoneticPr fontId="2"/>
  </si>
  <si>
    <t>膨張係数</t>
    <rPh sb="0" eb="2">
      <t>ボウチョウ</t>
    </rPh>
    <rPh sb="2" eb="4">
      <t>ケイスウ</t>
    </rPh>
    <phoneticPr fontId="2"/>
  </si>
  <si>
    <t>1（剛結) /  0(ピン結) で指定</t>
    <phoneticPr fontId="2"/>
  </si>
  <si>
    <t>Yes</t>
    <phoneticPr fontId="2"/>
  </si>
  <si>
    <t>No</t>
    <phoneticPr fontId="2"/>
  </si>
  <si>
    <t>方向</t>
    <rPh sb="0" eb="2">
      <t>ホウコウ</t>
    </rPh>
    <phoneticPr fontId="2"/>
  </si>
  <si>
    <t>三次元骨組解析（入力データ：材料）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ザイリョウ</t>
    </rPh>
    <phoneticPr fontId="2"/>
  </si>
  <si>
    <t>三次元骨組解析（入力データ：部材分布バネ）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rPh sb="16" eb="18">
      <t>ブンプ</t>
    </rPh>
    <phoneticPr fontId="2"/>
  </si>
  <si>
    <t>三次元骨組解析（入力データ：材端結合条件）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5">
      <t>ザイ</t>
    </rPh>
    <rPh sb="15" eb="16">
      <t>ハシ</t>
    </rPh>
    <rPh sb="16" eb="18">
      <t>ケツゴウ</t>
    </rPh>
    <rPh sb="18" eb="20">
      <t>ジョウケン</t>
    </rPh>
    <phoneticPr fontId="2"/>
  </si>
  <si>
    <t>荷重描画</t>
    <rPh sb="0" eb="2">
      <t>カジュウ</t>
    </rPh>
    <rPh sb="2" eb="4">
      <t>ビョウガ</t>
    </rPh>
    <phoneticPr fontId="2"/>
  </si>
  <si>
    <t>描画</t>
    <rPh sb="0" eb="2">
      <t>ビョウガ</t>
    </rPh>
    <phoneticPr fontId="2"/>
  </si>
  <si>
    <t>変位δ</t>
  </si>
  <si>
    <t>┃　　ＵＲＬ：</t>
    <phoneticPr fontId="2"/>
  </si>
  <si>
    <t>┃　　Ｍail ：</t>
    <phoneticPr fontId="2"/>
  </si>
  <si>
    <t>sasaicco@gmail.com </t>
    <phoneticPr fontId="2"/>
  </si>
  <si>
    <t>┃　　ＴＥＬ：</t>
    <phoneticPr fontId="2"/>
  </si>
  <si>
    <t>050-5806-0301 </t>
    <phoneticPr fontId="2"/>
  </si>
  <si>
    <t>省略できます</t>
    <rPh sb="0" eb="2">
      <t>ショウリャク</t>
    </rPh>
    <phoneticPr fontId="2"/>
  </si>
  <si>
    <t>解析モード</t>
    <rPh sb="0" eb="2">
      <t>カイセキ</t>
    </rPh>
    <phoneticPr fontId="2"/>
  </si>
  <si>
    <t>断面二次ﾓｰﾒﾝﾄ</t>
    <rPh sb="0" eb="2">
      <t>ダンメン</t>
    </rPh>
    <rPh sb="2" eb="4">
      <t>ニジ</t>
    </rPh>
    <phoneticPr fontId="2"/>
  </si>
  <si>
    <t>本システムは、立体骨組み解析ソフトです。</t>
    <rPh sb="7" eb="9">
      <t>リッタイ</t>
    </rPh>
    <rPh sb="10" eb="11">
      <t>グ</t>
    </rPh>
    <rPh sb="12" eb="14">
      <t>カイセキ</t>
    </rPh>
    <phoneticPr fontId="2"/>
  </si>
  <si>
    <t>本システムは、平面骨組み解析 2次元モード, 立体骨組み解析 3次元モード を選択できます</t>
    <rPh sb="7" eb="9">
      <t>ヘイメン</t>
    </rPh>
    <rPh sb="23" eb="25">
      <t>リッタイ</t>
    </rPh>
    <rPh sb="25" eb="26">
      <t>ホネ</t>
    </rPh>
    <rPh sb="26" eb="27">
      <t>グ</t>
    </rPh>
    <rPh sb="28" eb="30">
      <t>カイセキ</t>
    </rPh>
    <rPh sb="32" eb="34">
      <t>ジゲン</t>
    </rPh>
    <rPh sb="39" eb="41">
      <t>センタク</t>
    </rPh>
    <phoneticPr fontId="2"/>
  </si>
  <si>
    <t>部材長</t>
    <rPh sb="0" eb="2">
      <t>ブザイ</t>
    </rPh>
    <rPh sb="2" eb="3">
      <t>ナガ</t>
    </rPh>
    <phoneticPr fontId="2"/>
  </si>
  <si>
    <t>三次元骨組解析（入力データ：着目点）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チャクモク</t>
    </rPh>
    <rPh sb="16" eb="17">
      <t>テン</t>
    </rPh>
    <phoneticPr fontId="2"/>
  </si>
  <si>
    <t>i端からの距離</t>
    <rPh sb="1" eb="2">
      <t>ハシ</t>
    </rPh>
    <rPh sb="5" eb="7">
      <t>キョリ</t>
    </rPh>
    <phoneticPr fontId="2"/>
  </si>
  <si>
    <r>
      <t>L2</t>
    </r>
    <r>
      <rPr>
        <sz val="11"/>
        <color indexed="8"/>
        <rFont val="ＭＳ Ｐゴシック"/>
        <family val="3"/>
        <charset val="128"/>
      </rPr>
      <t/>
    </r>
  </si>
  <si>
    <r>
      <t>L3</t>
    </r>
    <r>
      <rPr>
        <sz val="11"/>
        <color indexed="8"/>
        <rFont val="ＭＳ Ｐゴシック"/>
        <family val="3"/>
        <charset val="128"/>
      </rPr>
      <t/>
    </r>
  </si>
  <si>
    <r>
      <t>L4</t>
    </r>
    <r>
      <rPr>
        <sz val="11"/>
        <color indexed="8"/>
        <rFont val="ＭＳ Ｐゴシック"/>
        <family val="3"/>
        <charset val="128"/>
      </rPr>
      <t/>
    </r>
  </si>
  <si>
    <r>
      <t>L5</t>
    </r>
    <r>
      <rPr>
        <sz val="11"/>
        <color indexed="8"/>
        <rFont val="ＭＳ Ｐゴシック"/>
        <family val="3"/>
        <charset val="128"/>
      </rPr>
      <t/>
    </r>
  </si>
  <si>
    <r>
      <t>L6</t>
    </r>
    <r>
      <rPr>
        <sz val="11"/>
        <color indexed="8"/>
        <rFont val="ＭＳ Ｐゴシック"/>
        <family val="3"/>
        <charset val="128"/>
      </rPr>
      <t/>
    </r>
  </si>
  <si>
    <r>
      <t>L7</t>
    </r>
    <r>
      <rPr>
        <sz val="11"/>
        <color indexed="8"/>
        <rFont val="ＭＳ Ｐゴシック"/>
        <family val="3"/>
        <charset val="128"/>
      </rPr>
      <t/>
    </r>
  </si>
  <si>
    <r>
      <t>L8</t>
    </r>
    <r>
      <rPr>
        <sz val="11"/>
        <color indexed="8"/>
        <rFont val="ＭＳ Ｐゴシック"/>
        <family val="3"/>
        <charset val="128"/>
      </rPr>
      <t/>
    </r>
  </si>
  <si>
    <r>
      <t>L9</t>
    </r>
    <r>
      <rPr>
        <sz val="11"/>
        <color indexed="8"/>
        <rFont val="ＭＳ Ｐゴシック"/>
        <family val="3"/>
        <charset val="128"/>
      </rPr>
      <t/>
    </r>
  </si>
  <si>
    <r>
      <t>L10</t>
    </r>
    <r>
      <rPr>
        <sz val="11"/>
        <color indexed="8"/>
        <rFont val="ＭＳ Ｐゴシック"/>
        <family val="3"/>
        <charset val="128"/>
      </rPr>
      <t/>
    </r>
  </si>
  <si>
    <r>
      <t>L11</t>
    </r>
    <r>
      <rPr>
        <sz val="11"/>
        <color indexed="8"/>
        <rFont val="ＭＳ Ｐゴシック"/>
        <family val="3"/>
        <charset val="128"/>
      </rPr>
      <t/>
    </r>
  </si>
  <si>
    <r>
      <t>L12</t>
    </r>
    <r>
      <rPr>
        <sz val="11"/>
        <color indexed="8"/>
        <rFont val="ＭＳ Ｐゴシック"/>
        <family val="3"/>
        <charset val="128"/>
      </rPr>
      <t/>
    </r>
  </si>
  <si>
    <t>材料No</t>
    <rPh sb="0" eb="2">
      <t>ザイリョウ</t>
    </rPh>
    <phoneticPr fontId="2"/>
  </si>
  <si>
    <t>1 ：固定支点/数値：バネ支点</t>
    <rPh sb="3" eb="5">
      <t>コテイ</t>
    </rPh>
    <rPh sb="5" eb="7">
      <t>シテン</t>
    </rPh>
    <rPh sb="8" eb="10">
      <t>スウチ</t>
    </rPh>
    <rPh sb="13" eb="15">
      <t>シテン</t>
    </rPh>
    <phoneticPr fontId="2"/>
  </si>
  <si>
    <t>やデータの喪失、その他の金銭的損失を含むがこれに限定されず)について、弊社</t>
    <phoneticPr fontId="2"/>
  </si>
  <si>
    <t>は購入者に対していかなる賠償する責を負わず、懲罰的損害賠償も行わないものとい</t>
    <phoneticPr fontId="2"/>
  </si>
  <si>
    <t>X</t>
  </si>
  <si>
    <t>Y</t>
  </si>
  <si>
    <t>argZ</t>
  </si>
  <si>
    <t>着目点</t>
  </si>
  <si>
    <t>yes</t>
    <phoneticPr fontId="2"/>
  </si>
  <si>
    <t>三次元骨組解析（DEFINE）</t>
    <rPh sb="0" eb="3">
      <t>サンジゲン</t>
    </rPh>
    <phoneticPr fontId="2"/>
  </si>
  <si>
    <t>三次元骨組解析（COMBINE）</t>
    <rPh sb="0" eb="3">
      <t>サンジゲン</t>
    </rPh>
    <phoneticPr fontId="2"/>
  </si>
  <si>
    <t>三次元骨組解析（PICKUP）</t>
    <rPh sb="0" eb="3">
      <t>サンジゲン</t>
    </rPh>
    <phoneticPr fontId="2"/>
  </si>
  <si>
    <t>三次元骨組解析（入力データ：荷重強度）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キョウド</t>
    </rPh>
    <phoneticPr fontId="2"/>
  </si>
  <si>
    <t>no</t>
    <phoneticPr fontId="2"/>
  </si>
  <si>
    <t>骨組解析（節点番号図）</t>
    <rPh sb="0" eb="1">
      <t>ホネ</t>
    </rPh>
    <rPh sb="1" eb="2">
      <t>グミ</t>
    </rPh>
    <rPh sb="2" eb="4">
      <t>カイセキ</t>
    </rPh>
    <rPh sb="5" eb="6">
      <t>フシ</t>
    </rPh>
    <rPh sb="6" eb="7">
      <t>テン</t>
    </rPh>
    <rPh sb="7" eb="9">
      <t>バンゴウ</t>
    </rPh>
    <rPh sb="9" eb="10">
      <t>ズ</t>
    </rPh>
    <phoneticPr fontId="2"/>
  </si>
  <si>
    <t>No</t>
    <phoneticPr fontId="2"/>
  </si>
  <si>
    <t>X</t>
    <phoneticPr fontId="2"/>
  </si>
  <si>
    <t>Y</t>
    <phoneticPr fontId="2"/>
  </si>
  <si>
    <t>Y</t>
    <phoneticPr fontId="2"/>
  </si>
  <si>
    <t>Z</t>
    <phoneticPr fontId="2"/>
  </si>
  <si>
    <t>Z</t>
    <phoneticPr fontId="2"/>
  </si>
  <si>
    <t>タイプ１</t>
    <phoneticPr fontId="2"/>
  </si>
  <si>
    <t>タイプ３</t>
    <phoneticPr fontId="2"/>
  </si>
  <si>
    <t>部材No</t>
    <phoneticPr fontId="2"/>
  </si>
  <si>
    <t>fai</t>
    <phoneticPr fontId="2"/>
  </si>
  <si>
    <t>材料No</t>
    <phoneticPr fontId="2"/>
  </si>
  <si>
    <t>タイプ２</t>
    <phoneticPr fontId="2"/>
  </si>
  <si>
    <t>G</t>
    <phoneticPr fontId="2"/>
  </si>
  <si>
    <t>J</t>
    <phoneticPr fontId="2"/>
  </si>
  <si>
    <t>Iy</t>
    <phoneticPr fontId="2"/>
  </si>
  <si>
    <t>Iz</t>
    <phoneticPr fontId="2"/>
  </si>
  <si>
    <t>膨張係数</t>
    <phoneticPr fontId="2"/>
  </si>
  <si>
    <t>部材長</t>
    <phoneticPr fontId="2"/>
  </si>
  <si>
    <t>L1</t>
    <phoneticPr fontId="2"/>
  </si>
  <si>
    <t>タイプ3</t>
    <phoneticPr fontId="2"/>
  </si>
  <si>
    <t>バネ</t>
    <phoneticPr fontId="2"/>
  </si>
  <si>
    <t>ﾏｰｸ</t>
    <phoneticPr fontId="2"/>
  </si>
  <si>
    <t>L2</t>
    <phoneticPr fontId="2"/>
  </si>
  <si>
    <t>P1</t>
    <phoneticPr fontId="2"/>
  </si>
  <si>
    <t>P2</t>
    <phoneticPr fontId="2"/>
  </si>
  <si>
    <t>Define</t>
    <phoneticPr fontId="71"/>
  </si>
  <si>
    <t>Case</t>
    <phoneticPr fontId="71"/>
  </si>
  <si>
    <t>Comb
No</t>
    <phoneticPr fontId="2"/>
  </si>
  <si>
    <t>PickUpNo</t>
    <phoneticPr fontId="71"/>
  </si>
  <si>
    <t>http://structuralengine.com</t>
    <phoneticPr fontId="2"/>
  </si>
  <si>
    <t>乾燥収縮</t>
    <rPh sb="0" eb="2">
      <t>カンソウ</t>
    </rPh>
    <rPh sb="2" eb="4">
      <t>シュウシュク</t>
    </rPh>
    <phoneticPr fontId="2"/>
  </si>
  <si>
    <t>D1</t>
  </si>
  <si>
    <t>固定死荷重</t>
    <rPh sb="0" eb="2">
      <t>コテイ</t>
    </rPh>
    <rPh sb="2" eb="5">
      <t>シカジュウ</t>
    </rPh>
    <phoneticPr fontId="2"/>
  </si>
  <si>
    <t>D2</t>
  </si>
  <si>
    <t>付加死荷重</t>
    <rPh sb="0" eb="2">
      <t>フカ</t>
    </rPh>
    <rPh sb="2" eb="5">
      <t>シカジュウ</t>
    </rPh>
    <phoneticPr fontId="2"/>
  </si>
  <si>
    <t>SH</t>
    <phoneticPr fontId="2"/>
  </si>
  <si>
    <t>温度変化</t>
    <rPh sb="0" eb="2">
      <t>オンド</t>
    </rPh>
    <rPh sb="2" eb="4">
      <t>ヘンカ</t>
    </rPh>
    <phoneticPr fontId="2"/>
  </si>
  <si>
    <t>雪(2年)</t>
    <rPh sb="0" eb="1">
      <t>ユキ</t>
    </rPh>
    <rPh sb="3" eb="4">
      <t>ネン</t>
    </rPh>
    <phoneticPr fontId="2"/>
  </si>
  <si>
    <t>雪(10年)</t>
    <rPh sb="0" eb="1">
      <t>ユキ</t>
    </rPh>
    <rPh sb="4" eb="5">
      <t>ネン</t>
    </rPh>
    <phoneticPr fontId="2"/>
  </si>
  <si>
    <t>Sw100</t>
    <phoneticPr fontId="2"/>
  </si>
  <si>
    <t>雪(100年)</t>
    <rPh sb="0" eb="1">
      <t>ユキ</t>
    </rPh>
    <rPh sb="5" eb="6">
      <t>ネン</t>
    </rPh>
    <phoneticPr fontId="2"/>
  </si>
  <si>
    <t>列車荷重(安全性)下り副本線</t>
    <rPh sb="0" eb="2">
      <t>レッシャ</t>
    </rPh>
    <rPh sb="2" eb="4">
      <t>カジュウ</t>
    </rPh>
    <rPh sb="5" eb="8">
      <t>アンゼンセイ</t>
    </rPh>
    <rPh sb="9" eb="10">
      <t>クダ</t>
    </rPh>
    <rPh sb="11" eb="12">
      <t>フク</t>
    </rPh>
    <rPh sb="12" eb="14">
      <t>ホンセン</t>
    </rPh>
    <phoneticPr fontId="2"/>
  </si>
  <si>
    <t>L12</t>
  </si>
  <si>
    <t>列車荷重(安全性)下り本線</t>
    <rPh sb="0" eb="2">
      <t>レッシャ</t>
    </rPh>
    <rPh sb="2" eb="4">
      <t>カジュウ</t>
    </rPh>
    <rPh sb="5" eb="8">
      <t>アンゼンセイ</t>
    </rPh>
    <rPh sb="9" eb="10">
      <t>クダ</t>
    </rPh>
    <rPh sb="11" eb="13">
      <t>ホンセン</t>
    </rPh>
    <phoneticPr fontId="2"/>
  </si>
  <si>
    <t>L13</t>
  </si>
  <si>
    <t>列車荷重(安全性)上り本線</t>
    <rPh sb="0" eb="2">
      <t>レッシャ</t>
    </rPh>
    <rPh sb="2" eb="4">
      <t>カジュウ</t>
    </rPh>
    <rPh sb="5" eb="8">
      <t>アンゼンセイ</t>
    </rPh>
    <rPh sb="9" eb="10">
      <t>ノボ</t>
    </rPh>
    <rPh sb="11" eb="13">
      <t>ホンセン</t>
    </rPh>
    <phoneticPr fontId="2"/>
  </si>
  <si>
    <t>L14</t>
  </si>
  <si>
    <t>列車荷重(安全性)上り副本線</t>
    <rPh sb="0" eb="2">
      <t>レッシャ</t>
    </rPh>
    <rPh sb="2" eb="4">
      <t>カジュウ</t>
    </rPh>
    <rPh sb="5" eb="8">
      <t>アンゼンセイ</t>
    </rPh>
    <rPh sb="9" eb="10">
      <t>ノボ</t>
    </rPh>
    <rPh sb="11" eb="12">
      <t>フク</t>
    </rPh>
    <rPh sb="12" eb="14">
      <t>ホンセン</t>
    </rPh>
    <phoneticPr fontId="2"/>
  </si>
  <si>
    <t>列車荷重(使用性)下り副本線</t>
    <rPh sb="0" eb="2">
      <t>レッシャ</t>
    </rPh>
    <rPh sb="2" eb="4">
      <t>カジュウ</t>
    </rPh>
    <rPh sb="9" eb="10">
      <t>クダ</t>
    </rPh>
    <rPh sb="11" eb="12">
      <t>フク</t>
    </rPh>
    <rPh sb="12" eb="14">
      <t>ホンセン</t>
    </rPh>
    <phoneticPr fontId="2"/>
  </si>
  <si>
    <t>L22</t>
  </si>
  <si>
    <t>列車荷重(使用性)下り本線</t>
    <rPh sb="0" eb="2">
      <t>レッシャ</t>
    </rPh>
    <rPh sb="2" eb="4">
      <t>カジュウ</t>
    </rPh>
    <rPh sb="9" eb="10">
      <t>クダ</t>
    </rPh>
    <rPh sb="11" eb="13">
      <t>ホンセン</t>
    </rPh>
    <phoneticPr fontId="2"/>
  </si>
  <si>
    <t>L23</t>
  </si>
  <si>
    <t>列車荷重(使用性)上り本線</t>
    <rPh sb="0" eb="2">
      <t>レッシャ</t>
    </rPh>
    <rPh sb="2" eb="4">
      <t>カジュウ</t>
    </rPh>
    <rPh sb="9" eb="10">
      <t>ノボ</t>
    </rPh>
    <rPh sb="11" eb="13">
      <t>ホンセン</t>
    </rPh>
    <phoneticPr fontId="2"/>
  </si>
  <si>
    <t>L24</t>
  </si>
  <si>
    <t>列車荷重(使用性)上り副本線</t>
    <rPh sb="0" eb="2">
      <t>レッシャ</t>
    </rPh>
    <rPh sb="2" eb="4">
      <t>カジュウ</t>
    </rPh>
    <rPh sb="9" eb="10">
      <t>ノボ</t>
    </rPh>
    <rPh sb="11" eb="12">
      <t>フク</t>
    </rPh>
    <rPh sb="12" eb="14">
      <t>ホンセン</t>
    </rPh>
    <phoneticPr fontId="2"/>
  </si>
  <si>
    <t>LF1</t>
    <phoneticPr fontId="2"/>
  </si>
  <si>
    <t>車両横荷重(安全性)</t>
    <rPh sb="0" eb="2">
      <t>シャリョウ</t>
    </rPh>
    <rPh sb="2" eb="3">
      <t>ヨコ</t>
    </rPh>
    <rPh sb="3" eb="5">
      <t>カジュウ</t>
    </rPh>
    <rPh sb="6" eb="9">
      <t>アンゼンセイ</t>
    </rPh>
    <phoneticPr fontId="2"/>
  </si>
  <si>
    <t>LF2</t>
  </si>
  <si>
    <t>車両横荷重(使用性)</t>
    <rPh sb="0" eb="2">
      <t>シャリョウ</t>
    </rPh>
    <rPh sb="2" eb="3">
      <t>ヨコ</t>
    </rPh>
    <rPh sb="3" eb="5">
      <t>カジュウ</t>
    </rPh>
    <rPh sb="6" eb="9">
      <t>シヨウセイ</t>
    </rPh>
    <phoneticPr fontId="2"/>
  </si>
  <si>
    <t>風荷重(列車あり)</t>
    <rPh sb="0" eb="1">
      <t>カゼ</t>
    </rPh>
    <rPh sb="1" eb="3">
      <t>カジュウ</t>
    </rPh>
    <rPh sb="4" eb="6">
      <t>レッシャ</t>
    </rPh>
    <phoneticPr fontId="2"/>
  </si>
  <si>
    <t>W2</t>
  </si>
  <si>
    <t>風荷重(列車なし)</t>
    <rPh sb="0" eb="1">
      <t>カゼ</t>
    </rPh>
    <rPh sb="1" eb="3">
      <t>カジュウ</t>
    </rPh>
    <rPh sb="4" eb="6">
      <t>レッシャ</t>
    </rPh>
    <phoneticPr fontId="2"/>
  </si>
  <si>
    <t>y</t>
    <phoneticPr fontId="2"/>
  </si>
  <si>
    <t>0</t>
    <phoneticPr fontId="2"/>
  </si>
  <si>
    <t>x</t>
    <phoneticPr fontId="2"/>
  </si>
  <si>
    <t>PickUpNo</t>
  </si>
  <si>
    <t>着目断面力</t>
  </si>
  <si>
    <t>部材No</t>
  </si>
  <si>
    <t>最大CaseNo</t>
  </si>
  <si>
    <t>最小CaseNo</t>
  </si>
  <si>
    <t>着目点距離</t>
  </si>
  <si>
    <t>最大Md</t>
  </si>
  <si>
    <t>最大Vd</t>
  </si>
  <si>
    <t>最大Nd</t>
  </si>
  <si>
    <t>最小Md</t>
  </si>
  <si>
    <t>最小Vd</t>
  </si>
  <si>
    <t>最小Nd</t>
  </si>
  <si>
    <t>M</t>
  </si>
  <si>
    <t>ITAN</t>
  </si>
  <si>
    <t>JTAN</t>
  </si>
  <si>
    <t>S</t>
  </si>
  <si>
    <t>N</t>
  </si>
  <si>
    <t>節点No</t>
  </si>
  <si>
    <t>最大X</t>
  </si>
  <si>
    <t>最大Y</t>
  </si>
  <si>
    <t>最大θ</t>
  </si>
  <si>
    <t>最小X</t>
  </si>
  <si>
    <t>最小Y</t>
  </si>
  <si>
    <t>最小θ</t>
  </si>
  <si>
    <t>T</t>
    <phoneticPr fontId="2"/>
  </si>
  <si>
    <t>Sw2</t>
    <phoneticPr fontId="2"/>
  </si>
  <si>
    <t>Sw10</t>
    <phoneticPr fontId="2"/>
  </si>
  <si>
    <t>L11</t>
    <phoneticPr fontId="2"/>
  </si>
  <si>
    <t>L21</t>
    <phoneticPr fontId="2"/>
  </si>
  <si>
    <t>W1</t>
    <phoneticPr fontId="2"/>
  </si>
  <si>
    <t>y</t>
    <phoneticPr fontId="2"/>
  </si>
  <si>
    <t>0</t>
    <phoneticPr fontId="2"/>
  </si>
  <si>
    <t>x</t>
    <phoneticPr fontId="2"/>
  </si>
  <si>
    <t>DEFINEケース</t>
    <phoneticPr fontId="7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</si>
</sst>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76" formatCode="0.0"/>
    <numFmt numFmtId="177" formatCode="0.000"/>
    <numFmt numFmtId="178" formatCode="0.0000"/>
    <numFmt numFmtId="179" formatCode="&quot;φ&quot;\ \1\3"/>
    <numFmt numFmtId="180" formatCode="&quot;φ&quot;\ ##"/>
    <numFmt numFmtId="181" formatCode="0.00_ ;[Red]\-0.00\ "/>
    <numFmt numFmtId="182" formatCode="#\ ?/2"/>
    <numFmt numFmtId="183" formatCode="0_ "/>
    <numFmt numFmtId="184" formatCode="0.000_ "/>
    <numFmt numFmtId="185" formatCode="#,##0_ "/>
    <numFmt numFmtId="186" formatCode="0.00_ "/>
  </numFmts>
  <fonts count="77"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明朝"/>
      <family val="1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vertAlign val="subscript"/>
      <sz val="9"/>
      <name val="ＭＳ 明朝"/>
      <family val="1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0"/>
      <name val="ＭＳ 明朝"/>
      <family val="1"/>
      <charset val="128"/>
    </font>
    <font>
      <sz val="12"/>
      <name val="リュウミンライト−ＫＬ−等幅"/>
      <family val="3"/>
      <charset val="128"/>
    </font>
    <font>
      <sz val="9"/>
      <name val="明朝"/>
      <family val="1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4"/>
      <name val="Terminal"/>
      <family val="3"/>
      <charset val="255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9"/>
      <name val="Times New Roman"/>
      <family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FG丸ｺﾞｼｯｸ体Ca-M"/>
      <family val="3"/>
      <charset val="128"/>
    </font>
    <font>
      <sz val="11"/>
      <name val="ＭＳ Ｐ明朝"/>
      <family val="1"/>
      <charset val="128"/>
    </font>
    <font>
      <sz val="11"/>
      <color indexed="52"/>
      <name val="Calibri"/>
      <family val="2"/>
    </font>
    <font>
      <sz val="11"/>
      <name val="ＭＳ 明朝"/>
      <family val="1"/>
      <charset val="128"/>
    </font>
    <font>
      <sz val="11"/>
      <color indexed="60"/>
      <name val="Calibri"/>
      <family val="2"/>
    </font>
    <font>
      <sz val="7"/>
      <name val="Small Fonts"/>
      <family val="3"/>
      <charset val="128"/>
    </font>
    <font>
      <sz val="10"/>
      <name val="Arial"/>
      <family val="2"/>
    </font>
    <font>
      <b/>
      <sz val="11"/>
      <color indexed="63"/>
      <name val="Calibri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0"/>
      <name val="ＭＳ ゴシック"/>
      <family val="3"/>
      <charset val="128"/>
    </font>
    <font>
      <sz val="11"/>
      <color indexed="10"/>
      <name val="Calibri"/>
      <family val="2"/>
    </font>
    <font>
      <vertAlign val="subscript"/>
      <sz val="10"/>
      <color indexed="8"/>
      <name val="ＭＳ Ｐゴシック"/>
      <family val="3"/>
      <charset val="128"/>
    </font>
    <font>
      <sz val="10"/>
      <name val="明朝"/>
      <family val="1"/>
      <charset val="128"/>
    </font>
    <font>
      <vertAlign val="superscript"/>
      <sz val="9"/>
      <name val="ＭＳ 明朝"/>
      <family val="1"/>
      <charset val="128"/>
    </font>
    <font>
      <sz val="10.5"/>
      <name val="ＭＳ 明朝"/>
      <family val="1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0"/>
      <color indexed="8"/>
      <name val="ＭＳ 明朝"/>
      <family val="1"/>
      <charset val="128"/>
    </font>
    <font>
      <b/>
      <u/>
      <sz val="10"/>
      <name val="ＭＳ Ｐゴシック"/>
      <family val="3"/>
      <charset val="128"/>
    </font>
    <font>
      <b/>
      <u/>
      <sz val="14"/>
      <name val="ＭＳ Ｐゴシック"/>
      <family val="3"/>
      <charset val="128"/>
    </font>
    <font>
      <sz val="10"/>
      <color indexed="8"/>
      <name val="ＭＳ ゴシック"/>
      <family val="3"/>
      <charset val="128"/>
    </font>
    <font>
      <sz val="10"/>
      <color indexed="55"/>
      <name val="ＭＳ ゴシック"/>
      <family val="3"/>
      <charset val="128"/>
    </font>
    <font>
      <sz val="11"/>
      <name val="Courier New"/>
      <family val="3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7"/>
      <color indexed="10"/>
      <name val="ＭＳ ゴシック"/>
      <family val="3"/>
      <charset val="128"/>
    </font>
    <font>
      <sz val="7"/>
      <color indexed="12"/>
      <name val="ＭＳ ゴシック"/>
      <family val="3"/>
      <charset val="128"/>
    </font>
    <font>
      <sz val="6"/>
      <name val="ＭＳ 明朝"/>
      <family val="1"/>
      <charset val="128"/>
    </font>
    <font>
      <b/>
      <sz val="10"/>
      <name val="ＭＳ ゴシック"/>
      <family val="3"/>
      <charset val="128"/>
    </font>
    <font>
      <sz val="9"/>
      <color rgb="FF000000"/>
      <name val="Meiryo UI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name val="ＭＳ 明朝"/>
      <family val="1"/>
      <charset val="128"/>
    </font>
    <font>
      <b/>
      <sz val="10"/>
      <name val="ＭＳ 明朝"/>
      <family val="1"/>
      <charset val="128"/>
    </font>
  </fonts>
  <fills count="38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</fills>
  <borders count="2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86">
    <xf numFmtId="0" fontId="0" fillId="0" borderId="0"/>
    <xf numFmtId="0" fontId="23" fillId="2" borderId="0" applyFill="0" applyBorder="0" applyProtection="0">
      <protection locked="0"/>
    </xf>
    <xf numFmtId="1" fontId="23" fillId="0" borderId="0" applyFont="0" applyFill="0" applyBorder="0" applyProtection="0"/>
    <xf numFmtId="176" fontId="23" fillId="0" borderId="0" applyFill="0" applyBorder="0" applyProtection="0"/>
    <xf numFmtId="2" fontId="23" fillId="0" borderId="0" applyFont="0" applyFill="0" applyBorder="0" applyProtection="0"/>
    <xf numFmtId="177" fontId="23" fillId="2" borderId="0" applyFill="0" applyBorder="0" applyProtection="0"/>
    <xf numFmtId="178" fontId="23" fillId="2" borderId="0" applyFill="0" applyBorder="0" applyProtection="0"/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2" fontId="24" fillId="0" borderId="0" applyNumberFormat="0" applyFont="0" applyFill="0" applyBorder="0" applyProtection="0">
      <alignment vertical="top"/>
    </xf>
    <xf numFmtId="182" fontId="23" fillId="0" borderId="0" applyFont="0" applyFill="0" applyBorder="0" applyProtection="0">
      <alignment horizontal="center"/>
    </xf>
    <xf numFmtId="12" fontId="23" fillId="0" borderId="0" applyFont="0" applyFill="0" applyBorder="0" applyProtection="0">
      <alignment horizontal="center"/>
    </xf>
    <xf numFmtId="0" fontId="4" fillId="0" borderId="0" applyNumberFormat="0" applyFill="0" applyBorder="0" applyProtection="0">
      <alignment vertical="top"/>
    </xf>
    <xf numFmtId="0" fontId="4" fillId="0" borderId="0" applyNumberFormat="0" applyFill="0" applyBorder="0" applyProtection="0">
      <alignment vertical="top"/>
    </xf>
    <xf numFmtId="9" fontId="25" fillId="0" borderId="0"/>
    <xf numFmtId="0" fontId="26" fillId="3" borderId="0" applyNumberFormat="0" applyBorder="0" applyAlignment="0" applyProtection="0"/>
    <xf numFmtId="0" fontId="26" fillId="4" borderId="0" applyNumberFormat="0" applyBorder="0" applyAlignment="0" applyProtection="0"/>
    <xf numFmtId="0" fontId="26" fillId="5" borderId="0" applyNumberFormat="0" applyBorder="0" applyAlignment="0" applyProtection="0"/>
    <xf numFmtId="0" fontId="26" fillId="6" borderId="0" applyNumberFormat="0" applyBorder="0" applyAlignment="0" applyProtection="0"/>
    <xf numFmtId="0" fontId="26" fillId="7" borderId="0" applyNumberFormat="0" applyBorder="0" applyAlignment="0" applyProtection="0"/>
    <xf numFmtId="0" fontId="26" fillId="8" borderId="0" applyNumberFormat="0" applyBorder="0" applyAlignment="0" applyProtection="0"/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11" borderId="0" applyNumberFormat="0" applyBorder="0" applyAlignment="0" applyProtection="0"/>
    <xf numFmtId="0" fontId="26" fillId="6" borderId="0" applyNumberFormat="0" applyBorder="0" applyAlignment="0" applyProtection="0"/>
    <xf numFmtId="0" fontId="26" fillId="9" borderId="0" applyNumberFormat="0" applyBorder="0" applyAlignment="0" applyProtection="0"/>
    <xf numFmtId="0" fontId="26" fillId="12" borderId="0" applyNumberFormat="0" applyBorder="0" applyAlignment="0" applyProtection="0"/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/>
    <xf numFmtId="0" fontId="27" fillId="10" borderId="0" applyNumberFormat="0" applyBorder="0" applyAlignment="0" applyProtection="0"/>
    <xf numFmtId="0" fontId="27" fillId="11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16" borderId="0" applyNumberFormat="0" applyBorder="0" applyAlignment="0" applyProtection="0"/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20" borderId="0" applyNumberFormat="0" applyBorder="0" applyAlignment="0" applyProtection="0"/>
    <xf numFmtId="0" fontId="28" fillId="4" borderId="0" applyNumberFormat="0" applyBorder="0" applyAlignment="0" applyProtection="0"/>
    <xf numFmtId="0" fontId="29" fillId="0" borderId="0" applyFill="0" applyBorder="0" applyAlignment="0"/>
    <xf numFmtId="0" fontId="30" fillId="21" borderId="1" applyNumberFormat="0" applyAlignment="0" applyProtection="0"/>
    <xf numFmtId="0" fontId="31" fillId="22" borderId="2" applyNumberFormat="0" applyAlignment="0" applyProtection="0"/>
    <xf numFmtId="0" fontId="32" fillId="0" borderId="0">
      <alignment horizontal="left"/>
    </xf>
    <xf numFmtId="0" fontId="33" fillId="0" borderId="0" applyNumberFormat="0" applyFill="0" applyBorder="0" applyAlignment="0" applyProtection="0"/>
    <xf numFmtId="0" fontId="34" fillId="5" borderId="0" applyNumberFormat="0" applyBorder="0" applyAlignment="0" applyProtection="0"/>
    <xf numFmtId="0" fontId="35" fillId="0" borderId="3" applyNumberFormat="0" applyAlignment="0" applyProtection="0">
      <alignment horizontal="left" vertical="center"/>
    </xf>
    <xf numFmtId="0" fontId="35" fillId="0" borderId="4">
      <alignment horizontal="left" vertical="center"/>
    </xf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8" borderId="1" applyNumberFormat="0" applyAlignment="0" applyProtection="0"/>
    <xf numFmtId="0" fontId="40" fillId="0" borderId="0">
      <alignment vertical="center"/>
      <protection hidden="1"/>
    </xf>
    <xf numFmtId="0" fontId="41" fillId="0" borderId="0">
      <alignment horizontal="center" vertical="center"/>
    </xf>
    <xf numFmtId="0" fontId="42" fillId="0" borderId="8" applyNumberFormat="0" applyFill="0" applyAlignment="0" applyProtection="0"/>
    <xf numFmtId="0" fontId="43" fillId="0" borderId="0"/>
    <xf numFmtId="0" fontId="44" fillId="23" borderId="0" applyNumberFormat="0" applyBorder="0" applyAlignment="0" applyProtection="0"/>
    <xf numFmtId="37" fontId="45" fillId="0" borderId="0"/>
    <xf numFmtId="0" fontId="46" fillId="0" borderId="0"/>
    <xf numFmtId="0" fontId="46" fillId="24" borderId="9" applyNumberFormat="0" applyFont="0" applyAlignment="0" applyProtection="0"/>
    <xf numFmtId="0" fontId="47" fillId="21" borderId="10" applyNumberFormat="0" applyAlignment="0" applyProtection="0"/>
    <xf numFmtId="4" fontId="32" fillId="0" borderId="0">
      <alignment horizontal="right"/>
    </xf>
    <xf numFmtId="4" fontId="48" fillId="0" borderId="0">
      <alignment horizontal="right"/>
    </xf>
    <xf numFmtId="0" fontId="49" fillId="0" borderId="0">
      <alignment horizontal="left"/>
    </xf>
    <xf numFmtId="0" fontId="50" fillId="0" borderId="0"/>
    <xf numFmtId="0" fontId="51" fillId="0" borderId="0" applyNumberFormat="0" applyFill="0" applyBorder="0" applyAlignment="0" applyProtection="0"/>
    <xf numFmtId="0" fontId="52" fillId="0" borderId="11" applyNumberFormat="0" applyFill="0" applyAlignment="0" applyProtection="0"/>
    <xf numFmtId="0" fontId="23" fillId="0" borderId="12" applyNumberFormat="0" applyFill="0" applyBorder="0" applyAlignment="0" applyProtection="0">
      <alignment vertical="center"/>
    </xf>
    <xf numFmtId="2" fontId="53" fillId="0" borderId="0" applyFill="0" applyBorder="0" applyProtection="0">
      <alignment vertical="center"/>
    </xf>
    <xf numFmtId="0" fontId="54" fillId="0" borderId="0" applyNumberFormat="0" applyFill="0" applyBorder="0" applyAlignment="0" applyProtection="0"/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2" fontId="6" fillId="0" borderId="0" applyNumberFormat="0" applyFill="0" applyBorder="0" applyAlignment="0" applyProtection="0"/>
    <xf numFmtId="181" fontId="43" fillId="0" borderId="0">
      <alignment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38" fontId="23" fillId="0" borderId="0">
      <alignment horizontal="center" vertical="center" textRotation="90"/>
    </xf>
    <xf numFmtId="38" fontId="55" fillId="0" borderId="0" applyFon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2" fontId="23" fillId="0" borderId="0" applyNumberFormat="0" applyFont="0" applyFill="0" applyBorder="0" applyProtection="0">
      <alignment horizontal="left" indent="1"/>
    </xf>
    <xf numFmtId="11" fontId="53" fillId="0" borderId="0" applyFill="0" applyBorder="0" applyProtection="0">
      <alignment horizontal="center"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2" fontId="3" fillId="0" borderId="0" applyNumberFormat="0" applyFont="0" applyFill="0" applyBorder="0" applyProtection="0">
      <alignment horizontal="center" vertical="center" textRotation="255"/>
    </xf>
    <xf numFmtId="2" fontId="3" fillId="0" borderId="0" applyNumberFormat="0" applyFont="0" applyFill="0" applyBorder="0" applyProtection="0">
      <alignment vertical="center"/>
    </xf>
    <xf numFmtId="2" fontId="3" fillId="0" borderId="0" applyNumberFormat="0" applyFont="0" applyFill="0" applyBorder="0" applyProtection="0">
      <alignment shrinkToFit="1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2" fontId="57" fillId="0" borderId="0" applyNumberFormat="0" applyFill="0" applyBorder="0" applyAlignment="0" applyProtection="0"/>
    <xf numFmtId="0" fontId="41" fillId="0" borderId="0">
      <alignment horizontal="center"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38" fontId="43" fillId="0" borderId="0" applyFont="0" applyFill="0" applyBorder="0" applyAlignment="0" applyProtection="0">
      <alignment vertical="center"/>
    </xf>
    <xf numFmtId="0" fontId="53" fillId="0" borderId="0" applyFill="0" applyBorder="0" applyProtection="0">
      <alignment horizontal="center"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2" fontId="3" fillId="0" borderId="0" applyNumberFormat="0" applyFont="0" applyFill="0" applyBorder="0" applyProtection="0">
      <alignment horizontal="centerContinuous" vertical="center"/>
    </xf>
    <xf numFmtId="2" fontId="3" fillId="0" borderId="0" applyNumberFormat="0" applyFont="0" applyFill="0" applyBorder="0" applyProtection="0">
      <alignment horizontal="centerContinuous"/>
    </xf>
    <xf numFmtId="0" fontId="58" fillId="0" borderId="0"/>
    <xf numFmtId="0" fontId="1" fillId="0" borderId="0">
      <alignment vertical="center"/>
    </xf>
    <xf numFmtId="0" fontId="58" fillId="0" borderId="0"/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1" fillId="0" borderId="0"/>
    <xf numFmtId="0" fontId="59" fillId="0" borderId="0"/>
    <xf numFmtId="0" fontId="41" fillId="0" borderId="0">
      <alignment horizontal="center" vertical="center"/>
    </xf>
    <xf numFmtId="12" fontId="53" fillId="0" borderId="0" applyFill="0" applyBorder="0" applyProtection="0">
      <alignment horizontal="center" vertical="center"/>
    </xf>
    <xf numFmtId="0" fontId="60" fillId="0" borderId="0"/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</cellStyleXfs>
  <cellXfs count="228">
    <xf numFmtId="0" fontId="0" fillId="0" borderId="0" xfId="0"/>
    <xf numFmtId="0" fontId="61" fillId="0" borderId="0" xfId="377" applyFont="1" applyFill="1" applyBorder="1">
      <alignment vertical="center"/>
    </xf>
    <xf numFmtId="0" fontId="61" fillId="0" borderId="0" xfId="377" applyFont="1" applyFill="1">
      <alignment vertical="center"/>
    </xf>
    <xf numFmtId="0" fontId="62" fillId="0" borderId="0" xfId="0" applyFont="1" applyFill="1"/>
    <xf numFmtId="0" fontId="23" fillId="0" borderId="0" xfId="0" applyFont="1" applyFill="1"/>
    <xf numFmtId="0" fontId="61" fillId="0" borderId="0" xfId="0" applyFont="1" applyFill="1"/>
    <xf numFmtId="0" fontId="63" fillId="0" borderId="0" xfId="0" applyFont="1" applyFill="1" applyAlignment="1">
      <alignment horizontal="centerContinuous"/>
    </xf>
    <xf numFmtId="0" fontId="59" fillId="0" borderId="0" xfId="0" applyFont="1" applyFill="1" applyAlignment="1">
      <alignment horizontal="centerContinuous"/>
    </xf>
    <xf numFmtId="0" fontId="59" fillId="0" borderId="0" xfId="0" applyFont="1" applyFill="1"/>
    <xf numFmtId="0" fontId="61" fillId="0" borderId="0" xfId="377" applyFont="1" applyFill="1" applyAlignment="1">
      <alignment horizontal="left" vertical="center" indent="1"/>
    </xf>
    <xf numFmtId="0" fontId="5" fillId="0" borderId="0" xfId="272" applyFill="1" applyAlignment="1" applyProtection="1">
      <alignment vertical="center"/>
    </xf>
    <xf numFmtId="0" fontId="64" fillId="0" borderId="0" xfId="377" applyFont="1" applyFill="1" applyBorder="1">
      <alignment vertical="center"/>
    </xf>
    <xf numFmtId="0" fontId="65" fillId="0" borderId="0" xfId="0" applyFont="1" applyFill="1"/>
    <xf numFmtId="0" fontId="64" fillId="0" borderId="0" xfId="377" applyFont="1" applyFill="1">
      <alignment vertical="center"/>
    </xf>
    <xf numFmtId="0" fontId="66" fillId="0" borderId="0" xfId="0" applyFont="1" applyAlignment="1">
      <alignment horizontal="left"/>
    </xf>
    <xf numFmtId="0" fontId="0" fillId="0" borderId="0" xfId="0" applyFont="1"/>
    <xf numFmtId="0" fontId="5" fillId="0" borderId="0" xfId="272" applyFill="1" applyAlignment="1" applyProtection="1">
      <alignment horizontal="left" vertical="center"/>
    </xf>
    <xf numFmtId="0" fontId="0" fillId="0" borderId="0" xfId="0" applyFont="1" applyAlignment="1">
      <alignment horizontal="left"/>
    </xf>
    <xf numFmtId="0" fontId="67" fillId="0" borderId="0" xfId="374" applyFont="1" applyFill="1" applyBorder="1" applyProtection="1">
      <alignment vertical="center"/>
      <protection locked="0"/>
    </xf>
    <xf numFmtId="0" fontId="67" fillId="0" borderId="0" xfId="374" applyFont="1" applyFill="1" applyProtection="1">
      <alignment vertical="center"/>
      <protection locked="0"/>
    </xf>
    <xf numFmtId="0" fontId="68" fillId="0" borderId="0" xfId="374" applyFont="1" applyFill="1" applyBorder="1" applyProtection="1">
      <alignment vertical="center"/>
      <protection locked="0"/>
    </xf>
    <xf numFmtId="0" fontId="67" fillId="0" borderId="13" xfId="374" applyFont="1" applyFill="1" applyBorder="1" applyProtection="1">
      <alignment vertical="center"/>
      <protection locked="0"/>
    </xf>
    <xf numFmtId="0" fontId="67" fillId="26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  <protection locked="0"/>
    </xf>
    <xf numFmtId="0" fontId="67" fillId="0" borderId="14" xfId="374" applyFont="1" applyFill="1" applyBorder="1" applyProtection="1">
      <alignment vertical="center"/>
      <protection locked="0"/>
    </xf>
    <xf numFmtId="0" fontId="67" fillId="0" borderId="0" xfId="374" applyNumberFormat="1" applyFont="1">
      <alignment vertical="center"/>
    </xf>
    <xf numFmtId="0" fontId="67" fillId="0" borderId="0" xfId="374" applyFont="1" applyAlignment="1" applyProtection="1">
      <protection locked="0"/>
    </xf>
    <xf numFmtId="0" fontId="67" fillId="0" borderId="13" xfId="374" applyNumberFormat="1" applyFont="1" applyFill="1" applyBorder="1" applyAlignment="1" applyProtection="1">
      <protection locked="0"/>
    </xf>
    <xf numFmtId="0" fontId="67" fillId="0" borderId="0" xfId="374" applyFont="1" applyFill="1" applyBorder="1" applyAlignment="1" applyProtection="1">
      <alignment vertical="center"/>
      <protection locked="0"/>
    </xf>
    <xf numFmtId="0" fontId="67" fillId="0" borderId="0" xfId="374" applyNumberFormat="1" applyFont="1" applyFill="1" applyProtection="1">
      <alignment vertical="center"/>
      <protection locked="0"/>
    </xf>
    <xf numFmtId="0" fontId="68" fillId="0" borderId="0" xfId="374" applyFont="1" applyFill="1" applyBorder="1" applyAlignment="1" applyProtection="1">
      <alignment vertical="center"/>
      <protection locked="0"/>
    </xf>
    <xf numFmtId="0" fontId="67" fillId="0" borderId="0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horizontal="center" vertical="center"/>
      <protection locked="0"/>
    </xf>
    <xf numFmtId="0" fontId="67" fillId="28" borderId="15" xfId="374" applyFont="1" applyFill="1" applyBorder="1" applyAlignment="1" applyProtection="1">
      <alignment horizontal="center" vertical="center"/>
    </xf>
    <xf numFmtId="184" fontId="67" fillId="26" borderId="14" xfId="374" applyNumberFormat="1" applyFont="1" applyFill="1" applyBorder="1" applyProtection="1">
      <alignment vertical="center"/>
    </xf>
    <xf numFmtId="0" fontId="67" fillId="0" borderId="15" xfId="374" applyFont="1" applyFill="1" applyBorder="1" applyProtection="1">
      <alignment vertical="center"/>
      <protection locked="0"/>
    </xf>
    <xf numFmtId="185" fontId="67" fillId="0" borderId="0" xfId="374" applyNumberFormat="1" applyFont="1" applyFill="1" applyBorder="1" applyProtection="1">
      <alignment vertical="center"/>
      <protection locked="0"/>
    </xf>
    <xf numFmtId="185" fontId="67" fillId="0" borderId="13" xfId="374" applyNumberFormat="1" applyFont="1" applyFill="1" applyBorder="1" applyAlignment="1" applyProtection="1">
      <protection locked="0"/>
    </xf>
    <xf numFmtId="185" fontId="67" fillId="0" borderId="13" xfId="374" applyNumberFormat="1" applyFont="1" applyFill="1" applyBorder="1" applyProtection="1">
      <alignment vertical="center"/>
      <protection locked="0"/>
    </xf>
    <xf numFmtId="185" fontId="67" fillId="0" borderId="14" xfId="374" applyNumberFormat="1" applyFont="1" applyFill="1" applyBorder="1" applyProtection="1">
      <alignment vertical="center"/>
      <protection locked="0"/>
    </xf>
    <xf numFmtId="184" fontId="67" fillId="0" borderId="14" xfId="0" applyNumberFormat="1" applyFont="1" applyFill="1" applyBorder="1" applyAlignment="1" applyProtection="1">
      <alignment vertical="center"/>
      <protection locked="0"/>
    </xf>
    <xf numFmtId="183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vertical="center"/>
      <protection locked="0"/>
    </xf>
    <xf numFmtId="0" fontId="67" fillId="0" borderId="15" xfId="374" applyFont="1" applyFill="1" applyBorder="1" applyAlignment="1" applyProtection="1">
      <alignment horizontal="center" vertical="center"/>
      <protection locked="0"/>
    </xf>
    <xf numFmtId="0" fontId="67" fillId="0" borderId="16" xfId="0" applyFont="1" applyBorder="1"/>
    <xf numFmtId="0" fontId="67" fillId="0" borderId="0" xfId="0" applyFont="1" applyBorder="1"/>
    <xf numFmtId="0" fontId="67" fillId="0" borderId="0" xfId="374" applyFont="1" applyBorder="1" applyProtection="1">
      <alignment vertical="center"/>
      <protection locked="0"/>
    </xf>
    <xf numFmtId="0" fontId="67" fillId="0" borderId="0" xfId="374" applyFont="1" applyProtection="1">
      <alignment vertical="center"/>
      <protection locked="0"/>
    </xf>
    <xf numFmtId="0" fontId="67" fillId="0" borderId="13" xfId="374" applyFont="1" applyBorder="1" applyProtection="1">
      <alignment vertical="center"/>
      <protection locked="0"/>
    </xf>
    <xf numFmtId="11" fontId="67" fillId="0" borderId="14" xfId="374" applyNumberFormat="1" applyFont="1" applyBorder="1" applyProtection="1">
      <alignment vertical="center"/>
      <protection locked="0"/>
    </xf>
    <xf numFmtId="0" fontId="67" fillId="0" borderId="14" xfId="374" applyFont="1" applyBorder="1" applyProtection="1">
      <alignment vertical="center"/>
      <protection locked="0"/>
    </xf>
    <xf numFmtId="0" fontId="67" fillId="31" borderId="14" xfId="374" applyFont="1" applyFill="1" applyBorder="1" applyAlignment="1" applyProtection="1">
      <alignment horizontal="center" vertical="center"/>
    </xf>
    <xf numFmtId="0" fontId="67" fillId="32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</xf>
    <xf numFmtId="0" fontId="67" fillId="0" borderId="17" xfId="374" applyFont="1" applyFill="1" applyBorder="1" applyProtection="1">
      <alignment vertical="center"/>
      <protection locked="0"/>
    </xf>
    <xf numFmtId="0" fontId="67" fillId="31" borderId="18" xfId="374" applyFont="1" applyFill="1" applyBorder="1" applyAlignment="1" applyProtection="1">
      <alignment horizontal="center" vertical="center"/>
    </xf>
    <xf numFmtId="0" fontId="67" fillId="27" borderId="18" xfId="374" applyFont="1" applyFill="1" applyBorder="1" applyAlignment="1" applyProtection="1">
      <alignment horizontal="center" vertical="center"/>
    </xf>
    <xf numFmtId="0" fontId="67" fillId="32" borderId="18" xfId="374" applyFont="1" applyFill="1" applyBorder="1" applyAlignment="1" applyProtection="1">
      <alignment horizontal="center" vertical="center"/>
    </xf>
    <xf numFmtId="0" fontId="68" fillId="0" borderId="13" xfId="374" applyFont="1" applyFill="1" applyBorder="1" applyProtection="1">
      <alignment vertical="center"/>
      <protection locked="0"/>
    </xf>
    <xf numFmtId="0" fontId="67" fillId="0" borderId="14" xfId="0" applyFont="1" applyBorder="1" applyProtection="1">
      <protection locked="0"/>
    </xf>
    <xf numFmtId="0" fontId="67" fillId="0" borderId="0" xfId="0" applyFont="1" applyProtection="1">
      <protection locked="0"/>
    </xf>
    <xf numFmtId="0" fontId="67" fillId="26" borderId="14" xfId="0" applyFont="1" applyFill="1" applyBorder="1" applyProtection="1"/>
    <xf numFmtId="0" fontId="67" fillId="0" borderId="0" xfId="374" applyNumberFormat="1" applyFont="1" applyFill="1" applyBorder="1" applyProtection="1">
      <alignment vertical="center"/>
      <protection locked="0"/>
    </xf>
    <xf numFmtId="0" fontId="67" fillId="0" borderId="13" xfId="374" applyNumberFormat="1" applyFont="1" applyFill="1" applyBorder="1" applyProtection="1">
      <alignment vertical="center"/>
      <protection locked="0"/>
    </xf>
    <xf numFmtId="0" fontId="67" fillId="0" borderId="14" xfId="374" applyNumberFormat="1" applyFont="1" applyFill="1" applyBorder="1" applyProtection="1">
      <alignment vertical="center"/>
      <protection locked="0"/>
    </xf>
    <xf numFmtId="0" fontId="67" fillId="0" borderId="15" xfId="374" applyNumberFormat="1" applyFont="1" applyFill="1" applyBorder="1" applyProtection="1">
      <alignment vertical="center"/>
      <protection locked="0"/>
    </xf>
    <xf numFmtId="0" fontId="67" fillId="0" borderId="18" xfId="374" applyNumberFormat="1" applyFont="1" applyFill="1" applyBorder="1" applyProtection="1">
      <alignment vertical="center"/>
      <protection locked="0"/>
    </xf>
    <xf numFmtId="0" fontId="67" fillId="27" borderId="17" xfId="374" applyNumberFormat="1" applyFont="1" applyFill="1" applyBorder="1" applyAlignment="1" applyProtection="1">
      <alignment horizontal="center" vertical="center"/>
    </xf>
    <xf numFmtId="0" fontId="67" fillId="29" borderId="17" xfId="374" applyNumberFormat="1" applyFont="1" applyFill="1" applyBorder="1" applyAlignment="1" applyProtection="1">
      <alignment horizontal="center" vertical="center"/>
    </xf>
    <xf numFmtId="0" fontId="67" fillId="30" borderId="17" xfId="374" applyNumberFormat="1" applyFont="1" applyFill="1" applyBorder="1" applyAlignment="1" applyProtection="1">
      <alignment horizontal="center" vertical="center"/>
    </xf>
    <xf numFmtId="0" fontId="67" fillId="29" borderId="14" xfId="374" applyNumberFormat="1" applyFont="1" applyFill="1" applyBorder="1" applyAlignment="1" applyProtection="1">
      <alignment horizontal="center" vertical="center"/>
    </xf>
    <xf numFmtId="0" fontId="67" fillId="30" borderId="14" xfId="374" applyNumberFormat="1" applyFont="1" applyFill="1" applyBorder="1" applyAlignment="1" applyProtection="1">
      <alignment horizontal="center" vertical="center"/>
    </xf>
    <xf numFmtId="0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13" xfId="374" applyNumberFormat="1" applyFont="1" applyFill="1" applyBorder="1" applyAlignment="1" applyProtection="1">
      <alignment horizontal="center" vertical="center"/>
      <protection locked="0"/>
    </xf>
    <xf numFmtId="49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8" fillId="0" borderId="0" xfId="374" applyFont="1" applyProtection="1">
      <alignment vertical="center"/>
      <protection locked="0"/>
    </xf>
    <xf numFmtId="0" fontId="67" fillId="0" borderId="16" xfId="374" applyFont="1" applyBorder="1" applyAlignment="1" applyProtection="1">
      <alignment horizontal="center"/>
      <protection locked="0"/>
    </xf>
    <xf numFmtId="0" fontId="67" fillId="0" borderId="12" xfId="374" applyFont="1" applyBorder="1" applyAlignment="1" applyProtection="1">
      <alignment horizontal="center"/>
      <protection locked="0"/>
    </xf>
    <xf numFmtId="0" fontId="67" fillId="0" borderId="19" xfId="374" applyFont="1" applyBorder="1" applyAlignment="1" applyProtection="1">
      <alignment horizontal="center"/>
      <protection locked="0"/>
    </xf>
    <xf numFmtId="0" fontId="67" fillId="0" borderId="17" xfId="374" applyFont="1" applyBorder="1" applyAlignment="1" applyProtection="1">
      <alignment horizontal="center"/>
      <protection locked="0"/>
    </xf>
    <xf numFmtId="0" fontId="67" fillId="0" borderId="14" xfId="374" applyFont="1" applyBorder="1" applyAlignment="1" applyProtection="1">
      <alignment horizontal="center"/>
      <protection locked="0"/>
    </xf>
    <xf numFmtId="0" fontId="67" fillId="0" borderId="0" xfId="0" applyFont="1" applyAlignment="1" applyProtection="1">
      <alignment vertical="center"/>
      <protection locked="0"/>
    </xf>
    <xf numFmtId="0" fontId="67" fillId="0" borderId="20" xfId="374" applyFont="1" applyBorder="1" applyProtection="1">
      <alignment vertical="center"/>
      <protection locked="0"/>
    </xf>
    <xf numFmtId="0" fontId="67" fillId="0" borderId="21" xfId="374" applyFont="1" applyBorder="1" applyProtection="1">
      <alignment vertical="center"/>
      <protection locked="0"/>
    </xf>
    <xf numFmtId="0" fontId="67" fillId="0" borderId="22" xfId="0" applyFont="1" applyBorder="1" applyAlignment="1" applyProtection="1">
      <alignment vertical="center"/>
      <protection locked="0"/>
    </xf>
    <xf numFmtId="0" fontId="67" fillId="0" borderId="16" xfId="374" applyFont="1" applyBorder="1" applyProtection="1">
      <alignment vertical="center"/>
      <protection locked="0"/>
    </xf>
    <xf numFmtId="0" fontId="67" fillId="0" borderId="15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Protection="1">
      <alignment vertical="center"/>
      <protection locked="0"/>
    </xf>
    <xf numFmtId="0" fontId="67" fillId="25" borderId="14" xfId="0" applyFont="1" applyFill="1" applyBorder="1" applyAlignment="1" applyProtection="1">
      <alignment horizontal="center"/>
    </xf>
    <xf numFmtId="0" fontId="69" fillId="25" borderId="14" xfId="0" applyFont="1" applyFill="1" applyBorder="1" applyAlignment="1" applyProtection="1">
      <alignment horizontal="center"/>
    </xf>
    <xf numFmtId="0" fontId="70" fillId="25" borderId="14" xfId="0" applyFont="1" applyFill="1" applyBorder="1" applyAlignment="1" applyProtection="1">
      <alignment horizontal="center"/>
    </xf>
    <xf numFmtId="11" fontId="67" fillId="25" borderId="14" xfId="0" applyNumberFormat="1" applyFont="1" applyFill="1" applyBorder="1" applyAlignment="1" applyProtection="1"/>
    <xf numFmtId="1" fontId="23" fillId="0" borderId="14" xfId="0" applyNumberFormat="1" applyFont="1" applyBorder="1" applyAlignment="1">
      <alignment vertical="center"/>
    </xf>
    <xf numFmtId="0" fontId="23" fillId="35" borderId="4" xfId="0" applyFont="1" applyFill="1" applyBorder="1" applyAlignment="1">
      <alignment vertical="center"/>
    </xf>
    <xf numFmtId="1" fontId="23" fillId="26" borderId="14" xfId="0" applyNumberFormat="1" applyFont="1" applyFill="1" applyBorder="1" applyAlignment="1">
      <alignment horizontal="center" vertical="center"/>
    </xf>
    <xf numFmtId="0" fontId="23" fillId="0" borderId="14" xfId="0" applyFont="1" applyFill="1" applyBorder="1" applyAlignment="1">
      <alignment vertical="center"/>
    </xf>
    <xf numFmtId="0" fontId="23" fillId="0" borderId="14" xfId="0" applyFont="1" applyBorder="1" applyAlignment="1">
      <alignment vertical="center"/>
    </xf>
    <xf numFmtId="177" fontId="23" fillId="35" borderId="14" xfId="0" applyNumberFormat="1" applyFont="1" applyFill="1" applyBorder="1" applyAlignment="1">
      <alignment horizontal="center" vertical="center"/>
    </xf>
    <xf numFmtId="1" fontId="23" fillId="0" borderId="14" xfId="0" applyNumberFormat="1" applyFont="1" applyFill="1" applyBorder="1" applyAlignment="1">
      <alignment horizontal="center" vertical="center"/>
    </xf>
    <xf numFmtId="1" fontId="23" fillId="35" borderId="4" xfId="0" applyNumberFormat="1" applyFont="1" applyFill="1" applyBorder="1" applyAlignment="1">
      <alignment horizontal="center" vertical="center"/>
    </xf>
    <xf numFmtId="177" fontId="23" fillId="35" borderId="4" xfId="0" applyNumberFormat="1" applyFont="1" applyFill="1" applyBorder="1" applyAlignment="1">
      <alignment horizontal="left" vertical="center" indent="1"/>
    </xf>
    <xf numFmtId="0" fontId="53" fillId="0" borderId="0" xfId="0" applyNumberFormat="1" applyFont="1" applyFill="1" applyBorder="1" applyAlignment="1">
      <alignment horizontal="center" vertical="center"/>
    </xf>
    <xf numFmtId="0" fontId="53" fillId="26" borderId="14" xfId="0" applyNumberFormat="1" applyFont="1" applyFill="1" applyBorder="1" applyAlignment="1">
      <alignment horizontal="center" vertical="center"/>
    </xf>
    <xf numFmtId="184" fontId="53" fillId="0" borderId="0" xfId="0" applyNumberFormat="1" applyFont="1" applyBorder="1" applyAlignment="1">
      <alignment horizontal="right" vertical="center"/>
    </xf>
    <xf numFmtId="184" fontId="53" fillId="0" borderId="14" xfId="0" applyNumberFormat="1" applyFont="1" applyBorder="1" applyAlignment="1">
      <alignment horizontal="right" vertical="center"/>
    </xf>
    <xf numFmtId="0" fontId="53" fillId="35" borderId="4" xfId="0" applyNumberFormat="1" applyFont="1" applyFill="1" applyBorder="1" applyAlignment="1">
      <alignment horizontal="left" vertical="center" indent="1"/>
    </xf>
    <xf numFmtId="0" fontId="53" fillId="35" borderId="4" xfId="0" applyNumberFormat="1" applyFont="1" applyFill="1" applyBorder="1" applyAlignment="1">
      <alignment horizontal="center" vertical="center"/>
    </xf>
    <xf numFmtId="184" fontId="72" fillId="0" borderId="0" xfId="374" applyNumberFormat="1" applyFont="1" applyBorder="1" applyAlignment="1" applyProtection="1">
      <alignment horizontal="left" vertical="center"/>
      <protection locked="0"/>
    </xf>
    <xf numFmtId="0" fontId="68" fillId="0" borderId="0" xfId="374" applyNumberFormat="1" applyFont="1" applyFill="1" applyBorder="1" applyAlignment="1" applyProtection="1">
      <alignment horizontal="center" vertical="center"/>
      <protection locked="0"/>
    </xf>
    <xf numFmtId="0" fontId="67" fillId="0" borderId="13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NumberFormat="1" applyFont="1" applyFill="1" applyBorder="1" applyAlignment="1" applyProtection="1">
      <alignment horizontal="center" vertical="center"/>
      <protection locked="0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184" fontId="67" fillId="0" borderId="14" xfId="374" applyNumberFormat="1" applyFont="1" applyFill="1" applyBorder="1" applyProtection="1">
      <alignment vertical="center"/>
      <protection locked="0"/>
    </xf>
    <xf numFmtId="184" fontId="43" fillId="0" borderId="0" xfId="374" applyNumberFormat="1" applyFont="1" applyFill="1" applyBorder="1" applyAlignment="1" applyProtection="1">
      <alignment horizontal="right" vertical="center"/>
      <protection locked="0"/>
    </xf>
    <xf numFmtId="0" fontId="43" fillId="0" borderId="0" xfId="374" applyNumberFormat="1" applyFont="1" applyFill="1" applyBorder="1" applyProtection="1">
      <alignment vertical="center"/>
      <protection locked="0"/>
    </xf>
    <xf numFmtId="0" fontId="43" fillId="0" borderId="0" xfId="374" applyNumberFormat="1" applyFont="1" applyFill="1" applyBorder="1" applyAlignment="1" applyProtection="1">
      <alignment horizontal="center" vertical="center"/>
      <protection locked="0"/>
    </xf>
    <xf numFmtId="0" fontId="43" fillId="0" borderId="0" xfId="374" applyFont="1" applyFill="1" applyProtection="1">
      <alignment vertical="center"/>
      <protection locked="0"/>
    </xf>
    <xf numFmtId="184" fontId="75" fillId="0" borderId="0" xfId="374" applyNumberFormat="1" applyFont="1" applyFill="1" applyBorder="1" applyAlignment="1" applyProtection="1">
      <alignment horizontal="left" vertical="center"/>
      <protection locked="0"/>
    </xf>
    <xf numFmtId="0" fontId="43" fillId="0" borderId="0" xfId="374" applyFont="1" applyFill="1" applyAlignment="1" applyProtection="1">
      <alignment horizontal="center" vertical="center"/>
      <protection locked="0"/>
    </xf>
    <xf numFmtId="184" fontId="43" fillId="0" borderId="0" xfId="374" applyNumberFormat="1" applyFont="1" applyFill="1" applyAlignment="1" applyProtection="1">
      <alignment horizontal="right" vertical="center"/>
      <protection locked="0"/>
    </xf>
    <xf numFmtId="0" fontId="43" fillId="0" borderId="0" xfId="374" applyFont="1" applyProtection="1">
      <alignment vertical="center"/>
      <protection locked="0"/>
    </xf>
    <xf numFmtId="0" fontId="43" fillId="33" borderId="14" xfId="374" applyFont="1" applyFill="1" applyBorder="1" applyAlignment="1" applyProtection="1">
      <alignment horizontal="center" vertical="center"/>
    </xf>
    <xf numFmtId="184" fontId="43" fillId="0" borderId="14" xfId="374" applyNumberFormat="1" applyFont="1" applyFill="1" applyBorder="1" applyAlignment="1" applyProtection="1">
      <alignment horizontal="right" vertical="center"/>
      <protection locked="0"/>
    </xf>
    <xf numFmtId="0" fontId="43" fillId="0" borderId="14" xfId="374" applyFont="1" applyFill="1" applyBorder="1" applyProtection="1">
      <alignment vertical="center"/>
      <protection locked="0"/>
    </xf>
    <xf numFmtId="0" fontId="43" fillId="0" borderId="14" xfId="374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Border="1" applyAlignment="1">
      <alignment horizontal="center" vertical="center"/>
    </xf>
    <xf numFmtId="0" fontId="43" fillId="0" borderId="0" xfId="0" applyFont="1" applyBorder="1" applyAlignment="1">
      <alignment vertical="center"/>
    </xf>
    <xf numFmtId="184" fontId="76" fillId="0" borderId="0" xfId="374" applyNumberFormat="1" applyFont="1" applyBorder="1" applyAlignment="1" applyProtection="1">
      <alignment horizontal="left" vertical="center"/>
      <protection locked="0"/>
    </xf>
    <xf numFmtId="0" fontId="43" fillId="0" borderId="13" xfId="0" applyFont="1" applyFill="1" applyBorder="1" applyAlignment="1">
      <alignment horizontal="center" vertical="center"/>
    </xf>
    <xf numFmtId="0" fontId="43" fillId="0" borderId="13" xfId="0" applyFont="1" applyBorder="1" applyAlignment="1">
      <alignment vertical="center"/>
    </xf>
    <xf numFmtId="0" fontId="43" fillId="35" borderId="4" xfId="0" applyFont="1" applyFill="1" applyBorder="1" applyAlignment="1">
      <alignment vertical="center"/>
    </xf>
    <xf numFmtId="0" fontId="43" fillId="26" borderId="14" xfId="0" applyFont="1" applyFill="1" applyBorder="1" applyAlignment="1">
      <alignment horizontal="center" vertical="center"/>
    </xf>
    <xf numFmtId="0" fontId="43" fillId="0" borderId="14" xfId="0" applyFont="1" applyBorder="1" applyAlignment="1">
      <alignment vertical="center"/>
    </xf>
    <xf numFmtId="2" fontId="53" fillId="0" borderId="14" xfId="0" applyNumberFormat="1" applyFont="1" applyFill="1" applyBorder="1" applyAlignment="1">
      <alignment horizontal="center" vertical="center"/>
    </xf>
    <xf numFmtId="185" fontId="67" fillId="0" borderId="18" xfId="374" applyNumberFormat="1" applyFont="1" applyFill="1" applyBorder="1" applyProtection="1">
      <alignment vertical="center"/>
      <protection locked="0"/>
    </xf>
    <xf numFmtId="184" fontId="53" fillId="0" borderId="14" xfId="0" applyNumberFormat="1" applyFont="1" applyFill="1" applyBorder="1" applyAlignment="1">
      <alignment horizontal="right" vertical="center"/>
    </xf>
    <xf numFmtId="2" fontId="53" fillId="0" borderId="14" xfId="0" applyNumberFormat="1" applyFont="1" applyFill="1" applyBorder="1" applyAlignment="1">
      <alignment horizontal="center" vertical="center" shrinkToFit="1"/>
    </xf>
    <xf numFmtId="184" fontId="23" fillId="0" borderId="14" xfId="0" applyNumberFormat="1" applyFont="1" applyFill="1" applyBorder="1" applyAlignment="1" applyProtection="1">
      <alignment vertical="center"/>
      <protection locked="0"/>
    </xf>
    <xf numFmtId="183" fontId="23" fillId="0" borderId="14" xfId="374" applyNumberFormat="1" applyFont="1" applyFill="1" applyBorder="1" applyAlignment="1" applyProtection="1">
      <alignment horizontal="center" vertical="center"/>
      <protection locked="0"/>
    </xf>
    <xf numFmtId="185" fontId="23" fillId="0" borderId="14" xfId="374" applyNumberFormat="1" applyFont="1" applyFill="1" applyBorder="1" applyProtection="1">
      <alignment vertical="center"/>
      <protection locked="0"/>
    </xf>
    <xf numFmtId="0" fontId="43" fillId="26" borderId="14" xfId="374" applyFont="1" applyFill="1" applyBorder="1" applyAlignment="1" applyProtection="1">
      <alignment horizontal="center" vertical="center"/>
    </xf>
    <xf numFmtId="0" fontId="43" fillId="0" borderId="14" xfId="0" applyNumberFormat="1" applyFont="1" applyFill="1" applyBorder="1" applyAlignment="1" applyProtection="1">
      <alignment horizontal="center" vertical="center"/>
      <protection locked="0"/>
    </xf>
    <xf numFmtId="184" fontId="43" fillId="26" borderId="14" xfId="374" applyNumberFormat="1" applyFont="1" applyFill="1" applyBorder="1" applyProtection="1">
      <alignment vertical="center"/>
    </xf>
    <xf numFmtId="0" fontId="43" fillId="0" borderId="15" xfId="374" applyFont="1" applyFill="1" applyBorder="1" applyAlignment="1" applyProtection="1">
      <alignment horizontal="center" vertical="center"/>
      <protection locked="0"/>
    </xf>
    <xf numFmtId="0" fontId="43" fillId="0" borderId="14" xfId="374" applyNumberFormat="1" applyFont="1" applyFill="1" applyBorder="1" applyAlignment="1" applyProtection="1">
      <alignment horizontal="center" vertical="center"/>
      <protection locked="0"/>
    </xf>
    <xf numFmtId="0" fontId="23" fillId="0" borderId="14" xfId="374" applyFont="1" applyFill="1" applyBorder="1" applyProtection="1">
      <alignment vertical="center"/>
      <protection locked="0"/>
    </xf>
    <xf numFmtId="11" fontId="23" fillId="0" borderId="14" xfId="374" applyNumberFormat="1" applyFont="1" applyBorder="1" applyProtection="1">
      <alignment vertical="center"/>
      <protection locked="0"/>
    </xf>
    <xf numFmtId="0" fontId="23" fillId="0" borderId="14" xfId="374" applyFont="1" applyBorder="1" applyProtection="1">
      <alignment vertical="center"/>
      <protection locked="0"/>
    </xf>
    <xf numFmtId="0" fontId="23" fillId="0" borderId="14" xfId="0" applyFont="1" applyBorder="1" applyAlignment="1" applyProtection="1">
      <protection locked="0"/>
    </xf>
    <xf numFmtId="0" fontId="23" fillId="26" borderId="14" xfId="0" applyFont="1" applyFill="1" applyBorder="1" applyAlignment="1" applyProtection="1"/>
    <xf numFmtId="184" fontId="23" fillId="0" borderId="14" xfId="374" applyNumberFormat="1" applyFont="1" applyFill="1" applyBorder="1" applyAlignment="1" applyProtection="1">
      <alignment horizontal="right" vertical="center"/>
      <protection locked="0"/>
    </xf>
    <xf numFmtId="183" fontId="23" fillId="0" borderId="14" xfId="374" applyNumberFormat="1" applyFont="1" applyFill="1" applyBorder="1" applyProtection="1">
      <alignment vertical="center"/>
      <protection locked="0"/>
    </xf>
    <xf numFmtId="0" fontId="23" fillId="0" borderId="14" xfId="374" applyFont="1" applyFill="1" applyBorder="1" applyAlignment="1" applyProtection="1">
      <alignment horizontal="center" vertical="center"/>
      <protection locked="0"/>
    </xf>
    <xf numFmtId="49" fontId="23" fillId="0" borderId="14" xfId="374" applyNumberFormat="1" applyFont="1" applyFill="1" applyBorder="1" applyAlignment="1" applyProtection="1">
      <alignment horizontal="center" vertical="center"/>
      <protection locked="0"/>
    </xf>
    <xf numFmtId="186" fontId="23" fillId="0" borderId="14" xfId="374" applyNumberFormat="1" applyFont="1" applyFill="1" applyBorder="1" applyAlignment="1" applyProtection="1">
      <alignment horizontal="right" vertical="center"/>
      <protection locked="0"/>
    </xf>
    <xf numFmtId="186" fontId="23" fillId="0" borderId="14" xfId="374" applyNumberFormat="1" applyFont="1" applyFill="1" applyBorder="1" applyProtection="1">
      <alignment vertical="center"/>
      <protection locked="0"/>
    </xf>
    <xf numFmtId="0" fontId="23" fillId="0" borderId="14" xfId="374" applyNumberFormat="1" applyFont="1" applyFill="1" applyBorder="1" applyAlignment="1" applyProtection="1">
      <alignment horizontal="center" vertical="center"/>
      <protection locked="0"/>
    </xf>
    <xf numFmtId="0" fontId="23" fillId="0" borderId="0" xfId="374" applyFont="1" applyProtection="1">
      <alignment vertical="center"/>
      <protection locked="0"/>
    </xf>
    <xf numFmtId="0" fontId="23" fillId="26" borderId="14" xfId="374" applyFont="1" applyFill="1" applyBorder="1" applyAlignment="1" applyProtection="1">
      <alignment horizontal="center" vertical="center"/>
    </xf>
    <xf numFmtId="0" fontId="23" fillId="0" borderId="0" xfId="374" applyFont="1" applyFill="1" applyProtection="1">
      <alignment vertical="center"/>
      <protection locked="0"/>
    </xf>
    <xf numFmtId="0" fontId="23" fillId="0" borderId="14" xfId="0" applyFont="1" applyBorder="1" applyProtection="1">
      <protection locked="0"/>
    </xf>
    <xf numFmtId="0" fontId="23" fillId="0" borderId="14" xfId="374" applyFont="1" applyFill="1" applyBorder="1" applyAlignment="1" applyProtection="1">
      <protection locked="0"/>
    </xf>
    <xf numFmtId="0" fontId="23" fillId="26" borderId="14" xfId="374" applyFont="1" applyFill="1" applyBorder="1" applyAlignment="1" applyProtection="1"/>
    <xf numFmtId="184" fontId="23" fillId="0" borderId="14" xfId="374" applyNumberFormat="1" applyFont="1" applyFill="1" applyBorder="1" applyAlignment="1" applyProtection="1">
      <alignment horizontal="center" vertical="center"/>
      <protection locked="0"/>
    </xf>
    <xf numFmtId="0" fontId="53" fillId="0" borderId="14" xfId="0" applyFont="1" applyFill="1" applyBorder="1" applyAlignment="1">
      <alignment horizontal="left" vertical="center"/>
    </xf>
    <xf numFmtId="0" fontId="61" fillId="0" borderId="0" xfId="377" applyFont="1" applyFill="1" applyBorder="1" applyAlignment="1">
      <alignment horizontal="center" vertical="center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30" borderId="17" xfId="374" applyNumberFormat="1" applyFont="1" applyFill="1" applyBorder="1" applyAlignment="1" applyProtection="1">
      <alignment horizontal="center" vertical="center"/>
    </xf>
    <xf numFmtId="0" fontId="67" fillId="36" borderId="14" xfId="374" applyFont="1" applyFill="1" applyBorder="1" applyAlignment="1" applyProtection="1">
      <alignment horizontal="center" vertical="center"/>
    </xf>
    <xf numFmtId="185" fontId="67" fillId="27" borderId="17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185" fontId="67" fillId="29" borderId="17" xfId="374" applyNumberFormat="1" applyFont="1" applyFill="1" applyBorder="1" applyAlignment="1" applyProtection="1">
      <alignment horizontal="center" vertical="center"/>
    </xf>
    <xf numFmtId="0" fontId="67" fillId="27" borderId="15" xfId="374" applyNumberFormat="1" applyFont="1" applyFill="1" applyBorder="1" applyAlignment="1" applyProtection="1">
      <alignment horizontal="center" vertical="center"/>
    </xf>
    <xf numFmtId="0" fontId="67" fillId="27" borderId="18" xfId="374" applyNumberFormat="1" applyFont="1" applyFill="1" applyBorder="1" applyAlignment="1" applyProtection="1">
      <alignment horizontal="center" vertical="center"/>
    </xf>
    <xf numFmtId="0" fontId="67" fillId="27" borderId="12" xfId="374" applyFont="1" applyFill="1" applyBorder="1" applyAlignment="1" applyProtection="1">
      <alignment horizontal="center" vertical="center"/>
    </xf>
    <xf numFmtId="0" fontId="67" fillId="27" borderId="17" xfId="374" applyFont="1" applyFill="1" applyBorder="1" applyAlignment="1" applyProtection="1">
      <alignment horizontal="center" vertical="center"/>
    </xf>
    <xf numFmtId="0" fontId="67" fillId="31" borderId="15" xfId="374" applyNumberFormat="1" applyFont="1" applyFill="1" applyBorder="1" applyAlignment="1" applyProtection="1">
      <alignment horizontal="center" vertical="center"/>
    </xf>
    <xf numFmtId="0" fontId="67" fillId="31" borderId="4" xfId="374" applyNumberFormat="1" applyFont="1" applyFill="1" applyBorder="1" applyAlignment="1" applyProtection="1">
      <alignment horizontal="center" vertical="center"/>
    </xf>
    <xf numFmtId="0" fontId="67" fillId="31" borderId="18" xfId="374" applyNumberFormat="1" applyFont="1" applyFill="1" applyBorder="1" applyAlignment="1" applyProtection="1">
      <alignment horizontal="center" vertical="center"/>
    </xf>
    <xf numFmtId="0" fontId="67" fillId="32" borderId="15" xfId="374" applyNumberFormat="1" applyFont="1" applyFill="1" applyBorder="1" applyAlignment="1" applyProtection="1">
      <alignment horizontal="center" vertical="center"/>
    </xf>
    <xf numFmtId="0" fontId="67" fillId="32" borderId="4" xfId="374" applyNumberFormat="1" applyFont="1" applyFill="1" applyBorder="1" applyAlignment="1" applyProtection="1">
      <alignment horizontal="center" vertical="center"/>
    </xf>
    <xf numFmtId="0" fontId="67" fillId="32" borderId="18" xfId="374" applyNumberFormat="1" applyFont="1" applyFill="1" applyBorder="1" applyAlignment="1" applyProtection="1">
      <alignment horizontal="center" vertical="center"/>
    </xf>
    <xf numFmtId="0" fontId="67" fillId="27" borderId="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31" borderId="14" xfId="374" applyNumberFormat="1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32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8" borderId="12" xfId="374" applyFont="1" applyFill="1" applyBorder="1" applyAlignment="1" applyProtection="1">
      <alignment horizontal="center" vertical="center"/>
    </xf>
    <xf numFmtId="0" fontId="67" fillId="28" borderId="23" xfId="374" applyFont="1" applyFill="1" applyBorder="1" applyAlignment="1" applyProtection="1">
      <alignment horizontal="center" vertical="center"/>
    </xf>
    <xf numFmtId="0" fontId="67" fillId="28" borderId="17" xfId="374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4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0" borderId="15" xfId="374" applyNumberFormat="1" applyFont="1" applyFill="1" applyBorder="1" applyAlignment="1" applyProtection="1">
      <alignment horizontal="center" vertical="center"/>
    </xf>
    <xf numFmtId="0" fontId="67" fillId="30" borderId="4" xfId="374" applyNumberFormat="1" applyFont="1" applyFill="1" applyBorder="1" applyAlignment="1" applyProtection="1">
      <alignment horizontal="center" vertical="center"/>
    </xf>
    <xf numFmtId="0" fontId="67" fillId="30" borderId="18" xfId="374" applyNumberFormat="1" applyFont="1" applyFill="1" applyBorder="1" applyAlignment="1" applyProtection="1">
      <alignment horizontal="center" vertical="center"/>
    </xf>
    <xf numFmtId="0" fontId="43" fillId="33" borderId="14" xfId="374" applyFont="1" applyFill="1" applyBorder="1" applyAlignment="1" applyProtection="1">
      <alignment horizontal="center" vertical="center"/>
    </xf>
    <xf numFmtId="184" fontId="43" fillId="33" borderId="14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0" fontId="67" fillId="33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 wrapText="1"/>
    </xf>
    <xf numFmtId="49" fontId="67" fillId="37" borderId="14" xfId="374" applyNumberFormat="1" applyFont="1" applyFill="1" applyBorder="1" applyAlignment="1" applyProtection="1">
      <alignment horizontal="center" vertical="center"/>
    </xf>
    <xf numFmtId="0" fontId="67" fillId="0" borderId="20" xfId="374" applyFont="1" applyBorder="1" applyAlignment="1" applyProtection="1">
      <alignment horizontal="center"/>
      <protection locked="0"/>
    </xf>
    <xf numFmtId="0" fontId="67" fillId="0" borderId="22" xfId="374" applyFont="1" applyBorder="1" applyAlignment="1" applyProtection="1">
      <alignment horizontal="center"/>
      <protection locked="0"/>
    </xf>
    <xf numFmtId="0" fontId="67" fillId="0" borderId="0" xfId="374" applyFont="1" applyBorder="1" applyAlignment="1" applyProtection="1">
      <alignment horizontal="center" vertical="center"/>
      <protection locked="0"/>
    </xf>
    <xf numFmtId="0" fontId="53" fillId="35" borderId="14" xfId="0" applyNumberFormat="1" applyFont="1" applyFill="1" applyBorder="1" applyAlignment="1">
      <alignment horizontal="center" vertical="center" wrapText="1"/>
    </xf>
    <xf numFmtId="0" fontId="53" fillId="35" borderId="14" xfId="0" applyNumberFormat="1" applyFont="1" applyFill="1" applyBorder="1" applyAlignment="1">
      <alignment horizontal="center" vertical="center"/>
    </xf>
    <xf numFmtId="0" fontId="67" fillId="0" borderId="20" xfId="374" applyFont="1" applyBorder="1" applyAlignment="1" applyProtection="1">
      <alignment horizontal="center" vertical="center"/>
      <protection locked="0"/>
    </xf>
    <xf numFmtId="0" fontId="67" fillId="0" borderId="21" xfId="374" applyFont="1" applyBorder="1" applyAlignment="1" applyProtection="1">
      <alignment horizontal="center" vertical="center"/>
      <protection locked="0"/>
    </xf>
    <xf numFmtId="0" fontId="67" fillId="0" borderId="22" xfId="374" applyFont="1" applyBorder="1" applyAlignment="1" applyProtection="1">
      <alignment horizontal="center" vertical="center"/>
      <protection locked="0"/>
    </xf>
    <xf numFmtId="0" fontId="67" fillId="0" borderId="16" xfId="374" applyFont="1" applyBorder="1" applyAlignment="1" applyProtection="1">
      <alignment horizontal="center" vertical="center"/>
      <protection locked="0"/>
    </xf>
    <xf numFmtId="0" fontId="67" fillId="0" borderId="24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Alignment="1" applyProtection="1">
      <alignment horizontal="center" vertical="center"/>
      <protection locked="0"/>
    </xf>
    <xf numFmtId="0" fontId="67" fillId="0" borderId="13" xfId="374" applyFont="1" applyBorder="1" applyAlignment="1" applyProtection="1">
      <alignment horizontal="center" vertical="center"/>
      <protection locked="0"/>
    </xf>
    <xf numFmtId="0" fontId="67" fillId="0" borderId="25" xfId="374" applyFont="1" applyBorder="1" applyAlignment="1" applyProtection="1">
      <alignment horizontal="center" vertical="center"/>
      <protection locked="0"/>
    </xf>
  </cellXfs>
  <cellStyles count="386">
    <cellStyle name="（@）" xfId="1"/>
    <cellStyle name="0" xfId="2"/>
    <cellStyle name="0.0" xfId="3"/>
    <cellStyle name="0.00" xfId="4"/>
    <cellStyle name="0.000" xfId="5"/>
    <cellStyle name="0.0000" xfId="6"/>
    <cellStyle name="0_center" xfId="7"/>
    <cellStyle name="0_center__主桁定数" xfId="8"/>
    <cellStyle name="0_center_Book1" xfId="9"/>
    <cellStyle name="0_center_SPACERデータ" xfId="10"/>
    <cellStyle name="0_center_SPACERデータ1" xfId="11"/>
    <cellStyle name="0_center_ｺﾋﾟｰ ～ 横桁の断面定数" xfId="12"/>
    <cellStyle name="0_center_横桁の断面定数" xfId="13"/>
    <cellStyle name="0_center_横桁断面" xfId="14"/>
    <cellStyle name="0_center_荷重" xfId="15"/>
    <cellStyle name="0_center_絵" xfId="16"/>
    <cellStyle name="0_center_橋面荷重" xfId="17"/>
    <cellStyle name="0_center_主桁定数" xfId="18"/>
    <cellStyle name="0_center_断面力データ(主桁)" xfId="19"/>
    <cellStyle name="0_center_中間スラブの設計" xfId="20"/>
    <cellStyle name="1" xfId="21"/>
    <cellStyle name="1/2" xfId="22"/>
    <cellStyle name="1/6" xfId="23"/>
    <cellStyle name="1_01_設計上演" xfId="24"/>
    <cellStyle name="1_土質条件（千葉駅改良）_最終20081214" xfId="25"/>
    <cellStyle name="100" xfId="26"/>
    <cellStyle name="20% - Accent1" xfId="27"/>
    <cellStyle name="20% - Accent2" xfId="28"/>
    <cellStyle name="20% - Accent3" xfId="29"/>
    <cellStyle name="20% - Accent4" xfId="30"/>
    <cellStyle name="20% - Accent5" xfId="31"/>
    <cellStyle name="20% - Accent6" xfId="32"/>
    <cellStyle name="20% - アクセント 1 2" xfId="33"/>
    <cellStyle name="20% - アクセント 1 3" xfId="34"/>
    <cellStyle name="20% - アクセント 1 4" xfId="35"/>
    <cellStyle name="20% - アクセント 2 2" xfId="36"/>
    <cellStyle name="20% - アクセント 2 3" xfId="37"/>
    <cellStyle name="20% - アクセント 2 4" xfId="38"/>
    <cellStyle name="20% - アクセント 3 2" xfId="39"/>
    <cellStyle name="20% - アクセント 3 3" xfId="40"/>
    <cellStyle name="20% - アクセント 3 4" xfId="41"/>
    <cellStyle name="20% - アクセント 4 2" xfId="42"/>
    <cellStyle name="20% - アクセント 4 3" xfId="43"/>
    <cellStyle name="20% - アクセント 4 4" xfId="44"/>
    <cellStyle name="20% - アクセント 5 2" xfId="45"/>
    <cellStyle name="20% - アクセント 5 3" xfId="46"/>
    <cellStyle name="20% - アクセント 5 4" xfId="47"/>
    <cellStyle name="20% - アクセント 6 2" xfId="48"/>
    <cellStyle name="20% - アクセント 6 3" xfId="49"/>
    <cellStyle name="20% - アクセント 6 4" xfId="50"/>
    <cellStyle name="40% - Accent1" xfId="51"/>
    <cellStyle name="40% - Accent2" xfId="52"/>
    <cellStyle name="40% - Accent3" xfId="53"/>
    <cellStyle name="40% - Accent4" xfId="54"/>
    <cellStyle name="40% - Accent5" xfId="55"/>
    <cellStyle name="40% - Accent6" xfId="56"/>
    <cellStyle name="40% - アクセント 1 2" xfId="57"/>
    <cellStyle name="40% - アクセント 1 3" xfId="58"/>
    <cellStyle name="40% - アクセント 1 4" xfId="59"/>
    <cellStyle name="40% - アクセント 2 2" xfId="60"/>
    <cellStyle name="40% - アクセント 2 3" xfId="61"/>
    <cellStyle name="40% - アクセント 2 4" xfId="62"/>
    <cellStyle name="40% - アクセント 3 2" xfId="63"/>
    <cellStyle name="40% - アクセント 3 3" xfId="64"/>
    <cellStyle name="40% - アクセント 3 4" xfId="65"/>
    <cellStyle name="40% - アクセント 4 2" xfId="66"/>
    <cellStyle name="40% - アクセント 4 3" xfId="67"/>
    <cellStyle name="40% - アクセント 4 4" xfId="68"/>
    <cellStyle name="40% - アクセント 5 2" xfId="69"/>
    <cellStyle name="40% - アクセント 5 3" xfId="70"/>
    <cellStyle name="40% - アクセント 5 4" xfId="71"/>
    <cellStyle name="40% - アクセント 6 2" xfId="72"/>
    <cellStyle name="40% - アクセント 6 3" xfId="73"/>
    <cellStyle name="40% - アクセント 6 4" xfId="74"/>
    <cellStyle name="60% - Accent1" xfId="75"/>
    <cellStyle name="60% - Accent2" xfId="76"/>
    <cellStyle name="60% - Accent3" xfId="77"/>
    <cellStyle name="60% - Accent4" xfId="78"/>
    <cellStyle name="60% - Accent5" xfId="79"/>
    <cellStyle name="60% - Accent6" xfId="80"/>
    <cellStyle name="60% - アクセント 1 2" xfId="81"/>
    <cellStyle name="60% - アクセント 1 3" xfId="82"/>
    <cellStyle name="60% - アクセント 1 4" xfId="83"/>
    <cellStyle name="60% - アクセント 2 2" xfId="84"/>
    <cellStyle name="60% - アクセント 2 3" xfId="85"/>
    <cellStyle name="60% - アクセント 2 4" xfId="86"/>
    <cellStyle name="60% - アクセント 3 2" xfId="87"/>
    <cellStyle name="60% - アクセント 3 3" xfId="88"/>
    <cellStyle name="60% - アクセント 3 4" xfId="89"/>
    <cellStyle name="60% - アクセント 4 2" xfId="90"/>
    <cellStyle name="60% - アクセント 4 3" xfId="91"/>
    <cellStyle name="60% - アクセント 4 4" xfId="92"/>
    <cellStyle name="60% - アクセント 5 2" xfId="93"/>
    <cellStyle name="60% - アクセント 5 3" xfId="94"/>
    <cellStyle name="60% - アクセント 5 4" xfId="95"/>
    <cellStyle name="60% - アクセント 6 2" xfId="96"/>
    <cellStyle name="60% - アクセント 6 3" xfId="97"/>
    <cellStyle name="60% - アクセント 6 4" xfId="98"/>
    <cellStyle name="Accent1" xfId="99"/>
    <cellStyle name="Accent2" xfId="100"/>
    <cellStyle name="Accent3" xfId="101"/>
    <cellStyle name="Accent4" xfId="102"/>
    <cellStyle name="Accent5" xfId="103"/>
    <cellStyle name="Accent6" xfId="104"/>
    <cellStyle name="Bad" xfId="105"/>
    <cellStyle name="Calc Currency (0)" xfId="106"/>
    <cellStyle name="Calculation" xfId="107"/>
    <cellStyle name="Check Cell" xfId="108"/>
    <cellStyle name="entry" xfId="109"/>
    <cellStyle name="Explanatory Text" xfId="110"/>
    <cellStyle name="Good" xfId="111"/>
    <cellStyle name="Header1" xfId="112"/>
    <cellStyle name="Header2" xfId="113"/>
    <cellStyle name="Heading 1" xfId="114"/>
    <cellStyle name="Heading 2" xfId="115"/>
    <cellStyle name="Heading 3" xfId="116"/>
    <cellStyle name="Heading 4" xfId="117"/>
    <cellStyle name="Input" xfId="118"/>
    <cellStyle name="ISO-001" xfId="119"/>
    <cellStyle name="ＪＲ書式" xfId="120"/>
    <cellStyle name="Linked Cell" xfId="121"/>
    <cellStyle name="ＭＳ明朝" xfId="122"/>
    <cellStyle name="Neutral" xfId="123"/>
    <cellStyle name="no dec" xfId="124"/>
    <cellStyle name="Normal_#18-Internet" xfId="125"/>
    <cellStyle name="Note" xfId="126"/>
    <cellStyle name="Output" xfId="127"/>
    <cellStyle name="price" xfId="128"/>
    <cellStyle name="revised" xfId="129"/>
    <cellStyle name="section" xfId="130"/>
    <cellStyle name="subhead" xfId="131"/>
    <cellStyle name="Title" xfId="132"/>
    <cellStyle name="Total" xfId="133"/>
    <cellStyle name="TSUIKA" xfId="134"/>
    <cellStyle name="User_style_断面常数計算" xfId="135"/>
    <cellStyle name="Warning Text" xfId="136"/>
    <cellStyle name="φ" xfId="137"/>
    <cellStyle name="φ_007_断面照査" xfId="138"/>
    <cellStyle name="φ_3_地震時_下部工" xfId="139"/>
    <cellStyle name="φ_G_A4_Nv1" xfId="140"/>
    <cellStyle name="φ_G_A4_Nv1_§10-4応力算出、10-5基本荷重L2(2411-2)（常時）" xfId="141"/>
    <cellStyle name="φ_G_A4_Nv1_§10-4応力算出、10-5基本荷重L2(2411-2)（常時）_007_断面照査" xfId="142"/>
    <cellStyle name="φ_G_A4_Nv1_§10-4応力算出、10-5基本荷重L2(2411-2)（常時）_3_地震時_下部工" xfId="143"/>
    <cellStyle name="φ_G_A4_Nv1_§12.線路直角方向C1(2411-2)" xfId="144"/>
    <cellStyle name="φ_G_A4_Nv1_§12.線路直角方向C1(2411-2)_007_断面照査" xfId="145"/>
    <cellStyle name="φ_G_A4_Nv1_§12.線路直角方向C1(2411-2)_3_地震時_下部工" xfId="146"/>
    <cellStyle name="φ_G_A4_Nv1_§7.ねじりﾓｰﾒﾝﾄの計算C1(2411-2)" xfId="147"/>
    <cellStyle name="φ_G_A4_Nv1_§7.ねじりﾓｰﾒﾝﾄの計算C1(2411-2)_007_断面照査" xfId="148"/>
    <cellStyle name="φ_G_A4_Nv1_§7.ねじりﾓｰﾒﾝﾄの計算C1(2411-2)_3_地震時_下部工" xfId="149"/>
    <cellStyle name="φ_G_A4_Nv1_§9.各柱軸力の計算(2411-2)" xfId="150"/>
    <cellStyle name="φ_G_A4_Nv1_§9.各柱軸力の計算(2411-2)_007_断面照査" xfId="151"/>
    <cellStyle name="φ_G_A4_Nv1_§9.各柱軸力の計算(2411-2)_3_地震時_下部工" xfId="152"/>
    <cellStyle name="φ_G_A4_Nv1_§9.線路方向L2(2411-2)" xfId="153"/>
    <cellStyle name="φ_G_A4_Nv1_§9.線路方向L2(2411-2)_007_断面照査" xfId="154"/>
    <cellStyle name="φ_G_A4_Nv1_§9.線路方向L2(2411-2)_3_地震時_下部工" xfId="155"/>
    <cellStyle name="φ_G_A4_Nv1_007_断面照査" xfId="156"/>
    <cellStyle name="φ_G_A4_Nv1_3_地震時_下部工" xfId="157"/>
    <cellStyle name="φ_G_A4_Nv1_限界状態照査" xfId="158"/>
    <cellStyle name="φ_G_A4_Nv1_限界状態照査_007_断面照査" xfId="159"/>
    <cellStyle name="φ_G_A4_Nv1_限界状態照査_3_地震時_下部工" xfId="160"/>
    <cellStyle name="φ_荷重" xfId="161"/>
    <cellStyle name="φ_荷重_§10-4応力算出、10-5基本荷重L2(2411-2)（常時）" xfId="162"/>
    <cellStyle name="φ_荷重_§10-4応力算出、10-5基本荷重L2(2411-2)（常時）_007_断面照査" xfId="163"/>
    <cellStyle name="φ_荷重_§10-4応力算出、10-5基本荷重L2(2411-2)（常時）_3_地震時_下部工" xfId="164"/>
    <cellStyle name="φ_荷重_§12.線路直角方向C1(2411-2)" xfId="165"/>
    <cellStyle name="φ_荷重_§12.線路直角方向C1(2411-2)_007_断面照査" xfId="166"/>
    <cellStyle name="φ_荷重_§12.線路直角方向C1(2411-2)_3_地震時_下部工" xfId="167"/>
    <cellStyle name="φ_荷重_§7.ねじりﾓｰﾒﾝﾄの計算C1(2411-2)" xfId="168"/>
    <cellStyle name="φ_荷重_§7.ねじりﾓｰﾒﾝﾄの計算C1(2411-2)_007_断面照査" xfId="169"/>
    <cellStyle name="φ_荷重_§7.ねじりﾓｰﾒﾝﾄの計算C1(2411-2)_3_地震時_下部工" xfId="170"/>
    <cellStyle name="φ_荷重_§9.各柱軸力の計算(2411-2)" xfId="171"/>
    <cellStyle name="φ_荷重_§9.各柱軸力の計算(2411-2)_007_断面照査" xfId="172"/>
    <cellStyle name="φ_荷重_§9.各柱軸力の計算(2411-2)_3_地震時_下部工" xfId="173"/>
    <cellStyle name="φ_荷重_§9.線路方向L2(2411-2)" xfId="174"/>
    <cellStyle name="φ_荷重_§9.線路方向L2(2411-2)_007_断面照査" xfId="175"/>
    <cellStyle name="φ_荷重_§9.線路方向L2(2411-2)_3_地震時_下部工" xfId="176"/>
    <cellStyle name="φ_荷重_007_断面照査" xfId="177"/>
    <cellStyle name="φ_荷重_3_地震時_下部工" xfId="178"/>
    <cellStyle name="φ_荷重_限界状態照査" xfId="179"/>
    <cellStyle name="φ_荷重_限界状態照査_007_断面照査" xfId="180"/>
    <cellStyle name="φ_荷重_限界状態照査_3_地震時_下部工" xfId="181"/>
    <cellStyle name="φ_断面緒元" xfId="182"/>
    <cellStyle name="φ_断面緒元_§10-4応力算出、10-5基本荷重L2(2411-2)（常時）" xfId="183"/>
    <cellStyle name="φ_断面緒元_§10-4応力算出、10-5基本荷重L2(2411-2)（常時）_007_断面照査" xfId="184"/>
    <cellStyle name="φ_断面緒元_§10-4応力算出、10-5基本荷重L2(2411-2)（常時）_3_地震時_下部工" xfId="185"/>
    <cellStyle name="φ_断面緒元_§12.線路直角方向C1(2411-2)" xfId="186"/>
    <cellStyle name="φ_断面緒元_§12.線路直角方向C1(2411-2)_007_断面照査" xfId="187"/>
    <cellStyle name="φ_断面緒元_§12.線路直角方向C1(2411-2)_3_地震時_下部工" xfId="188"/>
    <cellStyle name="φ_断面緒元_§7.ねじりﾓｰﾒﾝﾄの計算C1(2411-2)" xfId="189"/>
    <cellStyle name="φ_断面緒元_§7.ねじりﾓｰﾒﾝﾄの計算C1(2411-2)_007_断面照査" xfId="190"/>
    <cellStyle name="φ_断面緒元_§7.ねじりﾓｰﾒﾝﾄの計算C1(2411-2)_3_地震時_下部工" xfId="191"/>
    <cellStyle name="φ_断面緒元_§9.各柱軸力の計算(2411-2)" xfId="192"/>
    <cellStyle name="φ_断面緒元_§9.各柱軸力の計算(2411-2)_007_断面照査" xfId="193"/>
    <cellStyle name="φ_断面緒元_§9.各柱軸力の計算(2411-2)_3_地震時_下部工" xfId="194"/>
    <cellStyle name="φ_断面緒元_§9.線路方向L2(2411-2)" xfId="195"/>
    <cellStyle name="φ_断面緒元_§9.線路方向L2(2411-2)_007_断面照査" xfId="196"/>
    <cellStyle name="φ_断面緒元_§9.線路方向L2(2411-2)_3_地震時_下部工" xfId="197"/>
    <cellStyle name="φ_断面緒元_007_断面照査" xfId="198"/>
    <cellStyle name="φ_断面緒元_3_地震時_下部工" xfId="199"/>
    <cellStyle name="φ_断面緒元_限界状態照査" xfId="200"/>
    <cellStyle name="φ_断面緒元_限界状態照査_007_断面照査" xfId="201"/>
    <cellStyle name="φ_断面緒元_限界状態照査_3_地震時_下部工" xfId="202"/>
    <cellStyle name="φ_断面常数計算" xfId="203"/>
    <cellStyle name="φ_断面常数計算_§10-4応力算出、10-5基本荷重L2(2411-2)（常時）" xfId="204"/>
    <cellStyle name="φ_断面常数計算_§10-4応力算出、10-5基本荷重L2(2411-2)（常時）_007_断面照査" xfId="205"/>
    <cellStyle name="φ_断面常数計算_§10-4応力算出、10-5基本荷重L2(2411-2)（常時）_3_地震時_下部工" xfId="206"/>
    <cellStyle name="φ_断面常数計算_§12.線路直角方向C1(2411-2)" xfId="207"/>
    <cellStyle name="φ_断面常数計算_§12.線路直角方向C1(2411-2)_007_断面照査" xfId="208"/>
    <cellStyle name="φ_断面常数計算_§12.線路直角方向C1(2411-2)_3_地震時_下部工" xfId="209"/>
    <cellStyle name="φ_断面常数計算_§7.ねじりﾓｰﾒﾝﾄの計算C1(2411-2)" xfId="210"/>
    <cellStyle name="φ_断面常数計算_§7.ねじりﾓｰﾒﾝﾄの計算C1(2411-2)_007_断面照査" xfId="211"/>
    <cellStyle name="φ_断面常数計算_§7.ねじりﾓｰﾒﾝﾄの計算C1(2411-2)_3_地震時_下部工" xfId="212"/>
    <cellStyle name="φ_断面常数計算_§9.各柱軸力の計算(2411-2)" xfId="213"/>
    <cellStyle name="φ_断面常数計算_§9.各柱軸力の計算(2411-2)_007_断面照査" xfId="214"/>
    <cellStyle name="φ_断面常数計算_§9.各柱軸力の計算(2411-2)_3_地震時_下部工" xfId="215"/>
    <cellStyle name="φ_断面常数計算_§9.線路方向L2(2411-2)" xfId="216"/>
    <cellStyle name="φ_断面常数計算_§9.線路方向L2(2411-2)_007_断面照査" xfId="217"/>
    <cellStyle name="φ_断面常数計算_§9.線路方向L2(2411-2)_3_地震時_下部工" xfId="218"/>
    <cellStyle name="φ_断面常数計算_007_断面照査" xfId="219"/>
    <cellStyle name="φ_断面常数計算_3_地震時_下部工" xfId="220"/>
    <cellStyle name="φ_断面常数計算_限界状態照査" xfId="221"/>
    <cellStyle name="φ_断面常数計算_限界状態照査_007_断面照査" xfId="222"/>
    <cellStyle name="φ_断面常数計算_限界状態照査_3_地震時_下部工" xfId="223"/>
    <cellStyle name="φ_断面定数計算1" xfId="224"/>
    <cellStyle name="φ_断面定数計算1_§10-4応力算出、10-5基本荷重L2(2411-2)（常時）" xfId="225"/>
    <cellStyle name="φ_断面定数計算1_§10-4応力算出、10-5基本荷重L2(2411-2)（常時）_007_断面照査" xfId="226"/>
    <cellStyle name="φ_断面定数計算1_§10-4応力算出、10-5基本荷重L2(2411-2)（常時）_3_地震時_下部工" xfId="227"/>
    <cellStyle name="φ_断面定数計算1_§12.線路直角方向C1(2411-2)" xfId="228"/>
    <cellStyle name="φ_断面定数計算1_§12.線路直角方向C1(2411-2)_007_断面照査" xfId="229"/>
    <cellStyle name="φ_断面定数計算1_§12.線路直角方向C1(2411-2)_3_地震時_下部工" xfId="230"/>
    <cellStyle name="φ_断面定数計算1_§7.ねじりﾓｰﾒﾝﾄの計算C1(2411-2)" xfId="231"/>
    <cellStyle name="φ_断面定数計算1_§7.ねじりﾓｰﾒﾝﾄの計算C1(2411-2)_007_断面照査" xfId="232"/>
    <cellStyle name="φ_断面定数計算1_§7.ねじりﾓｰﾒﾝﾄの計算C1(2411-2)_3_地震時_下部工" xfId="233"/>
    <cellStyle name="φ_断面定数計算1_§9.各柱軸力の計算(2411-2)" xfId="234"/>
    <cellStyle name="φ_断面定数計算1_§9.各柱軸力の計算(2411-2)_007_断面照査" xfId="235"/>
    <cellStyle name="φ_断面定数計算1_§9.各柱軸力の計算(2411-2)_3_地震時_下部工" xfId="236"/>
    <cellStyle name="φ_断面定数計算1_§9.線路方向L2(2411-2)" xfId="237"/>
    <cellStyle name="φ_断面定数計算1_§9.線路方向L2(2411-2)_007_断面照査" xfId="238"/>
    <cellStyle name="φ_断面定数計算1_§9.線路方向L2(2411-2)_3_地震時_下部工" xfId="239"/>
    <cellStyle name="φ_断面定数計算1_007_断面照査" xfId="240"/>
    <cellStyle name="φ_断面定数計算1_3_地震時_下部工" xfId="241"/>
    <cellStyle name="φ_断面定数計算1_限界状態照査" xfId="242"/>
    <cellStyle name="φ_断面定数計算1_限界状態照査_007_断面照査" xfId="243"/>
    <cellStyle name="φ_断面定数計算1_限界状態照査_3_地震時_下部工" xfId="244"/>
    <cellStyle name="アクセント 1 2" xfId="245"/>
    <cellStyle name="アクセント 1 3" xfId="246"/>
    <cellStyle name="アクセント 1 4" xfId="247"/>
    <cellStyle name="アクセント 2 2" xfId="248"/>
    <cellStyle name="アクセント 2 3" xfId="249"/>
    <cellStyle name="アクセント 2 4" xfId="250"/>
    <cellStyle name="アクセント 3 2" xfId="251"/>
    <cellStyle name="アクセント 3 3" xfId="252"/>
    <cellStyle name="アクセント 3 4" xfId="253"/>
    <cellStyle name="アクセント 4 2" xfId="254"/>
    <cellStyle name="アクセント 4 3" xfId="255"/>
    <cellStyle name="アクセント 4 4" xfId="256"/>
    <cellStyle name="アクセント 5 2" xfId="257"/>
    <cellStyle name="アクセント 5 3" xfId="258"/>
    <cellStyle name="アクセント 5 4" xfId="259"/>
    <cellStyle name="アクセント 6 2" xfId="260"/>
    <cellStyle name="アクセント 6 3" xfId="261"/>
    <cellStyle name="アクセント 6 4" xfId="262"/>
    <cellStyle name="タイトル 2" xfId="263"/>
    <cellStyle name="タイトル 3" xfId="264"/>
    <cellStyle name="タイトル 4" xfId="265"/>
    <cellStyle name="チェック セル 2" xfId="266"/>
    <cellStyle name="チェック セル 3" xfId="267"/>
    <cellStyle name="チェック セル 4" xfId="268"/>
    <cellStyle name="どちらでもない 2" xfId="269"/>
    <cellStyle name="どちらでもない 3" xfId="270"/>
    <cellStyle name="どちらでもない 4" xfId="271"/>
    <cellStyle name="ハイパーリンク" xfId="272" builtinId="8"/>
    <cellStyle name="メモ 2" xfId="273"/>
    <cellStyle name="メモ 3" xfId="274"/>
    <cellStyle name="メモ 4" xfId="275"/>
    <cellStyle name="リンク セル 2" xfId="276"/>
    <cellStyle name="リンク セル 3" xfId="277"/>
    <cellStyle name="リンク セル 4" xfId="278"/>
    <cellStyle name="悪い 2" xfId="279"/>
    <cellStyle name="悪い 3" xfId="280"/>
    <cellStyle name="悪い 4" xfId="281"/>
    <cellStyle name="下付" xfId="282"/>
    <cellStyle name="企画-01" xfId="283"/>
    <cellStyle name="径" xfId="284"/>
    <cellStyle name="径_§10-4応力算出、10-5基本荷重L2(2411-2)（常時）" xfId="285"/>
    <cellStyle name="径_§10-4応力算出、10-5基本荷重L2(2411-2)（常時）_007_断面照査" xfId="286"/>
    <cellStyle name="径_§10-4応力算出、10-5基本荷重L2(2411-2)（常時）_3_地震時_下部工" xfId="287"/>
    <cellStyle name="径_§12.線路直角方向C1(2411-2)" xfId="288"/>
    <cellStyle name="径_§12.線路直角方向C1(2411-2)_007_断面照査" xfId="289"/>
    <cellStyle name="径_§12.線路直角方向C1(2411-2)_3_地震時_下部工" xfId="290"/>
    <cellStyle name="径_§7.ねじりﾓｰﾒﾝﾄの計算C1(2411-2)" xfId="291"/>
    <cellStyle name="径_§7.ねじりﾓｰﾒﾝﾄの計算C1(2411-2)_007_断面照査" xfId="292"/>
    <cellStyle name="径_§7.ねじりﾓｰﾒﾝﾄの計算C1(2411-2)_3_地震時_下部工" xfId="293"/>
    <cellStyle name="径_§9.各柱軸力の計算(2411-2)" xfId="294"/>
    <cellStyle name="径_§9.各柱軸力の計算(2411-2)_007_断面照査" xfId="295"/>
    <cellStyle name="径_§9.各柱軸力の計算(2411-2)_3_地震時_下部工" xfId="296"/>
    <cellStyle name="径_§9.線路方向L2(2411-2)" xfId="297"/>
    <cellStyle name="径_§9.線路方向L2(2411-2)_007_断面照査" xfId="298"/>
    <cellStyle name="径_§9.線路方向L2(2411-2)_3_地震時_下部工" xfId="299"/>
    <cellStyle name="径_007_断面照査" xfId="300"/>
    <cellStyle name="径_3_地震時_下部工" xfId="301"/>
    <cellStyle name="径_計算書" xfId="302"/>
    <cellStyle name="径_計算書_§10-4応力算出、10-5基本荷重L2(2411-2)（常時）" xfId="303"/>
    <cellStyle name="径_計算書_§10-4応力算出、10-5基本荷重L2(2411-2)（常時）_007_断面照査" xfId="304"/>
    <cellStyle name="径_計算書_§10-4応力算出、10-5基本荷重L2(2411-2)（常時）_3_地震時_下部工" xfId="305"/>
    <cellStyle name="径_計算書_§12.線路直角方向C1(2411-2)" xfId="306"/>
    <cellStyle name="径_計算書_§12.線路直角方向C1(2411-2)_007_断面照査" xfId="307"/>
    <cellStyle name="径_計算書_§12.線路直角方向C1(2411-2)_3_地震時_下部工" xfId="308"/>
    <cellStyle name="径_計算書_§7.ねじりﾓｰﾒﾝﾄの計算C1(2411-2)" xfId="309"/>
    <cellStyle name="径_計算書_§7.ねじりﾓｰﾒﾝﾄの計算C1(2411-2)_007_断面照査" xfId="310"/>
    <cellStyle name="径_計算書_§7.ねじりﾓｰﾒﾝﾄの計算C1(2411-2)_3_地震時_下部工" xfId="311"/>
    <cellStyle name="径_計算書_§9.各柱軸力の計算(2411-2)" xfId="312"/>
    <cellStyle name="径_計算書_§9.各柱軸力の計算(2411-2)_007_断面照査" xfId="313"/>
    <cellStyle name="径_計算書_§9.各柱軸力の計算(2411-2)_3_地震時_下部工" xfId="314"/>
    <cellStyle name="径_計算書_§9.線路方向L2(2411-2)" xfId="315"/>
    <cellStyle name="径_計算書_§9.線路方向L2(2411-2)_007_断面照査" xfId="316"/>
    <cellStyle name="径_計算書_§9.線路方向L2(2411-2)_3_地震時_下部工" xfId="317"/>
    <cellStyle name="径_計算書_007_断面照査" xfId="318"/>
    <cellStyle name="径_計算書_3_地震時_下部工" xfId="319"/>
    <cellStyle name="径_計算書_限界状態照査" xfId="320"/>
    <cellStyle name="径_計算書_限界状態照査_007_断面照査" xfId="321"/>
    <cellStyle name="径_計算書_限界状態照査_3_地震時_下部工" xfId="322"/>
    <cellStyle name="径_限界状態照査" xfId="323"/>
    <cellStyle name="径_限界状態照査_007_断面照査" xfId="324"/>
    <cellStyle name="径_限界状態照査_3_地震時_下部工" xfId="325"/>
    <cellStyle name="計算 2" xfId="326"/>
    <cellStyle name="計算 3" xfId="327"/>
    <cellStyle name="計算 4" xfId="328"/>
    <cellStyle name="警告文 2" xfId="329"/>
    <cellStyle name="警告文 3" xfId="330"/>
    <cellStyle name="警告文 4" xfId="331"/>
    <cellStyle name="桁区切り [0.000]" xfId="332"/>
    <cellStyle name="桁区切り 2" xfId="333"/>
    <cellStyle name="見出し 1 2" xfId="334"/>
    <cellStyle name="見出し 1 3" xfId="335"/>
    <cellStyle name="見出し 1 4" xfId="336"/>
    <cellStyle name="見出し 2 2" xfId="337"/>
    <cellStyle name="見出し 2 3" xfId="338"/>
    <cellStyle name="見出し 2 4" xfId="339"/>
    <cellStyle name="見出し 3 2" xfId="340"/>
    <cellStyle name="見出し 3 3" xfId="341"/>
    <cellStyle name="見出し 3 4" xfId="342"/>
    <cellStyle name="見出し 4 2" xfId="343"/>
    <cellStyle name="見出し 4 3" xfId="344"/>
    <cellStyle name="見出し 4 4" xfId="345"/>
    <cellStyle name="佐々木用" xfId="346"/>
    <cellStyle name="左詰（ｲﾝﾃﾞﾝﾄ1）" xfId="347"/>
    <cellStyle name="指数" xfId="348"/>
    <cellStyle name="集計 2" xfId="349"/>
    <cellStyle name="集計 3" xfId="350"/>
    <cellStyle name="集計 4" xfId="351"/>
    <cellStyle name="縦書き中央" xfId="352"/>
    <cellStyle name="縦中央" xfId="353"/>
    <cellStyle name="縮小" xfId="354"/>
    <cellStyle name="出力 2" xfId="355"/>
    <cellStyle name="出力 3" xfId="356"/>
    <cellStyle name="出力 4" xfId="357"/>
    <cellStyle name="上付" xfId="358"/>
    <cellStyle name="設計計算" xfId="359"/>
    <cellStyle name="説明文 2" xfId="360"/>
    <cellStyle name="説明文 3" xfId="361"/>
    <cellStyle name="説明文 4" xfId="362"/>
    <cellStyle name="通貨 [0.000]" xfId="363"/>
    <cellStyle name="鉄筋径" xfId="364"/>
    <cellStyle name="入力 2" xfId="365"/>
    <cellStyle name="入力 3" xfId="366"/>
    <cellStyle name="入力 4" xfId="367"/>
    <cellStyle name="範囲内縦横中央" xfId="368"/>
    <cellStyle name="範囲内中央" xfId="369"/>
    <cellStyle name="標準" xfId="0" builtinId="0"/>
    <cellStyle name="標準 2" xfId="370"/>
    <cellStyle name="標準 2 2" xfId="371"/>
    <cellStyle name="標準 2_§6.地震時" xfId="372"/>
    <cellStyle name="標準 3" xfId="373"/>
    <cellStyle name="標準 3 2" xfId="374"/>
    <cellStyle name="標準 4" xfId="375"/>
    <cellStyle name="標準 5" xfId="376"/>
    <cellStyle name="標準_600_断面性照査" xfId="377"/>
    <cellStyle name="標準1" xfId="378"/>
    <cellStyle name="標準１" xfId="379"/>
    <cellStyle name="標準A4計算書" xfId="380"/>
    <cellStyle name="分数" xfId="381"/>
    <cellStyle name="未定義" xfId="382"/>
    <cellStyle name="良い 2" xfId="383"/>
    <cellStyle name="良い 3" xfId="384"/>
    <cellStyle name="良い 4" xfId="38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Radio" checked="Checked" firstButton="1" fmlaLink="$B$26" lockText="1" noThreeD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44</xdr:row>
      <xdr:rowOff>85725</xdr:rowOff>
    </xdr:from>
    <xdr:to>
      <xdr:col>10</xdr:col>
      <xdr:colOff>828675</xdr:colOff>
      <xdr:row>60</xdr:row>
      <xdr:rowOff>66675</xdr:rowOff>
    </xdr:to>
    <xdr:grpSp>
      <xdr:nvGrpSpPr>
        <xdr:cNvPr id="281315" name="グループ化 1"/>
        <xdr:cNvGrpSpPr>
          <a:grpSpLocks/>
        </xdr:cNvGrpSpPr>
      </xdr:nvGrpSpPr>
      <xdr:grpSpPr bwMode="auto">
        <a:xfrm>
          <a:off x="314325" y="7724775"/>
          <a:ext cx="9267825" cy="2876550"/>
          <a:chOff x="314325" y="7448550"/>
          <a:chExt cx="9263235" cy="2876551"/>
        </a:xfrm>
      </xdr:grpSpPr>
      <xdr:pic>
        <xdr:nvPicPr>
          <xdr:cNvPr id="281323" name="Picture 47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8206" t="10243" r="7265" b="9268"/>
          <a:stretch>
            <a:fillRect/>
          </a:stretch>
        </xdr:blipFill>
        <xdr:spPr bwMode="auto">
          <a:xfrm>
            <a:off x="3605886" y="8742998"/>
            <a:ext cx="1440654" cy="158210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FFFFFF" mc:Ignorable="a14" a14:legacySpreadsheetColorIndex="65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pic>
      <xdr:sp macro="" textlink="">
        <xdr:nvSpPr>
          <xdr:cNvPr id="281324" name="Arc 24"/>
          <xdr:cNvSpPr>
            <a:spLocks/>
          </xdr:cNvSpPr>
        </xdr:nvSpPr>
        <xdr:spPr bwMode="auto">
          <a:xfrm>
            <a:off x="3109767" y="8129334"/>
            <a:ext cx="3644569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281325" name="Arc 26"/>
          <xdr:cNvSpPr>
            <a:spLocks/>
          </xdr:cNvSpPr>
        </xdr:nvSpPr>
        <xdr:spPr bwMode="auto">
          <a:xfrm flipH="1">
            <a:off x="3119308" y="8551228"/>
            <a:ext cx="3596865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10270" name="Text Box 30"/>
          <xdr:cNvSpPr txBox="1">
            <a:spLocks noChangeArrowheads="1"/>
          </xdr:cNvSpPr>
        </xdr:nvSpPr>
        <xdr:spPr bwMode="auto">
          <a:xfrm>
            <a:off x="3294174" y="7753350"/>
            <a:ext cx="875866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POST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入力データ</a:t>
            </a:r>
          </a:p>
        </xdr:txBody>
      </xdr:sp>
      <xdr:sp macro="" textlink="">
        <xdr:nvSpPr>
          <xdr:cNvPr id="10272" name="Text Box 32"/>
          <xdr:cNvSpPr txBox="1">
            <a:spLocks noChangeArrowheads="1"/>
          </xdr:cNvSpPr>
        </xdr:nvSpPr>
        <xdr:spPr bwMode="auto">
          <a:xfrm>
            <a:off x="1313955" y="7448550"/>
            <a:ext cx="485534" cy="1714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ユーザー</a:t>
            </a:r>
          </a:p>
        </xdr:txBody>
      </xdr:sp>
      <xdr:pic>
        <xdr:nvPicPr>
          <xdr:cNvPr id="281328" name="Picture 34" descr="「サーバー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553980" y="7774559"/>
            <a:ext cx="2347026" cy="19177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29" name="Picture 35" descr="「インターネット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235576" y="7812913"/>
            <a:ext cx="1230758" cy="12369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30" name="Picture 43" descr="「excel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4325" y="7822502"/>
            <a:ext cx="2709575" cy="18793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0285" name="Text Box 45"/>
          <xdr:cNvSpPr txBox="1">
            <a:spLocks noChangeArrowheads="1"/>
          </xdr:cNvSpPr>
        </xdr:nvSpPr>
        <xdr:spPr bwMode="auto">
          <a:xfrm>
            <a:off x="5236311" y="7448550"/>
            <a:ext cx="4341249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サーバー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en-US" altLang="ja-JP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http://www.structuralengine.com/FrameWeb/App_Script/Web_Api.py</a:t>
            </a:r>
            <a:endPara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endParaRPr>
          </a:p>
        </xdr:txBody>
      </xdr:sp>
      <xdr:sp macro="" textlink="">
        <xdr:nvSpPr>
          <xdr:cNvPr id="10288" name="Text Box 48"/>
          <xdr:cNvSpPr txBox="1">
            <a:spLocks noChangeArrowheads="1"/>
          </xdr:cNvSpPr>
        </xdr:nvSpPr>
        <xdr:spPr bwMode="auto">
          <a:xfrm>
            <a:off x="5426717" y="8724900"/>
            <a:ext cx="1256677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Response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計算結果</a:t>
            </a:r>
          </a:p>
        </xdr:txBody>
      </xdr:sp>
    </xdr:grpSp>
    <xdr:clientData/>
  </xdr:twoCellAnchor>
  <xdr:twoCellAnchor>
    <xdr:from>
      <xdr:col>1</xdr:col>
      <xdr:colOff>671946</xdr:colOff>
      <xdr:row>61</xdr:row>
      <xdr:rowOff>107373</xdr:rowOff>
    </xdr:from>
    <xdr:to>
      <xdr:col>3</xdr:col>
      <xdr:colOff>462396</xdr:colOff>
      <xdr:row>62</xdr:row>
      <xdr:rowOff>135948</xdr:rowOff>
    </xdr:to>
    <xdr:sp macro="" textlink="">
      <xdr:nvSpPr>
        <xdr:cNvPr id="10298" name="Text Box 58"/>
        <xdr:cNvSpPr txBox="1">
          <a:spLocks noChangeArrowheads="1"/>
        </xdr:cNvSpPr>
      </xdr:nvSpPr>
      <xdr:spPr bwMode="auto">
        <a:xfrm>
          <a:off x="931719" y="20819918"/>
          <a:ext cx="1660813" cy="20175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サーバーに送出するデータ</a:t>
          </a:r>
        </a:p>
      </xdr:txBody>
    </xdr:sp>
    <xdr:clientData/>
  </xdr:twoCellAnchor>
  <xdr:twoCellAnchor>
    <xdr:from>
      <xdr:col>6</xdr:col>
      <xdr:colOff>734786</xdr:colOff>
      <xdr:row>61</xdr:row>
      <xdr:rowOff>50347</xdr:rowOff>
    </xdr:from>
    <xdr:to>
      <xdr:col>9</xdr:col>
      <xdr:colOff>549729</xdr:colOff>
      <xdr:row>62</xdr:row>
      <xdr:rowOff>78922</xdr:rowOff>
    </xdr:to>
    <xdr:sp macro="" textlink="">
      <xdr:nvSpPr>
        <xdr:cNvPr id="10302" name="Text Box 62"/>
        <xdr:cNvSpPr txBox="1">
          <a:spLocks noChangeArrowheads="1"/>
        </xdr:cNvSpPr>
      </xdr:nvSpPr>
      <xdr:spPr bwMode="auto">
        <a:xfrm>
          <a:off x="5716361" y="10765972"/>
          <a:ext cx="2643868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サーバーから受け取った計算結果</a:t>
          </a:r>
        </a:p>
      </xdr:txBody>
    </xdr:sp>
    <xdr:clientData/>
  </xdr:twoCellAnchor>
  <xdr:twoCellAnchor>
    <xdr:from>
      <xdr:col>0</xdr:col>
      <xdr:colOff>266700</xdr:colOff>
      <xdr:row>25</xdr:row>
      <xdr:rowOff>0</xdr:rowOff>
    </xdr:from>
    <xdr:to>
      <xdr:col>3</xdr:col>
      <xdr:colOff>0</xdr:colOff>
      <xdr:row>27</xdr:row>
      <xdr:rowOff>0</xdr:rowOff>
    </xdr:to>
    <xdr:grpSp>
      <xdr:nvGrpSpPr>
        <xdr:cNvPr id="281320" name="グループ化 4"/>
        <xdr:cNvGrpSpPr>
          <a:grpSpLocks/>
        </xdr:cNvGrpSpPr>
      </xdr:nvGrpSpPr>
      <xdr:grpSpPr bwMode="auto">
        <a:xfrm>
          <a:off x="266700" y="4371975"/>
          <a:ext cx="1885950" cy="361950"/>
          <a:chOff x="266699" y="4371975"/>
          <a:chExt cx="1885952" cy="361951"/>
        </a:xfrm>
      </xdr:grpSpPr>
      <xdr:sp macro="" textlink="">
        <xdr:nvSpPr>
          <xdr:cNvPr id="2" name="テキスト ボックス 1"/>
          <xdr:cNvSpPr txBox="1"/>
        </xdr:nvSpPr>
        <xdr:spPr>
          <a:xfrm>
            <a:off x="266699" y="4371975"/>
            <a:ext cx="942976" cy="36195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1100"/>
              <a:t>解析モード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79" name="Option Button 22683" hidden="1">
                <a:extLst>
                  <a:ext uri="{63B3BB69-23CF-44E3-9099-C40C66FF867C}">
                    <a14:compatExt spid="_x0000_s231579"/>
                  </a:ext>
                </a:extLst>
              </xdr:cNvPr>
              <xdr:cNvSpPr/>
            </xdr:nvSpPr>
            <xdr:spPr bwMode="auto">
              <a:xfrm>
                <a:off x="1209676" y="4371975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rPr>
                  <a:t>２次元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80" name="Option Button 22684" hidden="1">
                <a:extLst>
                  <a:ext uri="{63B3BB69-23CF-44E3-9099-C40C66FF867C}">
                    <a14:compatExt spid="_x0000_s231580"/>
                  </a:ext>
                </a:extLst>
              </xdr:cNvPr>
              <xdr:cNvSpPr/>
            </xdr:nvSpPr>
            <xdr:spPr bwMode="auto">
              <a:xfrm>
                <a:off x="1209676" y="4552950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rPr>
                  <a:t>3次元</a:t>
                </a:r>
              </a:p>
            </xdr:txBody>
          </xdr:sp>
        </mc:Choice>
        <mc:Fallback/>
      </mc:AlternateContent>
      <xdr:sp macro="" textlink="">
        <xdr:nvSpPr>
          <xdr:cNvPr id="281322" name="角丸四角形 2"/>
          <xdr:cNvSpPr>
            <a:spLocks noChangeArrowheads="1"/>
          </xdr:cNvSpPr>
        </xdr:nvSpPr>
        <xdr:spPr bwMode="auto">
          <a:xfrm>
            <a:off x="266701" y="4371975"/>
            <a:ext cx="1885950" cy="361950"/>
          </a:xfrm>
          <a:prstGeom prst="roundRect">
            <a:avLst>
              <a:gd name="adj" fmla="val 16667"/>
            </a:avLst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63</xdr:row>
          <xdr:rowOff>0</xdr:rowOff>
        </xdr:from>
        <xdr:to>
          <xdr:col>5</xdr:col>
          <xdr:colOff>666750</xdr:colOff>
          <xdr:row>96</xdr:row>
          <xdr:rowOff>0</xdr:rowOff>
        </xdr:to>
        <xdr:sp macro="" textlink="">
          <xdr:nvSpPr>
            <xdr:cNvPr id="231583" name="TextBox1" hidden="1">
              <a:extLst>
                <a:ext uri="{63B3BB69-23CF-44E3-9099-C40C66FF867C}">
                  <a14:compatExt spid="_x0000_s23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742950</xdr:colOff>
          <xdr:row>63</xdr:row>
          <xdr:rowOff>47625</xdr:rowOff>
        </xdr:from>
        <xdr:to>
          <xdr:col>10</xdr:col>
          <xdr:colOff>533400</xdr:colOff>
          <xdr:row>97</xdr:row>
          <xdr:rowOff>38100</xdr:rowOff>
        </xdr:to>
        <xdr:sp macro="" textlink="">
          <xdr:nvSpPr>
            <xdr:cNvPr id="231584" name="TextBox2" hidden="1">
              <a:extLst>
                <a:ext uri="{63B3BB69-23CF-44E3-9099-C40C66FF867C}">
                  <a14:compatExt spid="_x0000_s23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17</xdr:row>
          <xdr:rowOff>9525</xdr:rowOff>
        </xdr:from>
        <xdr:to>
          <xdr:col>3</xdr:col>
          <xdr:colOff>666750</xdr:colOff>
          <xdr:row>19</xdr:row>
          <xdr:rowOff>9525</xdr:rowOff>
        </xdr:to>
        <xdr:sp macro="" textlink="">
          <xdr:nvSpPr>
            <xdr:cNvPr id="67702" name="Button 5238" hidden="1">
              <a:extLst>
                <a:ext uri="{63B3BB69-23CF-44E3-9099-C40C66FF867C}">
                  <a14:compatExt spid="_x0000_s67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20</xdr:row>
          <xdr:rowOff>38100</xdr:rowOff>
        </xdr:from>
        <xdr:to>
          <xdr:col>4</xdr:col>
          <xdr:colOff>9525</xdr:colOff>
          <xdr:row>22</xdr:row>
          <xdr:rowOff>38100</xdr:rowOff>
        </xdr:to>
        <xdr:sp macro="" textlink="">
          <xdr:nvSpPr>
            <xdr:cNvPr id="67703" name="Button 5239" hidden="1">
              <a:extLst>
                <a:ext uri="{63B3BB69-23CF-44E3-9099-C40C66FF867C}">
                  <a14:compatExt spid="_x0000_s67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101600</xdr:colOff>
      <xdr:row>14</xdr:row>
      <xdr:rowOff>66875</xdr:rowOff>
    </xdr:from>
    <xdr:to>
      <xdr:col>8</xdr:col>
      <xdr:colOff>152400</xdr:colOff>
      <xdr:row>14</xdr:row>
      <xdr:rowOff>117675</xdr:rowOff>
    </xdr:to>
    <xdr:sp macro="" textlink="">
      <xdr:nvSpPr>
        <xdr:cNvPr id="2" name="円/楕円 1"/>
        <xdr:cNvSpPr/>
      </xdr:nvSpPr>
      <xdr:spPr bwMode="auto">
        <a:xfrm>
          <a:off x="3644900" y="260052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157972</xdr:colOff>
      <xdr:row>14</xdr:row>
      <xdr:rowOff>66875</xdr:rowOff>
    </xdr:from>
    <xdr:to>
      <xdr:col>9</xdr:col>
      <xdr:colOff>208772</xdr:colOff>
      <xdr:row>14</xdr:row>
      <xdr:rowOff>117675</xdr:rowOff>
    </xdr:to>
    <xdr:sp macro="" textlink="">
      <xdr:nvSpPr>
        <xdr:cNvPr id="3" name="円/楕円 2"/>
        <xdr:cNvSpPr/>
      </xdr:nvSpPr>
      <xdr:spPr bwMode="auto">
        <a:xfrm>
          <a:off x="3920347" y="260052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11517</xdr:colOff>
      <xdr:row>14</xdr:row>
      <xdr:rowOff>66875</xdr:rowOff>
    </xdr:from>
    <xdr:to>
      <xdr:col>16</xdr:col>
      <xdr:colOff>62317</xdr:colOff>
      <xdr:row>14</xdr:row>
      <xdr:rowOff>117675</xdr:rowOff>
    </xdr:to>
    <xdr:sp macro="" textlink="">
      <xdr:nvSpPr>
        <xdr:cNvPr id="4" name="円/楕円 3"/>
        <xdr:cNvSpPr/>
      </xdr:nvSpPr>
      <xdr:spPr bwMode="auto">
        <a:xfrm>
          <a:off x="5307417" y="260052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84138</xdr:colOff>
      <xdr:row>14</xdr:row>
      <xdr:rowOff>66875</xdr:rowOff>
    </xdr:from>
    <xdr:to>
      <xdr:col>22</xdr:col>
      <xdr:colOff>134938</xdr:colOff>
      <xdr:row>14</xdr:row>
      <xdr:rowOff>117675</xdr:rowOff>
    </xdr:to>
    <xdr:sp macro="" textlink="">
      <xdr:nvSpPr>
        <xdr:cNvPr id="5" name="円/楕円 4"/>
        <xdr:cNvSpPr/>
      </xdr:nvSpPr>
      <xdr:spPr bwMode="auto">
        <a:xfrm>
          <a:off x="6694488" y="260052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156758</xdr:colOff>
      <xdr:row>14</xdr:row>
      <xdr:rowOff>66875</xdr:rowOff>
    </xdr:from>
    <xdr:to>
      <xdr:col>28</xdr:col>
      <xdr:colOff>207558</xdr:colOff>
      <xdr:row>14</xdr:row>
      <xdr:rowOff>117675</xdr:rowOff>
    </xdr:to>
    <xdr:sp macro="" textlink="">
      <xdr:nvSpPr>
        <xdr:cNvPr id="6" name="円/楕円 5"/>
        <xdr:cNvSpPr/>
      </xdr:nvSpPr>
      <xdr:spPr bwMode="auto">
        <a:xfrm>
          <a:off x="8081558" y="260052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10303</xdr:colOff>
      <xdr:row>14</xdr:row>
      <xdr:rowOff>66875</xdr:rowOff>
    </xdr:from>
    <xdr:to>
      <xdr:col>35</xdr:col>
      <xdr:colOff>61103</xdr:colOff>
      <xdr:row>14</xdr:row>
      <xdr:rowOff>117675</xdr:rowOff>
    </xdr:to>
    <xdr:sp macro="" textlink="">
      <xdr:nvSpPr>
        <xdr:cNvPr id="7" name="円/楕円 6"/>
        <xdr:cNvSpPr/>
      </xdr:nvSpPr>
      <xdr:spPr bwMode="auto">
        <a:xfrm>
          <a:off x="9468628" y="260052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66675</xdr:colOff>
      <xdr:row>14</xdr:row>
      <xdr:rowOff>66875</xdr:rowOff>
    </xdr:from>
    <xdr:to>
      <xdr:col>36</xdr:col>
      <xdr:colOff>117475</xdr:colOff>
      <xdr:row>14</xdr:row>
      <xdr:rowOff>117675</xdr:rowOff>
    </xdr:to>
    <xdr:sp macro="" textlink="">
      <xdr:nvSpPr>
        <xdr:cNvPr id="8" name="円/楕円 7"/>
        <xdr:cNvSpPr/>
      </xdr:nvSpPr>
      <xdr:spPr bwMode="auto">
        <a:xfrm>
          <a:off x="9744075" y="260052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157972</xdr:colOff>
      <xdr:row>16</xdr:row>
      <xdr:rowOff>108257</xdr:rowOff>
    </xdr:from>
    <xdr:to>
      <xdr:col>9</xdr:col>
      <xdr:colOff>208772</xdr:colOff>
      <xdr:row>16</xdr:row>
      <xdr:rowOff>159057</xdr:rowOff>
    </xdr:to>
    <xdr:sp macro="" textlink="">
      <xdr:nvSpPr>
        <xdr:cNvPr id="9" name="円/楕円 8"/>
        <xdr:cNvSpPr/>
      </xdr:nvSpPr>
      <xdr:spPr bwMode="auto">
        <a:xfrm>
          <a:off x="3920347" y="300385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11517</xdr:colOff>
      <xdr:row>16</xdr:row>
      <xdr:rowOff>108257</xdr:rowOff>
    </xdr:from>
    <xdr:to>
      <xdr:col>16</xdr:col>
      <xdr:colOff>62317</xdr:colOff>
      <xdr:row>16</xdr:row>
      <xdr:rowOff>159057</xdr:rowOff>
    </xdr:to>
    <xdr:sp macro="" textlink="">
      <xdr:nvSpPr>
        <xdr:cNvPr id="10" name="円/楕円 9"/>
        <xdr:cNvSpPr/>
      </xdr:nvSpPr>
      <xdr:spPr bwMode="auto">
        <a:xfrm>
          <a:off x="5307417" y="300385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84138</xdr:colOff>
      <xdr:row>16</xdr:row>
      <xdr:rowOff>108257</xdr:rowOff>
    </xdr:from>
    <xdr:to>
      <xdr:col>22</xdr:col>
      <xdr:colOff>134938</xdr:colOff>
      <xdr:row>16</xdr:row>
      <xdr:rowOff>159057</xdr:rowOff>
    </xdr:to>
    <xdr:sp macro="" textlink="">
      <xdr:nvSpPr>
        <xdr:cNvPr id="11" name="円/楕円 10"/>
        <xdr:cNvSpPr/>
      </xdr:nvSpPr>
      <xdr:spPr bwMode="auto">
        <a:xfrm>
          <a:off x="6694488" y="300385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156758</xdr:colOff>
      <xdr:row>16</xdr:row>
      <xdr:rowOff>108257</xdr:rowOff>
    </xdr:from>
    <xdr:to>
      <xdr:col>28</xdr:col>
      <xdr:colOff>207558</xdr:colOff>
      <xdr:row>16</xdr:row>
      <xdr:rowOff>159057</xdr:rowOff>
    </xdr:to>
    <xdr:sp macro="" textlink="">
      <xdr:nvSpPr>
        <xdr:cNvPr id="12" name="円/楕円 11"/>
        <xdr:cNvSpPr/>
      </xdr:nvSpPr>
      <xdr:spPr bwMode="auto">
        <a:xfrm>
          <a:off x="8081558" y="300385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10303</xdr:colOff>
      <xdr:row>16</xdr:row>
      <xdr:rowOff>108257</xdr:rowOff>
    </xdr:from>
    <xdr:to>
      <xdr:col>35</xdr:col>
      <xdr:colOff>61103</xdr:colOff>
      <xdr:row>16</xdr:row>
      <xdr:rowOff>159057</xdr:rowOff>
    </xdr:to>
    <xdr:sp macro="" textlink="">
      <xdr:nvSpPr>
        <xdr:cNvPr id="13" name="円/楕円 12"/>
        <xdr:cNvSpPr/>
      </xdr:nvSpPr>
      <xdr:spPr bwMode="auto">
        <a:xfrm>
          <a:off x="9468628" y="300385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157972</xdr:colOff>
      <xdr:row>25</xdr:row>
      <xdr:rowOff>63300</xdr:rowOff>
    </xdr:from>
    <xdr:to>
      <xdr:col>9</xdr:col>
      <xdr:colOff>208772</xdr:colOff>
      <xdr:row>25</xdr:row>
      <xdr:rowOff>114100</xdr:rowOff>
    </xdr:to>
    <xdr:sp macro="" textlink="">
      <xdr:nvSpPr>
        <xdr:cNvPr id="14" name="円/楕円 13"/>
        <xdr:cNvSpPr/>
      </xdr:nvSpPr>
      <xdr:spPr bwMode="auto">
        <a:xfrm>
          <a:off x="3920347" y="458767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11517</xdr:colOff>
      <xdr:row>25</xdr:row>
      <xdr:rowOff>63300</xdr:rowOff>
    </xdr:from>
    <xdr:to>
      <xdr:col>16</xdr:col>
      <xdr:colOff>62317</xdr:colOff>
      <xdr:row>25</xdr:row>
      <xdr:rowOff>114100</xdr:rowOff>
    </xdr:to>
    <xdr:sp macro="" textlink="">
      <xdr:nvSpPr>
        <xdr:cNvPr id="15" name="円/楕円 14"/>
        <xdr:cNvSpPr/>
      </xdr:nvSpPr>
      <xdr:spPr bwMode="auto">
        <a:xfrm>
          <a:off x="5307417" y="458767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84138</xdr:colOff>
      <xdr:row>25</xdr:row>
      <xdr:rowOff>63300</xdr:rowOff>
    </xdr:from>
    <xdr:to>
      <xdr:col>22</xdr:col>
      <xdr:colOff>134938</xdr:colOff>
      <xdr:row>25</xdr:row>
      <xdr:rowOff>114100</xdr:rowOff>
    </xdr:to>
    <xdr:sp macro="" textlink="">
      <xdr:nvSpPr>
        <xdr:cNvPr id="16" name="円/楕円 15"/>
        <xdr:cNvSpPr/>
      </xdr:nvSpPr>
      <xdr:spPr bwMode="auto">
        <a:xfrm>
          <a:off x="6694488" y="458767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156758</xdr:colOff>
      <xdr:row>25</xdr:row>
      <xdr:rowOff>63300</xdr:rowOff>
    </xdr:from>
    <xdr:to>
      <xdr:col>28</xdr:col>
      <xdr:colOff>207558</xdr:colOff>
      <xdr:row>25</xdr:row>
      <xdr:rowOff>114100</xdr:rowOff>
    </xdr:to>
    <xdr:sp macro="" textlink="">
      <xdr:nvSpPr>
        <xdr:cNvPr id="17" name="円/楕円 16"/>
        <xdr:cNvSpPr/>
      </xdr:nvSpPr>
      <xdr:spPr bwMode="auto">
        <a:xfrm>
          <a:off x="8081558" y="458767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10303</xdr:colOff>
      <xdr:row>25</xdr:row>
      <xdr:rowOff>63300</xdr:rowOff>
    </xdr:from>
    <xdr:to>
      <xdr:col>35</xdr:col>
      <xdr:colOff>61103</xdr:colOff>
      <xdr:row>25</xdr:row>
      <xdr:rowOff>114100</xdr:rowOff>
    </xdr:to>
    <xdr:sp macro="" textlink="">
      <xdr:nvSpPr>
        <xdr:cNvPr id="18" name="円/楕円 17"/>
        <xdr:cNvSpPr/>
      </xdr:nvSpPr>
      <xdr:spPr bwMode="auto">
        <a:xfrm>
          <a:off x="9468628" y="458767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127000</xdr:colOff>
      <xdr:row>14</xdr:row>
      <xdr:rowOff>92275</xdr:rowOff>
    </xdr:from>
    <xdr:to>
      <xdr:col>9</xdr:col>
      <xdr:colOff>183372</xdr:colOff>
      <xdr:row>14</xdr:row>
      <xdr:rowOff>92275</xdr:rowOff>
    </xdr:to>
    <xdr:cxnSp macro="">
      <xdr:nvCxnSpPr>
        <xdr:cNvPr id="19" name="直線コネクタ 18"/>
        <xdr:cNvCxnSpPr/>
      </xdr:nvCxnSpPr>
      <xdr:spPr bwMode="auto">
        <a:xfrm>
          <a:off x="3670300" y="2625925"/>
          <a:ext cx="275447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183372</xdr:colOff>
      <xdr:row>14</xdr:row>
      <xdr:rowOff>92275</xdr:rowOff>
    </xdr:from>
    <xdr:to>
      <xdr:col>16</xdr:col>
      <xdr:colOff>36917</xdr:colOff>
      <xdr:row>14</xdr:row>
      <xdr:rowOff>92275</xdr:rowOff>
    </xdr:to>
    <xdr:cxnSp macro="">
      <xdr:nvCxnSpPr>
        <xdr:cNvPr id="20" name="直線コネクタ 19"/>
        <xdr:cNvCxnSpPr/>
      </xdr:nvCxnSpPr>
      <xdr:spPr bwMode="auto">
        <a:xfrm>
          <a:off x="3945747" y="2625925"/>
          <a:ext cx="138707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36917</xdr:colOff>
      <xdr:row>14</xdr:row>
      <xdr:rowOff>92275</xdr:rowOff>
    </xdr:from>
    <xdr:to>
      <xdr:col>22</xdr:col>
      <xdr:colOff>109538</xdr:colOff>
      <xdr:row>14</xdr:row>
      <xdr:rowOff>92275</xdr:rowOff>
    </xdr:to>
    <xdr:cxnSp macro="">
      <xdr:nvCxnSpPr>
        <xdr:cNvPr id="21" name="直線コネクタ 20"/>
        <xdr:cNvCxnSpPr/>
      </xdr:nvCxnSpPr>
      <xdr:spPr bwMode="auto">
        <a:xfrm>
          <a:off x="5332817" y="2625925"/>
          <a:ext cx="1387071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109538</xdr:colOff>
      <xdr:row>14</xdr:row>
      <xdr:rowOff>92275</xdr:rowOff>
    </xdr:from>
    <xdr:to>
      <xdr:col>28</xdr:col>
      <xdr:colOff>182158</xdr:colOff>
      <xdr:row>14</xdr:row>
      <xdr:rowOff>92275</xdr:rowOff>
    </xdr:to>
    <xdr:cxnSp macro="">
      <xdr:nvCxnSpPr>
        <xdr:cNvPr id="22" name="直線コネクタ 21"/>
        <xdr:cNvCxnSpPr/>
      </xdr:nvCxnSpPr>
      <xdr:spPr bwMode="auto">
        <a:xfrm>
          <a:off x="6719888" y="2625925"/>
          <a:ext cx="138707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28</xdr:col>
      <xdr:colOff>182158</xdr:colOff>
      <xdr:row>14</xdr:row>
      <xdr:rowOff>92275</xdr:rowOff>
    </xdr:from>
    <xdr:to>
      <xdr:col>35</xdr:col>
      <xdr:colOff>35703</xdr:colOff>
      <xdr:row>14</xdr:row>
      <xdr:rowOff>92275</xdr:rowOff>
    </xdr:to>
    <xdr:cxnSp macro="">
      <xdr:nvCxnSpPr>
        <xdr:cNvPr id="23" name="直線コネクタ 22"/>
        <xdr:cNvCxnSpPr/>
      </xdr:nvCxnSpPr>
      <xdr:spPr bwMode="auto">
        <a:xfrm>
          <a:off x="8106958" y="2625925"/>
          <a:ext cx="138707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35703</xdr:colOff>
      <xdr:row>14</xdr:row>
      <xdr:rowOff>92275</xdr:rowOff>
    </xdr:from>
    <xdr:to>
      <xdr:col>36</xdr:col>
      <xdr:colOff>92075</xdr:colOff>
      <xdr:row>14</xdr:row>
      <xdr:rowOff>92275</xdr:rowOff>
    </xdr:to>
    <xdr:cxnSp macro="">
      <xdr:nvCxnSpPr>
        <xdr:cNvPr id="24" name="直線コネクタ 23"/>
        <xdr:cNvCxnSpPr/>
      </xdr:nvCxnSpPr>
      <xdr:spPr bwMode="auto">
        <a:xfrm>
          <a:off x="9494028" y="2625925"/>
          <a:ext cx="275447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183372</xdr:colOff>
      <xdr:row>14</xdr:row>
      <xdr:rowOff>92275</xdr:rowOff>
    </xdr:from>
    <xdr:to>
      <xdr:col>9</xdr:col>
      <xdr:colOff>183372</xdr:colOff>
      <xdr:row>16</xdr:row>
      <xdr:rowOff>133657</xdr:rowOff>
    </xdr:to>
    <xdr:cxnSp macro="">
      <xdr:nvCxnSpPr>
        <xdr:cNvPr id="25" name="直線コネクタ 24"/>
        <xdr:cNvCxnSpPr/>
      </xdr:nvCxnSpPr>
      <xdr:spPr bwMode="auto">
        <a:xfrm>
          <a:off x="3945747" y="2625925"/>
          <a:ext cx="0" cy="40333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36917</xdr:colOff>
      <xdr:row>14</xdr:row>
      <xdr:rowOff>92275</xdr:rowOff>
    </xdr:from>
    <xdr:to>
      <xdr:col>16</xdr:col>
      <xdr:colOff>36917</xdr:colOff>
      <xdr:row>16</xdr:row>
      <xdr:rowOff>133657</xdr:rowOff>
    </xdr:to>
    <xdr:cxnSp macro="">
      <xdr:nvCxnSpPr>
        <xdr:cNvPr id="67904" name="直線コネクタ 67903"/>
        <xdr:cNvCxnSpPr/>
      </xdr:nvCxnSpPr>
      <xdr:spPr bwMode="auto">
        <a:xfrm>
          <a:off x="5332817" y="2625925"/>
          <a:ext cx="0" cy="40333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109538</xdr:colOff>
      <xdr:row>14</xdr:row>
      <xdr:rowOff>92275</xdr:rowOff>
    </xdr:from>
    <xdr:to>
      <xdr:col>22</xdr:col>
      <xdr:colOff>109538</xdr:colOff>
      <xdr:row>16</xdr:row>
      <xdr:rowOff>133657</xdr:rowOff>
    </xdr:to>
    <xdr:cxnSp macro="">
      <xdr:nvCxnSpPr>
        <xdr:cNvPr id="67746" name="直線コネクタ 67745"/>
        <xdr:cNvCxnSpPr/>
      </xdr:nvCxnSpPr>
      <xdr:spPr bwMode="auto">
        <a:xfrm>
          <a:off x="6719888" y="2625925"/>
          <a:ext cx="0" cy="40333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28</xdr:col>
      <xdr:colOff>182158</xdr:colOff>
      <xdr:row>14</xdr:row>
      <xdr:rowOff>92275</xdr:rowOff>
    </xdr:from>
    <xdr:to>
      <xdr:col>28</xdr:col>
      <xdr:colOff>182158</xdr:colOff>
      <xdr:row>16</xdr:row>
      <xdr:rowOff>133657</xdr:rowOff>
    </xdr:to>
    <xdr:cxnSp macro="">
      <xdr:nvCxnSpPr>
        <xdr:cNvPr id="67747" name="直線コネクタ 67746"/>
        <xdr:cNvCxnSpPr/>
      </xdr:nvCxnSpPr>
      <xdr:spPr bwMode="auto">
        <a:xfrm>
          <a:off x="8106958" y="2625925"/>
          <a:ext cx="0" cy="40333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35703</xdr:colOff>
      <xdr:row>14</xdr:row>
      <xdr:rowOff>92275</xdr:rowOff>
    </xdr:from>
    <xdr:to>
      <xdr:col>35</xdr:col>
      <xdr:colOff>35703</xdr:colOff>
      <xdr:row>16</xdr:row>
      <xdr:rowOff>133657</xdr:rowOff>
    </xdr:to>
    <xdr:cxnSp macro="">
      <xdr:nvCxnSpPr>
        <xdr:cNvPr id="67748" name="直線コネクタ 67747"/>
        <xdr:cNvCxnSpPr/>
      </xdr:nvCxnSpPr>
      <xdr:spPr bwMode="auto">
        <a:xfrm>
          <a:off x="9494028" y="2625925"/>
          <a:ext cx="0" cy="40333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183372</xdr:colOff>
      <xdr:row>16</xdr:row>
      <xdr:rowOff>133657</xdr:rowOff>
    </xdr:from>
    <xdr:to>
      <xdr:col>9</xdr:col>
      <xdr:colOff>183372</xdr:colOff>
      <xdr:row>25</xdr:row>
      <xdr:rowOff>88700</xdr:rowOff>
    </xdr:to>
    <xdr:cxnSp macro="">
      <xdr:nvCxnSpPr>
        <xdr:cNvPr id="67749" name="直線コネクタ 67748"/>
        <xdr:cNvCxnSpPr/>
      </xdr:nvCxnSpPr>
      <xdr:spPr bwMode="auto">
        <a:xfrm>
          <a:off x="3945747" y="3029257"/>
          <a:ext cx="0" cy="158381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36917</xdr:colOff>
      <xdr:row>16</xdr:row>
      <xdr:rowOff>133657</xdr:rowOff>
    </xdr:from>
    <xdr:to>
      <xdr:col>16</xdr:col>
      <xdr:colOff>36917</xdr:colOff>
      <xdr:row>25</xdr:row>
      <xdr:rowOff>88700</xdr:rowOff>
    </xdr:to>
    <xdr:cxnSp macro="">
      <xdr:nvCxnSpPr>
        <xdr:cNvPr id="67750" name="直線コネクタ 67749"/>
        <xdr:cNvCxnSpPr/>
      </xdr:nvCxnSpPr>
      <xdr:spPr bwMode="auto">
        <a:xfrm>
          <a:off x="5332817" y="3029257"/>
          <a:ext cx="0" cy="158381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109538</xdr:colOff>
      <xdr:row>16</xdr:row>
      <xdr:rowOff>133657</xdr:rowOff>
    </xdr:from>
    <xdr:to>
      <xdr:col>22</xdr:col>
      <xdr:colOff>109538</xdr:colOff>
      <xdr:row>25</xdr:row>
      <xdr:rowOff>88700</xdr:rowOff>
    </xdr:to>
    <xdr:cxnSp macro="">
      <xdr:nvCxnSpPr>
        <xdr:cNvPr id="67751" name="直線コネクタ 67750"/>
        <xdr:cNvCxnSpPr/>
      </xdr:nvCxnSpPr>
      <xdr:spPr bwMode="auto">
        <a:xfrm>
          <a:off x="6719888" y="3029257"/>
          <a:ext cx="0" cy="158381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28</xdr:col>
      <xdr:colOff>182158</xdr:colOff>
      <xdr:row>16</xdr:row>
      <xdr:rowOff>133657</xdr:rowOff>
    </xdr:from>
    <xdr:to>
      <xdr:col>28</xdr:col>
      <xdr:colOff>182158</xdr:colOff>
      <xdr:row>25</xdr:row>
      <xdr:rowOff>88700</xdr:rowOff>
    </xdr:to>
    <xdr:cxnSp macro="">
      <xdr:nvCxnSpPr>
        <xdr:cNvPr id="67752" name="直線コネクタ 67751"/>
        <xdr:cNvCxnSpPr/>
      </xdr:nvCxnSpPr>
      <xdr:spPr bwMode="auto">
        <a:xfrm>
          <a:off x="8106958" y="3029257"/>
          <a:ext cx="0" cy="158381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35703</xdr:colOff>
      <xdr:row>16</xdr:row>
      <xdr:rowOff>133657</xdr:rowOff>
    </xdr:from>
    <xdr:to>
      <xdr:col>35</xdr:col>
      <xdr:colOff>35703</xdr:colOff>
      <xdr:row>25</xdr:row>
      <xdr:rowOff>88700</xdr:rowOff>
    </xdr:to>
    <xdr:cxnSp macro="">
      <xdr:nvCxnSpPr>
        <xdr:cNvPr id="67753" name="直線コネクタ 67752"/>
        <xdr:cNvCxnSpPr/>
      </xdr:nvCxnSpPr>
      <xdr:spPr bwMode="auto">
        <a:xfrm>
          <a:off x="9494028" y="3029257"/>
          <a:ext cx="0" cy="158381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127000</xdr:colOff>
      <xdr:row>14</xdr:row>
      <xdr:rowOff>73240</xdr:rowOff>
    </xdr:from>
    <xdr:to>
      <xdr:col>8</xdr:col>
      <xdr:colOff>127000</xdr:colOff>
      <xdr:row>14</xdr:row>
      <xdr:rowOff>92275</xdr:rowOff>
    </xdr:to>
    <xdr:cxnSp macro="">
      <xdr:nvCxnSpPr>
        <xdr:cNvPr id="67754" name="直線コネクタ 67753"/>
        <xdr:cNvCxnSpPr/>
      </xdr:nvCxnSpPr>
      <xdr:spPr bwMode="auto">
        <a:xfrm flipV="1">
          <a:off x="3670300" y="2606890"/>
          <a:ext cx="0" cy="1903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183372</xdr:colOff>
      <xdr:row>14</xdr:row>
      <xdr:rowOff>73240</xdr:rowOff>
    </xdr:from>
    <xdr:to>
      <xdr:col>9</xdr:col>
      <xdr:colOff>183372</xdr:colOff>
      <xdr:row>14</xdr:row>
      <xdr:rowOff>92275</xdr:rowOff>
    </xdr:to>
    <xdr:cxnSp macro="">
      <xdr:nvCxnSpPr>
        <xdr:cNvPr id="67755" name="直線コネクタ 67754"/>
        <xdr:cNvCxnSpPr/>
      </xdr:nvCxnSpPr>
      <xdr:spPr bwMode="auto">
        <a:xfrm flipV="1">
          <a:off x="3945747" y="2606890"/>
          <a:ext cx="0" cy="1903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127000</xdr:colOff>
      <xdr:row>14</xdr:row>
      <xdr:rowOff>73240</xdr:rowOff>
    </xdr:from>
    <xdr:to>
      <xdr:col>9</xdr:col>
      <xdr:colOff>183372</xdr:colOff>
      <xdr:row>14</xdr:row>
      <xdr:rowOff>73240</xdr:rowOff>
    </xdr:to>
    <xdr:cxnSp macro="">
      <xdr:nvCxnSpPr>
        <xdr:cNvPr id="67756" name="直線コネクタ 67755"/>
        <xdr:cNvCxnSpPr/>
      </xdr:nvCxnSpPr>
      <xdr:spPr bwMode="auto">
        <a:xfrm>
          <a:off x="3670300" y="2606890"/>
          <a:ext cx="275447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183372</xdr:colOff>
      <xdr:row>14</xdr:row>
      <xdr:rowOff>73240</xdr:rowOff>
    </xdr:from>
    <xdr:to>
      <xdr:col>9</xdr:col>
      <xdr:colOff>183372</xdr:colOff>
      <xdr:row>14</xdr:row>
      <xdr:rowOff>92275</xdr:rowOff>
    </xdr:to>
    <xdr:cxnSp macro="">
      <xdr:nvCxnSpPr>
        <xdr:cNvPr id="67757" name="直線コネクタ 67756"/>
        <xdr:cNvCxnSpPr/>
      </xdr:nvCxnSpPr>
      <xdr:spPr bwMode="auto">
        <a:xfrm flipV="1">
          <a:off x="3945747" y="2606890"/>
          <a:ext cx="0" cy="1903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36917</xdr:colOff>
      <xdr:row>14</xdr:row>
      <xdr:rowOff>73240</xdr:rowOff>
    </xdr:from>
    <xdr:to>
      <xdr:col>16</xdr:col>
      <xdr:colOff>36917</xdr:colOff>
      <xdr:row>14</xdr:row>
      <xdr:rowOff>92275</xdr:rowOff>
    </xdr:to>
    <xdr:cxnSp macro="">
      <xdr:nvCxnSpPr>
        <xdr:cNvPr id="67758" name="直線コネクタ 67757"/>
        <xdr:cNvCxnSpPr/>
      </xdr:nvCxnSpPr>
      <xdr:spPr bwMode="auto">
        <a:xfrm flipV="1">
          <a:off x="5332817" y="2606890"/>
          <a:ext cx="0" cy="1903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183372</xdr:colOff>
      <xdr:row>14</xdr:row>
      <xdr:rowOff>73240</xdr:rowOff>
    </xdr:from>
    <xdr:to>
      <xdr:col>16</xdr:col>
      <xdr:colOff>36917</xdr:colOff>
      <xdr:row>14</xdr:row>
      <xdr:rowOff>73240</xdr:rowOff>
    </xdr:to>
    <xdr:cxnSp macro="">
      <xdr:nvCxnSpPr>
        <xdr:cNvPr id="67759" name="直線コネクタ 67758"/>
        <xdr:cNvCxnSpPr/>
      </xdr:nvCxnSpPr>
      <xdr:spPr bwMode="auto">
        <a:xfrm>
          <a:off x="3945747" y="2606890"/>
          <a:ext cx="138707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36917</xdr:colOff>
      <xdr:row>14</xdr:row>
      <xdr:rowOff>73240</xdr:rowOff>
    </xdr:from>
    <xdr:to>
      <xdr:col>16</xdr:col>
      <xdr:colOff>36917</xdr:colOff>
      <xdr:row>14</xdr:row>
      <xdr:rowOff>92275</xdr:rowOff>
    </xdr:to>
    <xdr:cxnSp macro="">
      <xdr:nvCxnSpPr>
        <xdr:cNvPr id="67760" name="直線コネクタ 67759"/>
        <xdr:cNvCxnSpPr/>
      </xdr:nvCxnSpPr>
      <xdr:spPr bwMode="auto">
        <a:xfrm flipV="1">
          <a:off x="5332817" y="2606890"/>
          <a:ext cx="0" cy="1903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109538</xdr:colOff>
      <xdr:row>14</xdr:row>
      <xdr:rowOff>73240</xdr:rowOff>
    </xdr:from>
    <xdr:to>
      <xdr:col>22</xdr:col>
      <xdr:colOff>109538</xdr:colOff>
      <xdr:row>14</xdr:row>
      <xdr:rowOff>92275</xdr:rowOff>
    </xdr:to>
    <xdr:cxnSp macro="">
      <xdr:nvCxnSpPr>
        <xdr:cNvPr id="67761" name="直線コネクタ 67760"/>
        <xdr:cNvCxnSpPr/>
      </xdr:nvCxnSpPr>
      <xdr:spPr bwMode="auto">
        <a:xfrm flipV="1">
          <a:off x="6719888" y="2606890"/>
          <a:ext cx="0" cy="1903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36917</xdr:colOff>
      <xdr:row>14</xdr:row>
      <xdr:rowOff>73240</xdr:rowOff>
    </xdr:from>
    <xdr:to>
      <xdr:col>22</xdr:col>
      <xdr:colOff>109538</xdr:colOff>
      <xdr:row>14</xdr:row>
      <xdr:rowOff>73240</xdr:rowOff>
    </xdr:to>
    <xdr:cxnSp macro="">
      <xdr:nvCxnSpPr>
        <xdr:cNvPr id="67762" name="直線コネクタ 67761"/>
        <xdr:cNvCxnSpPr/>
      </xdr:nvCxnSpPr>
      <xdr:spPr bwMode="auto">
        <a:xfrm>
          <a:off x="5332817" y="2606890"/>
          <a:ext cx="1387071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109538</xdr:colOff>
      <xdr:row>14</xdr:row>
      <xdr:rowOff>73240</xdr:rowOff>
    </xdr:from>
    <xdr:to>
      <xdr:col>22</xdr:col>
      <xdr:colOff>109538</xdr:colOff>
      <xdr:row>14</xdr:row>
      <xdr:rowOff>92275</xdr:rowOff>
    </xdr:to>
    <xdr:cxnSp macro="">
      <xdr:nvCxnSpPr>
        <xdr:cNvPr id="67763" name="直線コネクタ 67762"/>
        <xdr:cNvCxnSpPr/>
      </xdr:nvCxnSpPr>
      <xdr:spPr bwMode="auto">
        <a:xfrm flipV="1">
          <a:off x="6719888" y="2606890"/>
          <a:ext cx="0" cy="1903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28</xdr:col>
      <xdr:colOff>182158</xdr:colOff>
      <xdr:row>14</xdr:row>
      <xdr:rowOff>73240</xdr:rowOff>
    </xdr:from>
    <xdr:to>
      <xdr:col>28</xdr:col>
      <xdr:colOff>182158</xdr:colOff>
      <xdr:row>14</xdr:row>
      <xdr:rowOff>92275</xdr:rowOff>
    </xdr:to>
    <xdr:cxnSp macro="">
      <xdr:nvCxnSpPr>
        <xdr:cNvPr id="67764" name="直線コネクタ 67763"/>
        <xdr:cNvCxnSpPr/>
      </xdr:nvCxnSpPr>
      <xdr:spPr bwMode="auto">
        <a:xfrm flipV="1">
          <a:off x="8106958" y="2606890"/>
          <a:ext cx="0" cy="1903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109538</xdr:colOff>
      <xdr:row>14</xdr:row>
      <xdr:rowOff>73240</xdr:rowOff>
    </xdr:from>
    <xdr:to>
      <xdr:col>28</xdr:col>
      <xdr:colOff>182158</xdr:colOff>
      <xdr:row>14</xdr:row>
      <xdr:rowOff>73240</xdr:rowOff>
    </xdr:to>
    <xdr:cxnSp macro="">
      <xdr:nvCxnSpPr>
        <xdr:cNvPr id="67765" name="直線コネクタ 67764"/>
        <xdr:cNvCxnSpPr/>
      </xdr:nvCxnSpPr>
      <xdr:spPr bwMode="auto">
        <a:xfrm>
          <a:off x="6719888" y="2606890"/>
          <a:ext cx="138707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28</xdr:col>
      <xdr:colOff>182158</xdr:colOff>
      <xdr:row>14</xdr:row>
      <xdr:rowOff>73240</xdr:rowOff>
    </xdr:from>
    <xdr:to>
      <xdr:col>28</xdr:col>
      <xdr:colOff>182158</xdr:colOff>
      <xdr:row>14</xdr:row>
      <xdr:rowOff>92275</xdr:rowOff>
    </xdr:to>
    <xdr:cxnSp macro="">
      <xdr:nvCxnSpPr>
        <xdr:cNvPr id="67766" name="直線コネクタ 67765"/>
        <xdr:cNvCxnSpPr/>
      </xdr:nvCxnSpPr>
      <xdr:spPr bwMode="auto">
        <a:xfrm flipV="1">
          <a:off x="8106958" y="2606890"/>
          <a:ext cx="0" cy="1903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35703</xdr:colOff>
      <xdr:row>14</xdr:row>
      <xdr:rowOff>73240</xdr:rowOff>
    </xdr:from>
    <xdr:to>
      <xdr:col>35</xdr:col>
      <xdr:colOff>35703</xdr:colOff>
      <xdr:row>14</xdr:row>
      <xdr:rowOff>92275</xdr:rowOff>
    </xdr:to>
    <xdr:cxnSp macro="">
      <xdr:nvCxnSpPr>
        <xdr:cNvPr id="67767" name="直線コネクタ 67766"/>
        <xdr:cNvCxnSpPr/>
      </xdr:nvCxnSpPr>
      <xdr:spPr bwMode="auto">
        <a:xfrm flipV="1">
          <a:off x="9494028" y="2606890"/>
          <a:ext cx="0" cy="1903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28</xdr:col>
      <xdr:colOff>182158</xdr:colOff>
      <xdr:row>14</xdr:row>
      <xdr:rowOff>73240</xdr:rowOff>
    </xdr:from>
    <xdr:to>
      <xdr:col>35</xdr:col>
      <xdr:colOff>35703</xdr:colOff>
      <xdr:row>14</xdr:row>
      <xdr:rowOff>73240</xdr:rowOff>
    </xdr:to>
    <xdr:cxnSp macro="">
      <xdr:nvCxnSpPr>
        <xdr:cNvPr id="67768" name="直線コネクタ 67767"/>
        <xdr:cNvCxnSpPr/>
      </xdr:nvCxnSpPr>
      <xdr:spPr bwMode="auto">
        <a:xfrm>
          <a:off x="8106958" y="2606890"/>
          <a:ext cx="138707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35703</xdr:colOff>
      <xdr:row>14</xdr:row>
      <xdr:rowOff>73240</xdr:rowOff>
    </xdr:from>
    <xdr:to>
      <xdr:col>35</xdr:col>
      <xdr:colOff>35703</xdr:colOff>
      <xdr:row>14</xdr:row>
      <xdr:rowOff>92275</xdr:rowOff>
    </xdr:to>
    <xdr:cxnSp macro="">
      <xdr:nvCxnSpPr>
        <xdr:cNvPr id="67769" name="直線コネクタ 67768"/>
        <xdr:cNvCxnSpPr/>
      </xdr:nvCxnSpPr>
      <xdr:spPr bwMode="auto">
        <a:xfrm flipV="1">
          <a:off x="9494028" y="2606890"/>
          <a:ext cx="0" cy="1903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36</xdr:col>
      <xdr:colOff>92075</xdr:colOff>
      <xdr:row>14</xdr:row>
      <xdr:rowOff>73240</xdr:rowOff>
    </xdr:from>
    <xdr:to>
      <xdr:col>36</xdr:col>
      <xdr:colOff>92075</xdr:colOff>
      <xdr:row>14</xdr:row>
      <xdr:rowOff>92275</xdr:rowOff>
    </xdr:to>
    <xdr:cxnSp macro="">
      <xdr:nvCxnSpPr>
        <xdr:cNvPr id="67770" name="直線コネクタ 67769"/>
        <xdr:cNvCxnSpPr/>
      </xdr:nvCxnSpPr>
      <xdr:spPr bwMode="auto">
        <a:xfrm flipV="1">
          <a:off x="9769475" y="2606890"/>
          <a:ext cx="0" cy="1903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35703</xdr:colOff>
      <xdr:row>14</xdr:row>
      <xdr:rowOff>73240</xdr:rowOff>
    </xdr:from>
    <xdr:to>
      <xdr:col>36</xdr:col>
      <xdr:colOff>92075</xdr:colOff>
      <xdr:row>14</xdr:row>
      <xdr:rowOff>73240</xdr:rowOff>
    </xdr:to>
    <xdr:cxnSp macro="">
      <xdr:nvCxnSpPr>
        <xdr:cNvPr id="67771" name="直線コネクタ 67770"/>
        <xdr:cNvCxnSpPr/>
      </xdr:nvCxnSpPr>
      <xdr:spPr bwMode="auto">
        <a:xfrm>
          <a:off x="9494028" y="2606890"/>
          <a:ext cx="275447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129266</xdr:colOff>
      <xdr:row>14</xdr:row>
      <xdr:rowOff>17326</xdr:rowOff>
    </xdr:from>
    <xdr:to>
      <xdr:col>9</xdr:col>
      <xdr:colOff>129266</xdr:colOff>
      <xdr:row>14</xdr:row>
      <xdr:rowOff>92275</xdr:rowOff>
    </xdr:to>
    <xdr:cxnSp macro="">
      <xdr:nvCxnSpPr>
        <xdr:cNvPr id="67772" name="直線コネクタ 67771"/>
        <xdr:cNvCxnSpPr/>
      </xdr:nvCxnSpPr>
      <xdr:spPr bwMode="auto">
        <a:xfrm flipV="1">
          <a:off x="3891641" y="2550976"/>
          <a:ext cx="0" cy="7494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30628</xdr:colOff>
      <xdr:row>14</xdr:row>
      <xdr:rowOff>66339</xdr:rowOff>
    </xdr:from>
    <xdr:to>
      <xdr:col>18</xdr:col>
      <xdr:colOff>30628</xdr:colOff>
      <xdr:row>14</xdr:row>
      <xdr:rowOff>92275</xdr:rowOff>
    </xdr:to>
    <xdr:cxnSp macro="">
      <xdr:nvCxnSpPr>
        <xdr:cNvPr id="67773" name="直線コネクタ 67772"/>
        <xdr:cNvCxnSpPr/>
      </xdr:nvCxnSpPr>
      <xdr:spPr bwMode="auto">
        <a:xfrm flipV="1">
          <a:off x="5764678" y="2599989"/>
          <a:ext cx="0" cy="2593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188447</xdr:colOff>
      <xdr:row>14</xdr:row>
      <xdr:rowOff>66339</xdr:rowOff>
    </xdr:from>
    <xdr:to>
      <xdr:col>26</xdr:col>
      <xdr:colOff>188447</xdr:colOff>
      <xdr:row>14</xdr:row>
      <xdr:rowOff>92275</xdr:rowOff>
    </xdr:to>
    <xdr:cxnSp macro="">
      <xdr:nvCxnSpPr>
        <xdr:cNvPr id="67774" name="直線コネクタ 67773"/>
        <xdr:cNvCxnSpPr/>
      </xdr:nvCxnSpPr>
      <xdr:spPr bwMode="auto">
        <a:xfrm flipV="1">
          <a:off x="7675097" y="2599989"/>
          <a:ext cx="0" cy="2593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89809</xdr:colOff>
      <xdr:row>14</xdr:row>
      <xdr:rowOff>17326</xdr:rowOff>
    </xdr:from>
    <xdr:to>
      <xdr:col>35</xdr:col>
      <xdr:colOff>89809</xdr:colOff>
      <xdr:row>14</xdr:row>
      <xdr:rowOff>92275</xdr:rowOff>
    </xdr:to>
    <xdr:cxnSp macro="">
      <xdr:nvCxnSpPr>
        <xdr:cNvPr id="67775" name="直線コネクタ 67774"/>
        <xdr:cNvCxnSpPr/>
      </xdr:nvCxnSpPr>
      <xdr:spPr bwMode="auto">
        <a:xfrm flipV="1">
          <a:off x="9548134" y="2550976"/>
          <a:ext cx="0" cy="7494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146186</xdr:colOff>
      <xdr:row>13</xdr:row>
      <xdr:rowOff>19595</xdr:rowOff>
    </xdr:from>
    <xdr:to>
      <xdr:col>9</xdr:col>
      <xdr:colOff>146186</xdr:colOff>
      <xdr:row>14</xdr:row>
      <xdr:rowOff>92275</xdr:rowOff>
    </xdr:to>
    <xdr:cxnSp macro="">
      <xdr:nvCxnSpPr>
        <xdr:cNvPr id="67936" name="直線コネクタ 67935"/>
        <xdr:cNvCxnSpPr/>
      </xdr:nvCxnSpPr>
      <xdr:spPr bwMode="auto">
        <a:xfrm flipV="1">
          <a:off x="3908561" y="2372270"/>
          <a:ext cx="0" cy="2536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157917</xdr:colOff>
      <xdr:row>13</xdr:row>
      <xdr:rowOff>107167</xdr:rowOff>
    </xdr:from>
    <xdr:to>
      <xdr:col>16</xdr:col>
      <xdr:colOff>157917</xdr:colOff>
      <xdr:row>14</xdr:row>
      <xdr:rowOff>92275</xdr:rowOff>
    </xdr:to>
    <xdr:cxnSp macro="">
      <xdr:nvCxnSpPr>
        <xdr:cNvPr id="67937" name="直線コネクタ 67936"/>
        <xdr:cNvCxnSpPr/>
      </xdr:nvCxnSpPr>
      <xdr:spPr bwMode="auto">
        <a:xfrm flipV="1">
          <a:off x="5453817" y="2459842"/>
          <a:ext cx="0" cy="16608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109538</xdr:colOff>
      <xdr:row>13</xdr:row>
      <xdr:rowOff>139755</xdr:rowOff>
    </xdr:from>
    <xdr:to>
      <xdr:col>22</xdr:col>
      <xdr:colOff>109538</xdr:colOff>
      <xdr:row>14</xdr:row>
      <xdr:rowOff>92275</xdr:rowOff>
    </xdr:to>
    <xdr:cxnSp macro="">
      <xdr:nvCxnSpPr>
        <xdr:cNvPr id="67938" name="直線コネクタ 67937"/>
        <xdr:cNvCxnSpPr/>
      </xdr:nvCxnSpPr>
      <xdr:spPr bwMode="auto">
        <a:xfrm flipV="1">
          <a:off x="6719888" y="2492430"/>
          <a:ext cx="0" cy="13349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28</xdr:col>
      <xdr:colOff>61158</xdr:colOff>
      <xdr:row>13</xdr:row>
      <xdr:rowOff>107167</xdr:rowOff>
    </xdr:from>
    <xdr:to>
      <xdr:col>28</xdr:col>
      <xdr:colOff>61158</xdr:colOff>
      <xdr:row>14</xdr:row>
      <xdr:rowOff>92275</xdr:rowOff>
    </xdr:to>
    <xdr:cxnSp macro="">
      <xdr:nvCxnSpPr>
        <xdr:cNvPr id="67939" name="直線コネクタ 67938"/>
        <xdr:cNvCxnSpPr/>
      </xdr:nvCxnSpPr>
      <xdr:spPr bwMode="auto">
        <a:xfrm flipV="1">
          <a:off x="7985958" y="2459842"/>
          <a:ext cx="0" cy="16608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72889</xdr:colOff>
      <xdr:row>13</xdr:row>
      <xdr:rowOff>19503</xdr:rowOff>
    </xdr:from>
    <xdr:to>
      <xdr:col>35</xdr:col>
      <xdr:colOff>72889</xdr:colOff>
      <xdr:row>14</xdr:row>
      <xdr:rowOff>92275</xdr:rowOff>
    </xdr:to>
    <xdr:cxnSp macro="">
      <xdr:nvCxnSpPr>
        <xdr:cNvPr id="67940" name="直線コネクタ 67939"/>
        <xdr:cNvCxnSpPr/>
      </xdr:nvCxnSpPr>
      <xdr:spPr bwMode="auto">
        <a:xfrm flipV="1">
          <a:off x="9531214" y="2372178"/>
          <a:ext cx="0" cy="25374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183372</xdr:colOff>
      <xdr:row>17</xdr:row>
      <xdr:rowOff>41219</xdr:rowOff>
    </xdr:from>
    <xdr:to>
      <xdr:col>9</xdr:col>
      <xdr:colOff>183372</xdr:colOff>
      <xdr:row>25</xdr:row>
      <xdr:rowOff>88700</xdr:rowOff>
    </xdr:to>
    <xdr:cxnSp macro="">
      <xdr:nvCxnSpPr>
        <xdr:cNvPr id="67941" name="直線コネクタ 67940"/>
        <xdr:cNvCxnSpPr/>
      </xdr:nvCxnSpPr>
      <xdr:spPr bwMode="auto">
        <a:xfrm>
          <a:off x="3945747" y="3117794"/>
          <a:ext cx="0" cy="149528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36917</xdr:colOff>
      <xdr:row>17</xdr:row>
      <xdr:rowOff>41219</xdr:rowOff>
    </xdr:from>
    <xdr:to>
      <xdr:col>16</xdr:col>
      <xdr:colOff>36917</xdr:colOff>
      <xdr:row>25</xdr:row>
      <xdr:rowOff>88700</xdr:rowOff>
    </xdr:to>
    <xdr:cxnSp macro="">
      <xdr:nvCxnSpPr>
        <xdr:cNvPr id="67942" name="直線コネクタ 67941"/>
        <xdr:cNvCxnSpPr/>
      </xdr:nvCxnSpPr>
      <xdr:spPr bwMode="auto">
        <a:xfrm>
          <a:off x="5332817" y="3117794"/>
          <a:ext cx="0" cy="149528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109538</xdr:colOff>
      <xdr:row>17</xdr:row>
      <xdr:rowOff>41219</xdr:rowOff>
    </xdr:from>
    <xdr:to>
      <xdr:col>22</xdr:col>
      <xdr:colOff>109538</xdr:colOff>
      <xdr:row>25</xdr:row>
      <xdr:rowOff>88700</xdr:rowOff>
    </xdr:to>
    <xdr:cxnSp macro="">
      <xdr:nvCxnSpPr>
        <xdr:cNvPr id="67943" name="直線コネクタ 67942"/>
        <xdr:cNvCxnSpPr/>
      </xdr:nvCxnSpPr>
      <xdr:spPr bwMode="auto">
        <a:xfrm>
          <a:off x="6719888" y="3117794"/>
          <a:ext cx="0" cy="149528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28</xdr:col>
      <xdr:colOff>182158</xdr:colOff>
      <xdr:row>17</xdr:row>
      <xdr:rowOff>41219</xdr:rowOff>
    </xdr:from>
    <xdr:to>
      <xdr:col>28</xdr:col>
      <xdr:colOff>182158</xdr:colOff>
      <xdr:row>25</xdr:row>
      <xdr:rowOff>88700</xdr:rowOff>
    </xdr:to>
    <xdr:cxnSp macro="">
      <xdr:nvCxnSpPr>
        <xdr:cNvPr id="67944" name="直線コネクタ 67943"/>
        <xdr:cNvCxnSpPr/>
      </xdr:nvCxnSpPr>
      <xdr:spPr bwMode="auto">
        <a:xfrm>
          <a:off x="8106958" y="3117794"/>
          <a:ext cx="0" cy="149528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35703</xdr:colOff>
      <xdr:row>17</xdr:row>
      <xdr:rowOff>41219</xdr:rowOff>
    </xdr:from>
    <xdr:to>
      <xdr:col>35</xdr:col>
      <xdr:colOff>35703</xdr:colOff>
      <xdr:row>25</xdr:row>
      <xdr:rowOff>88700</xdr:rowOff>
    </xdr:to>
    <xdr:cxnSp macro="">
      <xdr:nvCxnSpPr>
        <xdr:cNvPr id="67945" name="直線コネクタ 67944"/>
        <xdr:cNvCxnSpPr/>
      </xdr:nvCxnSpPr>
      <xdr:spPr bwMode="auto">
        <a:xfrm>
          <a:off x="9494028" y="3117794"/>
          <a:ext cx="0" cy="149528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122756</xdr:colOff>
      <xdr:row>28</xdr:row>
      <xdr:rowOff>162994</xdr:rowOff>
    </xdr:from>
    <xdr:to>
      <xdr:col>11</xdr:col>
      <xdr:colOff>81481</xdr:colOff>
      <xdr:row>29</xdr:row>
      <xdr:rowOff>159819</xdr:rowOff>
    </xdr:to>
    <xdr:sp macro="" textlink="">
      <xdr:nvSpPr>
        <xdr:cNvPr id="67946" name="テキスト ボックス 67945"/>
        <xdr:cNvSpPr txBox="1"/>
      </xdr:nvSpPr>
      <xdr:spPr>
        <a:xfrm>
          <a:off x="4104206" y="5230294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8</xdr:col>
      <xdr:colOff>127000</xdr:colOff>
      <xdr:row>28</xdr:row>
      <xdr:rowOff>162994</xdr:rowOff>
    </xdr:from>
    <xdr:to>
      <xdr:col>10</xdr:col>
      <xdr:colOff>122756</xdr:colOff>
      <xdr:row>28</xdr:row>
      <xdr:rowOff>162994</xdr:rowOff>
    </xdr:to>
    <xdr:cxnSp macro="">
      <xdr:nvCxnSpPr>
        <xdr:cNvPr id="67947" name="直線コネクタ 67946"/>
        <xdr:cNvCxnSpPr/>
      </xdr:nvCxnSpPr>
      <xdr:spPr bwMode="auto">
        <a:xfrm>
          <a:off x="3670300" y="5230294"/>
          <a:ext cx="43390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127000</xdr:colOff>
      <xdr:row>31</xdr:row>
      <xdr:rowOff>53975</xdr:rowOff>
    </xdr:from>
    <xdr:to>
      <xdr:col>9</xdr:col>
      <xdr:colOff>85725</xdr:colOff>
      <xdr:row>32</xdr:row>
      <xdr:rowOff>50800</xdr:rowOff>
    </xdr:to>
    <xdr:sp macro="" textlink="">
      <xdr:nvSpPr>
        <xdr:cNvPr id="67948" name="テキスト ボックス 67947"/>
        <xdr:cNvSpPr txBox="1"/>
      </xdr:nvSpPr>
      <xdr:spPr>
        <a:xfrm>
          <a:off x="3670300" y="566420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8</xdr:col>
      <xdr:colOff>127000</xdr:colOff>
      <xdr:row>28</xdr:row>
      <xdr:rowOff>162994</xdr:rowOff>
    </xdr:from>
    <xdr:to>
      <xdr:col>8</xdr:col>
      <xdr:colOff>127000</xdr:colOff>
      <xdr:row>31</xdr:row>
      <xdr:rowOff>53975</xdr:rowOff>
    </xdr:to>
    <xdr:cxnSp macro="">
      <xdr:nvCxnSpPr>
        <xdr:cNvPr id="67949" name="直線コネクタ 67948"/>
        <xdr:cNvCxnSpPr/>
      </xdr:nvCxnSpPr>
      <xdr:spPr bwMode="auto">
        <a:xfrm>
          <a:off x="3670300" y="5230294"/>
          <a:ext cx="0" cy="4339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104775</xdr:rowOff>
        </xdr:from>
        <xdr:to>
          <xdr:col>2</xdr:col>
          <xdr:colOff>295275</xdr:colOff>
          <xdr:row>3</xdr:row>
          <xdr:rowOff>76200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計算・印刷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0</xdr:rowOff>
        </xdr:from>
        <xdr:to>
          <xdr:col>3</xdr:col>
          <xdr:colOff>809625</xdr:colOff>
          <xdr:row>3</xdr:row>
          <xdr:rowOff>19050</xdr:rowOff>
        </xdr:to>
        <xdr:sp macro="" textlink="">
          <xdr:nvSpPr>
            <xdr:cNvPr id="260097" name="Button 1" hidden="1">
              <a:extLst>
                <a:ext uri="{63B3BB69-23CF-44E3-9099-C40C66FF867C}">
                  <a14:compatExt spid="_x0000_s260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ピックアップファイル作成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50065" name="Button 24465" hidden="1">
              <a:extLst>
                <a:ext uri="{63B3BB69-23CF-44E3-9099-C40C66FF867C}">
                  <a14:compatExt spid="_x0000_s50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20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50066" name="Button 24466" hidden="1">
              <a:extLst>
                <a:ext uri="{63B3BB69-23CF-44E3-9099-C40C66FF867C}">
                  <a14:compatExt spid="_x0000_s50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167882</xdr:colOff>
      <xdr:row>3</xdr:row>
      <xdr:rowOff>101600</xdr:rowOff>
    </xdr:from>
    <xdr:to>
      <xdr:col>8</xdr:col>
      <xdr:colOff>218682</xdr:colOff>
      <xdr:row>3</xdr:row>
      <xdr:rowOff>152400</xdr:rowOff>
    </xdr:to>
    <xdr:sp macro="" textlink="">
      <xdr:nvSpPr>
        <xdr:cNvPr id="283374" name="円/楕円 283373"/>
        <xdr:cNvSpPr/>
      </xdr:nvSpPr>
      <xdr:spPr bwMode="auto">
        <a:xfrm>
          <a:off x="5625707" y="7302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4</xdr:row>
      <xdr:rowOff>119440</xdr:rowOff>
    </xdr:from>
    <xdr:to>
      <xdr:col>7</xdr:col>
      <xdr:colOff>190046</xdr:colOff>
      <xdr:row>4</xdr:row>
      <xdr:rowOff>170240</xdr:rowOff>
    </xdr:to>
    <xdr:sp macro="" textlink="">
      <xdr:nvSpPr>
        <xdr:cNvPr id="283375" name="円/楕円 283374"/>
        <xdr:cNvSpPr/>
      </xdr:nvSpPr>
      <xdr:spPr bwMode="auto">
        <a:xfrm>
          <a:off x="4920796" y="95764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167882</xdr:colOff>
      <xdr:row>4</xdr:row>
      <xdr:rowOff>119440</xdr:rowOff>
    </xdr:from>
    <xdr:to>
      <xdr:col>8</xdr:col>
      <xdr:colOff>218682</xdr:colOff>
      <xdr:row>4</xdr:row>
      <xdr:rowOff>170240</xdr:rowOff>
    </xdr:to>
    <xdr:sp macro="" textlink="">
      <xdr:nvSpPr>
        <xdr:cNvPr id="283376" name="円/楕円 283375"/>
        <xdr:cNvSpPr/>
      </xdr:nvSpPr>
      <xdr:spPr bwMode="auto">
        <a:xfrm>
          <a:off x="5625707" y="95764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4</xdr:row>
      <xdr:rowOff>119440</xdr:rowOff>
    </xdr:from>
    <xdr:to>
      <xdr:col>8</xdr:col>
      <xdr:colOff>537028</xdr:colOff>
      <xdr:row>4</xdr:row>
      <xdr:rowOff>170240</xdr:rowOff>
    </xdr:to>
    <xdr:sp macro="" textlink="">
      <xdr:nvSpPr>
        <xdr:cNvPr id="283377" name="円/楕円 283376"/>
        <xdr:cNvSpPr/>
      </xdr:nvSpPr>
      <xdr:spPr bwMode="auto">
        <a:xfrm>
          <a:off x="5944053" y="95764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5</xdr:row>
      <xdr:rowOff>137281</xdr:rowOff>
    </xdr:from>
    <xdr:to>
      <xdr:col>7</xdr:col>
      <xdr:colOff>190046</xdr:colOff>
      <xdr:row>5</xdr:row>
      <xdr:rowOff>188081</xdr:rowOff>
    </xdr:to>
    <xdr:sp macro="" textlink="">
      <xdr:nvSpPr>
        <xdr:cNvPr id="283378" name="円/楕円 283377"/>
        <xdr:cNvSpPr/>
      </xdr:nvSpPr>
      <xdr:spPr bwMode="auto">
        <a:xfrm>
          <a:off x="4920796" y="118503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5</xdr:row>
      <xdr:rowOff>137281</xdr:rowOff>
    </xdr:from>
    <xdr:to>
      <xdr:col>8</xdr:col>
      <xdr:colOff>537028</xdr:colOff>
      <xdr:row>5</xdr:row>
      <xdr:rowOff>188081</xdr:rowOff>
    </xdr:to>
    <xdr:sp macro="" textlink="">
      <xdr:nvSpPr>
        <xdr:cNvPr id="283379" name="円/楕円 283378"/>
        <xdr:cNvSpPr/>
      </xdr:nvSpPr>
      <xdr:spPr bwMode="auto">
        <a:xfrm>
          <a:off x="5944053" y="118503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8</xdr:row>
      <xdr:rowOff>17986</xdr:rowOff>
    </xdr:from>
    <xdr:to>
      <xdr:col>7</xdr:col>
      <xdr:colOff>190046</xdr:colOff>
      <xdr:row>8</xdr:row>
      <xdr:rowOff>68786</xdr:rowOff>
    </xdr:to>
    <xdr:sp macro="" textlink="">
      <xdr:nvSpPr>
        <xdr:cNvPr id="283380" name="円/楕円 283379"/>
        <xdr:cNvSpPr/>
      </xdr:nvSpPr>
      <xdr:spPr bwMode="auto">
        <a:xfrm>
          <a:off x="4920796" y="169438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8</xdr:row>
      <xdr:rowOff>17986</xdr:rowOff>
    </xdr:from>
    <xdr:to>
      <xdr:col>8</xdr:col>
      <xdr:colOff>537028</xdr:colOff>
      <xdr:row>8</xdr:row>
      <xdr:rowOff>68786</xdr:rowOff>
    </xdr:to>
    <xdr:sp macro="" textlink="">
      <xdr:nvSpPr>
        <xdr:cNvPr id="283381" name="円/楕円 283380"/>
        <xdr:cNvSpPr/>
      </xdr:nvSpPr>
      <xdr:spPr bwMode="auto">
        <a:xfrm>
          <a:off x="5944053" y="169438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11</xdr:row>
      <xdr:rowOff>207941</xdr:rowOff>
    </xdr:from>
    <xdr:to>
      <xdr:col>7</xdr:col>
      <xdr:colOff>190046</xdr:colOff>
      <xdr:row>12</xdr:row>
      <xdr:rowOff>49191</xdr:rowOff>
    </xdr:to>
    <xdr:sp macro="" textlink="">
      <xdr:nvSpPr>
        <xdr:cNvPr id="283382" name="円/楕円 283381"/>
        <xdr:cNvSpPr/>
      </xdr:nvSpPr>
      <xdr:spPr bwMode="auto">
        <a:xfrm>
          <a:off x="4920796" y="251299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11</xdr:row>
      <xdr:rowOff>207941</xdr:rowOff>
    </xdr:from>
    <xdr:to>
      <xdr:col>8</xdr:col>
      <xdr:colOff>537028</xdr:colOff>
      <xdr:row>12</xdr:row>
      <xdr:rowOff>49191</xdr:rowOff>
    </xdr:to>
    <xdr:sp macro="" textlink="">
      <xdr:nvSpPr>
        <xdr:cNvPr id="283383" name="円/楕円 283382"/>
        <xdr:cNvSpPr/>
      </xdr:nvSpPr>
      <xdr:spPr bwMode="auto">
        <a:xfrm>
          <a:off x="5944053" y="251299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14</xdr:row>
      <xdr:rowOff>193246</xdr:rowOff>
    </xdr:from>
    <xdr:to>
      <xdr:col>7</xdr:col>
      <xdr:colOff>190046</xdr:colOff>
      <xdr:row>15</xdr:row>
      <xdr:rowOff>34496</xdr:rowOff>
    </xdr:to>
    <xdr:sp macro="" textlink="">
      <xdr:nvSpPr>
        <xdr:cNvPr id="283384" name="円/楕円 283383"/>
        <xdr:cNvSpPr/>
      </xdr:nvSpPr>
      <xdr:spPr bwMode="auto">
        <a:xfrm>
          <a:off x="4920796" y="3126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14</xdr:row>
      <xdr:rowOff>193246</xdr:rowOff>
    </xdr:from>
    <xdr:to>
      <xdr:col>8</xdr:col>
      <xdr:colOff>537028</xdr:colOff>
      <xdr:row>15</xdr:row>
      <xdr:rowOff>34496</xdr:rowOff>
    </xdr:to>
    <xdr:sp macro="" textlink="">
      <xdr:nvSpPr>
        <xdr:cNvPr id="283385" name="円/楕円 283384"/>
        <xdr:cNvSpPr/>
      </xdr:nvSpPr>
      <xdr:spPr bwMode="auto">
        <a:xfrm>
          <a:off x="5944053" y="3126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17</xdr:row>
      <xdr:rowOff>201289</xdr:rowOff>
    </xdr:from>
    <xdr:to>
      <xdr:col>7</xdr:col>
      <xdr:colOff>190046</xdr:colOff>
      <xdr:row>18</xdr:row>
      <xdr:rowOff>42539</xdr:rowOff>
    </xdr:to>
    <xdr:sp macro="" textlink="">
      <xdr:nvSpPr>
        <xdr:cNvPr id="283386" name="円/楕円 283385"/>
        <xdr:cNvSpPr/>
      </xdr:nvSpPr>
      <xdr:spPr bwMode="auto">
        <a:xfrm>
          <a:off x="4920796" y="376363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17</xdr:row>
      <xdr:rowOff>201289</xdr:rowOff>
    </xdr:from>
    <xdr:to>
      <xdr:col>8</xdr:col>
      <xdr:colOff>537028</xdr:colOff>
      <xdr:row>18</xdr:row>
      <xdr:rowOff>42539</xdr:rowOff>
    </xdr:to>
    <xdr:sp macro="" textlink="">
      <xdr:nvSpPr>
        <xdr:cNvPr id="283387" name="円/楕円 283386"/>
        <xdr:cNvSpPr/>
      </xdr:nvSpPr>
      <xdr:spPr bwMode="auto">
        <a:xfrm>
          <a:off x="5944053" y="376363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24</xdr:row>
      <xdr:rowOff>135164</xdr:rowOff>
    </xdr:from>
    <xdr:to>
      <xdr:col>7</xdr:col>
      <xdr:colOff>190046</xdr:colOff>
      <xdr:row>24</xdr:row>
      <xdr:rowOff>185964</xdr:rowOff>
    </xdr:to>
    <xdr:sp macro="" textlink="">
      <xdr:nvSpPr>
        <xdr:cNvPr id="283388" name="円/楕円 283387"/>
        <xdr:cNvSpPr/>
      </xdr:nvSpPr>
      <xdr:spPr bwMode="auto">
        <a:xfrm>
          <a:off x="4920796" y="516436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24</xdr:row>
      <xdr:rowOff>135164</xdr:rowOff>
    </xdr:from>
    <xdr:to>
      <xdr:col>8</xdr:col>
      <xdr:colOff>537028</xdr:colOff>
      <xdr:row>24</xdr:row>
      <xdr:rowOff>185964</xdr:rowOff>
    </xdr:to>
    <xdr:sp macro="" textlink="">
      <xdr:nvSpPr>
        <xdr:cNvPr id="283389" name="円/楕円 283388"/>
        <xdr:cNvSpPr/>
      </xdr:nvSpPr>
      <xdr:spPr bwMode="auto">
        <a:xfrm>
          <a:off x="5944053" y="516436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139246</xdr:colOff>
      <xdr:row>26</xdr:row>
      <xdr:rowOff>57150</xdr:rowOff>
    </xdr:from>
    <xdr:to>
      <xdr:col>7</xdr:col>
      <xdr:colOff>190046</xdr:colOff>
      <xdr:row>26</xdr:row>
      <xdr:rowOff>107950</xdr:rowOff>
    </xdr:to>
    <xdr:sp macro="" textlink="">
      <xdr:nvSpPr>
        <xdr:cNvPr id="283390" name="円/楕円 283389"/>
        <xdr:cNvSpPr/>
      </xdr:nvSpPr>
      <xdr:spPr bwMode="auto">
        <a:xfrm>
          <a:off x="4920796" y="55054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486228</xdr:colOff>
      <xdr:row>26</xdr:row>
      <xdr:rowOff>57150</xdr:rowOff>
    </xdr:from>
    <xdr:to>
      <xdr:col>8</xdr:col>
      <xdr:colOff>537028</xdr:colOff>
      <xdr:row>26</xdr:row>
      <xdr:rowOff>107950</xdr:rowOff>
    </xdr:to>
    <xdr:sp macro="" textlink="">
      <xdr:nvSpPr>
        <xdr:cNvPr id="283391" name="円/楕円 283390"/>
        <xdr:cNvSpPr/>
      </xdr:nvSpPr>
      <xdr:spPr bwMode="auto">
        <a:xfrm>
          <a:off x="5944053" y="550545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8</xdr:col>
      <xdr:colOff>193282</xdr:colOff>
      <xdr:row>3</xdr:row>
      <xdr:rowOff>127000</xdr:rowOff>
    </xdr:from>
    <xdr:ext cx="229550" cy="209032"/>
    <xdr:sp macro="" textlink="">
      <xdr:nvSpPr>
        <xdr:cNvPr id="283136" name="テキスト ボックス 283135"/>
        <xdr:cNvSpPr txBox="1"/>
      </xdr:nvSpPr>
      <xdr:spPr>
        <a:xfrm>
          <a:off x="5651107" y="7556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4</xdr:row>
      <xdr:rowOff>144840</xdr:rowOff>
    </xdr:from>
    <xdr:ext cx="229550" cy="209032"/>
    <xdr:sp macro="" textlink="">
      <xdr:nvSpPr>
        <xdr:cNvPr id="283137" name="テキスト ボックス 283136"/>
        <xdr:cNvSpPr txBox="1"/>
      </xdr:nvSpPr>
      <xdr:spPr>
        <a:xfrm>
          <a:off x="4946196" y="98304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193282</xdr:colOff>
      <xdr:row>4</xdr:row>
      <xdr:rowOff>144840</xdr:rowOff>
    </xdr:from>
    <xdr:ext cx="229550" cy="209032"/>
    <xdr:sp macro="" textlink="">
      <xdr:nvSpPr>
        <xdr:cNvPr id="283138" name="テキスト ボックス 283137"/>
        <xdr:cNvSpPr txBox="1"/>
      </xdr:nvSpPr>
      <xdr:spPr>
        <a:xfrm>
          <a:off x="5651107" y="98304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4</xdr:row>
      <xdr:rowOff>144840</xdr:rowOff>
    </xdr:from>
    <xdr:ext cx="229550" cy="209032"/>
    <xdr:sp macro="" textlink="">
      <xdr:nvSpPr>
        <xdr:cNvPr id="283139" name="テキスト ボックス 283138"/>
        <xdr:cNvSpPr txBox="1"/>
      </xdr:nvSpPr>
      <xdr:spPr>
        <a:xfrm>
          <a:off x="5969453" y="98304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5</xdr:row>
      <xdr:rowOff>162681</xdr:rowOff>
    </xdr:from>
    <xdr:ext cx="229550" cy="209032"/>
    <xdr:sp macro="" textlink="">
      <xdr:nvSpPr>
        <xdr:cNvPr id="283140" name="テキスト ボックス 283139"/>
        <xdr:cNvSpPr txBox="1"/>
      </xdr:nvSpPr>
      <xdr:spPr>
        <a:xfrm>
          <a:off x="4946196" y="1210431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5</xdr:row>
      <xdr:rowOff>162681</xdr:rowOff>
    </xdr:from>
    <xdr:ext cx="229550" cy="209032"/>
    <xdr:sp macro="" textlink="">
      <xdr:nvSpPr>
        <xdr:cNvPr id="283148" name="テキスト ボックス 283147"/>
        <xdr:cNvSpPr txBox="1"/>
      </xdr:nvSpPr>
      <xdr:spPr>
        <a:xfrm>
          <a:off x="5969453" y="1210431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8</xdr:row>
      <xdr:rowOff>43386</xdr:rowOff>
    </xdr:from>
    <xdr:ext cx="229550" cy="209032"/>
    <xdr:sp macro="" textlink="">
      <xdr:nvSpPr>
        <xdr:cNvPr id="283149" name="テキスト ボックス 283148"/>
        <xdr:cNvSpPr txBox="1"/>
      </xdr:nvSpPr>
      <xdr:spPr>
        <a:xfrm>
          <a:off x="4946196" y="171978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8</xdr:row>
      <xdr:rowOff>43386</xdr:rowOff>
    </xdr:from>
    <xdr:ext cx="229550" cy="209032"/>
    <xdr:sp macro="" textlink="">
      <xdr:nvSpPr>
        <xdr:cNvPr id="283150" name="テキスト ボックス 283149"/>
        <xdr:cNvSpPr txBox="1"/>
      </xdr:nvSpPr>
      <xdr:spPr>
        <a:xfrm>
          <a:off x="5969453" y="171978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12</xdr:row>
      <xdr:rowOff>23791</xdr:rowOff>
    </xdr:from>
    <xdr:ext cx="229550" cy="209032"/>
    <xdr:sp macro="" textlink="">
      <xdr:nvSpPr>
        <xdr:cNvPr id="283151" name="テキスト ボックス 283150"/>
        <xdr:cNvSpPr txBox="1"/>
      </xdr:nvSpPr>
      <xdr:spPr>
        <a:xfrm>
          <a:off x="4946196" y="2538391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12</xdr:row>
      <xdr:rowOff>23791</xdr:rowOff>
    </xdr:from>
    <xdr:ext cx="274434" cy="209032"/>
    <xdr:sp macro="" textlink="">
      <xdr:nvSpPr>
        <xdr:cNvPr id="283152" name="テキスト ボックス 283151"/>
        <xdr:cNvSpPr txBox="1"/>
      </xdr:nvSpPr>
      <xdr:spPr>
        <a:xfrm>
          <a:off x="5969453" y="2538391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15</xdr:row>
      <xdr:rowOff>9096</xdr:rowOff>
    </xdr:from>
    <xdr:ext cx="274434" cy="209032"/>
    <xdr:sp macro="" textlink="">
      <xdr:nvSpPr>
        <xdr:cNvPr id="283153" name="テキスト ボックス 283152"/>
        <xdr:cNvSpPr txBox="1"/>
      </xdr:nvSpPr>
      <xdr:spPr>
        <a:xfrm>
          <a:off x="4946196" y="3152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15</xdr:row>
      <xdr:rowOff>9096</xdr:rowOff>
    </xdr:from>
    <xdr:ext cx="274434" cy="209032"/>
    <xdr:sp macro="" textlink="">
      <xdr:nvSpPr>
        <xdr:cNvPr id="283154" name="テキスト ボックス 283153"/>
        <xdr:cNvSpPr txBox="1"/>
      </xdr:nvSpPr>
      <xdr:spPr>
        <a:xfrm>
          <a:off x="5969453" y="3152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18</xdr:row>
      <xdr:rowOff>17139</xdr:rowOff>
    </xdr:from>
    <xdr:ext cx="274434" cy="209032"/>
    <xdr:sp macro="" textlink="">
      <xdr:nvSpPr>
        <xdr:cNvPr id="283155" name="テキスト ボックス 283154"/>
        <xdr:cNvSpPr txBox="1"/>
      </xdr:nvSpPr>
      <xdr:spPr>
        <a:xfrm>
          <a:off x="4946196" y="3789039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18</xdr:row>
      <xdr:rowOff>17139</xdr:rowOff>
    </xdr:from>
    <xdr:ext cx="274434" cy="209032"/>
    <xdr:sp macro="" textlink="">
      <xdr:nvSpPr>
        <xdr:cNvPr id="283156" name="テキスト ボックス 283155"/>
        <xdr:cNvSpPr txBox="1"/>
      </xdr:nvSpPr>
      <xdr:spPr>
        <a:xfrm>
          <a:off x="5969453" y="3789039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24</xdr:row>
      <xdr:rowOff>160564</xdr:rowOff>
    </xdr:from>
    <xdr:ext cx="274434" cy="209032"/>
    <xdr:sp macro="" textlink="">
      <xdr:nvSpPr>
        <xdr:cNvPr id="283157" name="テキスト ボックス 283156"/>
        <xdr:cNvSpPr txBox="1"/>
      </xdr:nvSpPr>
      <xdr:spPr>
        <a:xfrm>
          <a:off x="4946196" y="518976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24</xdr:row>
      <xdr:rowOff>160564</xdr:rowOff>
    </xdr:from>
    <xdr:ext cx="274434" cy="209032"/>
    <xdr:sp macro="" textlink="">
      <xdr:nvSpPr>
        <xdr:cNvPr id="283158" name="テキスト ボックス 283157"/>
        <xdr:cNvSpPr txBox="1"/>
      </xdr:nvSpPr>
      <xdr:spPr>
        <a:xfrm>
          <a:off x="5969453" y="518976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164646</xdr:colOff>
      <xdr:row>26</xdr:row>
      <xdr:rowOff>82550</xdr:rowOff>
    </xdr:from>
    <xdr:ext cx="274434" cy="209032"/>
    <xdr:sp macro="" textlink="">
      <xdr:nvSpPr>
        <xdr:cNvPr id="283159" name="テキスト ボックス 283158"/>
        <xdr:cNvSpPr txBox="1"/>
      </xdr:nvSpPr>
      <xdr:spPr>
        <a:xfrm>
          <a:off x="4946196" y="553085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511628</xdr:colOff>
      <xdr:row>26</xdr:row>
      <xdr:rowOff>82550</xdr:rowOff>
    </xdr:from>
    <xdr:ext cx="274434" cy="209032"/>
    <xdr:sp macro="" textlink="">
      <xdr:nvSpPr>
        <xdr:cNvPr id="283161" name="テキスト ボックス 283160"/>
        <xdr:cNvSpPr txBox="1"/>
      </xdr:nvSpPr>
      <xdr:spPr>
        <a:xfrm>
          <a:off x="5969453" y="5530850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twoCellAnchor>
    <xdr:from>
      <xdr:col>8</xdr:col>
      <xdr:colOff>193282</xdr:colOff>
      <xdr:row>3</xdr:row>
      <xdr:rowOff>127000</xdr:rowOff>
    </xdr:from>
    <xdr:to>
      <xdr:col>8</xdr:col>
      <xdr:colOff>193282</xdr:colOff>
      <xdr:row>4</xdr:row>
      <xdr:rowOff>144840</xdr:rowOff>
    </xdr:to>
    <xdr:cxnSp macro="">
      <xdr:nvCxnSpPr>
        <xdr:cNvPr id="283163" name="直線コネクタ 283162"/>
        <xdr:cNvCxnSpPr/>
      </xdr:nvCxnSpPr>
      <xdr:spPr bwMode="auto">
        <a:xfrm>
          <a:off x="5651107" y="755650"/>
          <a:ext cx="0" cy="22739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4</xdr:row>
      <xdr:rowOff>144840</xdr:rowOff>
    </xdr:from>
    <xdr:to>
      <xdr:col>8</xdr:col>
      <xdr:colOff>193282</xdr:colOff>
      <xdr:row>4</xdr:row>
      <xdr:rowOff>144840</xdr:rowOff>
    </xdr:to>
    <xdr:cxnSp macro="">
      <xdr:nvCxnSpPr>
        <xdr:cNvPr id="278051" name="直線コネクタ 278050"/>
        <xdr:cNvCxnSpPr/>
      </xdr:nvCxnSpPr>
      <xdr:spPr bwMode="auto">
        <a:xfrm>
          <a:off x="4946196" y="983040"/>
          <a:ext cx="704911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193282</xdr:colOff>
      <xdr:row>4</xdr:row>
      <xdr:rowOff>144840</xdr:rowOff>
    </xdr:from>
    <xdr:to>
      <xdr:col>8</xdr:col>
      <xdr:colOff>511628</xdr:colOff>
      <xdr:row>4</xdr:row>
      <xdr:rowOff>144840</xdr:rowOff>
    </xdr:to>
    <xdr:cxnSp macro="">
      <xdr:nvCxnSpPr>
        <xdr:cNvPr id="278052" name="直線コネクタ 278051"/>
        <xdr:cNvCxnSpPr/>
      </xdr:nvCxnSpPr>
      <xdr:spPr bwMode="auto">
        <a:xfrm>
          <a:off x="5651107" y="983040"/>
          <a:ext cx="31834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4</xdr:row>
      <xdr:rowOff>144840</xdr:rowOff>
    </xdr:from>
    <xdr:to>
      <xdr:col>7</xdr:col>
      <xdr:colOff>164646</xdr:colOff>
      <xdr:row>5</xdr:row>
      <xdr:rowOff>162681</xdr:rowOff>
    </xdr:to>
    <xdr:cxnSp macro="">
      <xdr:nvCxnSpPr>
        <xdr:cNvPr id="278053" name="直線コネクタ 278052"/>
        <xdr:cNvCxnSpPr/>
      </xdr:nvCxnSpPr>
      <xdr:spPr bwMode="auto">
        <a:xfrm>
          <a:off x="4946196" y="983040"/>
          <a:ext cx="0" cy="22739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5</xdr:row>
      <xdr:rowOff>162681</xdr:rowOff>
    </xdr:from>
    <xdr:to>
      <xdr:col>7</xdr:col>
      <xdr:colOff>164646</xdr:colOff>
      <xdr:row>8</xdr:row>
      <xdr:rowOff>43386</xdr:rowOff>
    </xdr:to>
    <xdr:cxnSp macro="">
      <xdr:nvCxnSpPr>
        <xdr:cNvPr id="278054" name="直線コネクタ 278053"/>
        <xdr:cNvCxnSpPr/>
      </xdr:nvCxnSpPr>
      <xdr:spPr bwMode="auto">
        <a:xfrm>
          <a:off x="4946196" y="1210431"/>
          <a:ext cx="0" cy="5093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8</xdr:row>
      <xdr:rowOff>43386</xdr:rowOff>
    </xdr:from>
    <xdr:to>
      <xdr:col>7</xdr:col>
      <xdr:colOff>164646</xdr:colOff>
      <xdr:row>12</xdr:row>
      <xdr:rowOff>23791</xdr:rowOff>
    </xdr:to>
    <xdr:cxnSp macro="">
      <xdr:nvCxnSpPr>
        <xdr:cNvPr id="278055" name="直線コネクタ 278054"/>
        <xdr:cNvCxnSpPr/>
      </xdr:nvCxnSpPr>
      <xdr:spPr bwMode="auto">
        <a:xfrm>
          <a:off x="4946196" y="1719786"/>
          <a:ext cx="0" cy="81860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12</xdr:row>
      <xdr:rowOff>23791</xdr:rowOff>
    </xdr:from>
    <xdr:to>
      <xdr:col>7</xdr:col>
      <xdr:colOff>164646</xdr:colOff>
      <xdr:row>15</xdr:row>
      <xdr:rowOff>9096</xdr:rowOff>
    </xdr:to>
    <xdr:cxnSp macro="">
      <xdr:nvCxnSpPr>
        <xdr:cNvPr id="278056" name="直線コネクタ 278055"/>
        <xdr:cNvCxnSpPr/>
      </xdr:nvCxnSpPr>
      <xdr:spPr bwMode="auto">
        <a:xfrm>
          <a:off x="4946196" y="2538391"/>
          <a:ext cx="0" cy="6139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15</xdr:row>
      <xdr:rowOff>9096</xdr:rowOff>
    </xdr:from>
    <xdr:to>
      <xdr:col>7</xdr:col>
      <xdr:colOff>164646</xdr:colOff>
      <xdr:row>18</xdr:row>
      <xdr:rowOff>17139</xdr:rowOff>
    </xdr:to>
    <xdr:cxnSp macro="">
      <xdr:nvCxnSpPr>
        <xdr:cNvPr id="278057" name="直線コネクタ 278056"/>
        <xdr:cNvCxnSpPr/>
      </xdr:nvCxnSpPr>
      <xdr:spPr bwMode="auto">
        <a:xfrm>
          <a:off x="4946196" y="3152346"/>
          <a:ext cx="0" cy="63669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18</xdr:row>
      <xdr:rowOff>17139</xdr:rowOff>
    </xdr:from>
    <xdr:to>
      <xdr:col>7</xdr:col>
      <xdr:colOff>164646</xdr:colOff>
      <xdr:row>24</xdr:row>
      <xdr:rowOff>160564</xdr:rowOff>
    </xdr:to>
    <xdr:cxnSp macro="">
      <xdr:nvCxnSpPr>
        <xdr:cNvPr id="278070" name="直線コネクタ 278069"/>
        <xdr:cNvCxnSpPr/>
      </xdr:nvCxnSpPr>
      <xdr:spPr bwMode="auto">
        <a:xfrm>
          <a:off x="4946196" y="3789039"/>
          <a:ext cx="0" cy="14007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164646</xdr:colOff>
      <xdr:row>24</xdr:row>
      <xdr:rowOff>160564</xdr:rowOff>
    </xdr:from>
    <xdr:to>
      <xdr:col>7</xdr:col>
      <xdr:colOff>164646</xdr:colOff>
      <xdr:row>26</xdr:row>
      <xdr:rowOff>82550</xdr:rowOff>
    </xdr:to>
    <xdr:cxnSp macro="">
      <xdr:nvCxnSpPr>
        <xdr:cNvPr id="278072" name="直線コネクタ 278071"/>
        <xdr:cNvCxnSpPr/>
      </xdr:nvCxnSpPr>
      <xdr:spPr bwMode="auto">
        <a:xfrm>
          <a:off x="4946196" y="5189764"/>
          <a:ext cx="0" cy="34108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4</xdr:row>
      <xdr:rowOff>144840</xdr:rowOff>
    </xdr:from>
    <xdr:to>
      <xdr:col>8</xdr:col>
      <xdr:colOff>511628</xdr:colOff>
      <xdr:row>5</xdr:row>
      <xdr:rowOff>162681</xdr:rowOff>
    </xdr:to>
    <xdr:cxnSp macro="">
      <xdr:nvCxnSpPr>
        <xdr:cNvPr id="283134" name="直線コネクタ 283133"/>
        <xdr:cNvCxnSpPr/>
      </xdr:nvCxnSpPr>
      <xdr:spPr bwMode="auto">
        <a:xfrm>
          <a:off x="5969453" y="983040"/>
          <a:ext cx="0" cy="22739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5</xdr:row>
      <xdr:rowOff>162681</xdr:rowOff>
    </xdr:from>
    <xdr:to>
      <xdr:col>8</xdr:col>
      <xdr:colOff>511628</xdr:colOff>
      <xdr:row>8</xdr:row>
      <xdr:rowOff>43386</xdr:rowOff>
    </xdr:to>
    <xdr:cxnSp macro="">
      <xdr:nvCxnSpPr>
        <xdr:cNvPr id="283135" name="直線コネクタ 283134"/>
        <xdr:cNvCxnSpPr/>
      </xdr:nvCxnSpPr>
      <xdr:spPr bwMode="auto">
        <a:xfrm>
          <a:off x="5969453" y="1210431"/>
          <a:ext cx="0" cy="5093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8</xdr:row>
      <xdr:rowOff>43386</xdr:rowOff>
    </xdr:from>
    <xdr:to>
      <xdr:col>8</xdr:col>
      <xdr:colOff>511628</xdr:colOff>
      <xdr:row>12</xdr:row>
      <xdr:rowOff>23791</xdr:rowOff>
    </xdr:to>
    <xdr:cxnSp macro="">
      <xdr:nvCxnSpPr>
        <xdr:cNvPr id="283392" name="直線コネクタ 283391"/>
        <xdr:cNvCxnSpPr/>
      </xdr:nvCxnSpPr>
      <xdr:spPr bwMode="auto">
        <a:xfrm>
          <a:off x="5969453" y="1719786"/>
          <a:ext cx="0" cy="81860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12</xdr:row>
      <xdr:rowOff>23791</xdr:rowOff>
    </xdr:from>
    <xdr:to>
      <xdr:col>8</xdr:col>
      <xdr:colOff>511628</xdr:colOff>
      <xdr:row>15</xdr:row>
      <xdr:rowOff>9096</xdr:rowOff>
    </xdr:to>
    <xdr:cxnSp macro="">
      <xdr:nvCxnSpPr>
        <xdr:cNvPr id="283393" name="直線コネクタ 283392"/>
        <xdr:cNvCxnSpPr/>
      </xdr:nvCxnSpPr>
      <xdr:spPr bwMode="auto">
        <a:xfrm>
          <a:off x="5969453" y="2538391"/>
          <a:ext cx="0" cy="61395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15</xdr:row>
      <xdr:rowOff>9096</xdr:rowOff>
    </xdr:from>
    <xdr:to>
      <xdr:col>8</xdr:col>
      <xdr:colOff>511628</xdr:colOff>
      <xdr:row>18</xdr:row>
      <xdr:rowOff>17139</xdr:rowOff>
    </xdr:to>
    <xdr:cxnSp macro="">
      <xdr:nvCxnSpPr>
        <xdr:cNvPr id="283394" name="直線コネクタ 283393"/>
        <xdr:cNvCxnSpPr/>
      </xdr:nvCxnSpPr>
      <xdr:spPr bwMode="auto">
        <a:xfrm>
          <a:off x="5969453" y="3152346"/>
          <a:ext cx="0" cy="63669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18</xdr:row>
      <xdr:rowOff>17139</xdr:rowOff>
    </xdr:from>
    <xdr:to>
      <xdr:col>8</xdr:col>
      <xdr:colOff>511628</xdr:colOff>
      <xdr:row>24</xdr:row>
      <xdr:rowOff>160564</xdr:rowOff>
    </xdr:to>
    <xdr:cxnSp macro="">
      <xdr:nvCxnSpPr>
        <xdr:cNvPr id="283395" name="直線コネクタ 283394"/>
        <xdr:cNvCxnSpPr/>
      </xdr:nvCxnSpPr>
      <xdr:spPr bwMode="auto">
        <a:xfrm>
          <a:off x="5969453" y="3789039"/>
          <a:ext cx="0" cy="14007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511628</xdr:colOff>
      <xdr:row>24</xdr:row>
      <xdr:rowOff>160564</xdr:rowOff>
    </xdr:from>
    <xdr:to>
      <xdr:col>8</xdr:col>
      <xdr:colOff>511628</xdr:colOff>
      <xdr:row>26</xdr:row>
      <xdr:rowOff>82550</xdr:rowOff>
    </xdr:to>
    <xdr:cxnSp macro="">
      <xdr:nvCxnSpPr>
        <xdr:cNvPr id="283396" name="直線コネクタ 283395"/>
        <xdr:cNvCxnSpPr/>
      </xdr:nvCxnSpPr>
      <xdr:spPr bwMode="auto">
        <a:xfrm>
          <a:off x="5969453" y="5189764"/>
          <a:ext cx="0" cy="34108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282094</xdr:colOff>
      <xdr:row>4</xdr:row>
      <xdr:rowOff>147960</xdr:rowOff>
    </xdr:from>
    <xdr:to>
      <xdr:col>8</xdr:col>
      <xdr:colOff>298699</xdr:colOff>
      <xdr:row>5</xdr:row>
      <xdr:rowOff>165801</xdr:rowOff>
    </xdr:to>
    <xdr:cxnSp macro="">
      <xdr:nvCxnSpPr>
        <xdr:cNvPr id="283397" name="直線コネクタ 283396"/>
        <xdr:cNvCxnSpPr/>
      </xdr:nvCxnSpPr>
      <xdr:spPr bwMode="auto">
        <a:xfrm flipH="1">
          <a:off x="5739919" y="986160"/>
          <a:ext cx="16605" cy="22739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253458</xdr:colOff>
      <xdr:row>5</xdr:row>
      <xdr:rowOff>114244</xdr:rowOff>
    </xdr:from>
    <xdr:to>
      <xdr:col>8</xdr:col>
      <xdr:colOff>282094</xdr:colOff>
      <xdr:row>5</xdr:row>
      <xdr:rowOff>165801</xdr:rowOff>
    </xdr:to>
    <xdr:cxnSp macro="">
      <xdr:nvCxnSpPr>
        <xdr:cNvPr id="283398" name="直線コネクタ 283397"/>
        <xdr:cNvCxnSpPr/>
      </xdr:nvCxnSpPr>
      <xdr:spPr bwMode="auto">
        <a:xfrm>
          <a:off x="5035008" y="1161994"/>
          <a:ext cx="704911" cy="5155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282094</xdr:colOff>
      <xdr:row>5</xdr:row>
      <xdr:rowOff>165801</xdr:rowOff>
    </xdr:from>
    <xdr:to>
      <xdr:col>8</xdr:col>
      <xdr:colOff>600440</xdr:colOff>
      <xdr:row>5</xdr:row>
      <xdr:rowOff>189037</xdr:rowOff>
    </xdr:to>
    <xdr:cxnSp macro="">
      <xdr:nvCxnSpPr>
        <xdr:cNvPr id="283399" name="直線コネクタ 283398"/>
        <xdr:cNvCxnSpPr/>
      </xdr:nvCxnSpPr>
      <xdr:spPr bwMode="auto">
        <a:xfrm>
          <a:off x="5739919" y="1213551"/>
          <a:ext cx="318346" cy="2323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236815</xdr:colOff>
      <xdr:row>5</xdr:row>
      <xdr:rowOff>114244</xdr:rowOff>
    </xdr:from>
    <xdr:to>
      <xdr:col>7</xdr:col>
      <xdr:colOff>253458</xdr:colOff>
      <xdr:row>6</xdr:row>
      <xdr:rowOff>132076</xdr:rowOff>
    </xdr:to>
    <xdr:cxnSp macro="">
      <xdr:nvCxnSpPr>
        <xdr:cNvPr id="283400" name="直線コネクタ 283399"/>
        <xdr:cNvCxnSpPr/>
      </xdr:nvCxnSpPr>
      <xdr:spPr bwMode="auto">
        <a:xfrm flipH="1">
          <a:off x="5018365" y="1161994"/>
          <a:ext cx="16643" cy="22738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204557</xdr:colOff>
      <xdr:row>6</xdr:row>
      <xdr:rowOff>132076</xdr:rowOff>
    </xdr:from>
    <xdr:to>
      <xdr:col>7</xdr:col>
      <xdr:colOff>236815</xdr:colOff>
      <xdr:row>9</xdr:row>
      <xdr:rowOff>6803</xdr:rowOff>
    </xdr:to>
    <xdr:cxnSp macro="">
      <xdr:nvCxnSpPr>
        <xdr:cNvPr id="283401" name="直線コネクタ 283400"/>
        <xdr:cNvCxnSpPr/>
      </xdr:nvCxnSpPr>
      <xdr:spPr bwMode="auto">
        <a:xfrm flipH="1">
          <a:off x="4986107" y="1389376"/>
          <a:ext cx="32258" cy="50337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173154</xdr:colOff>
      <xdr:row>9</xdr:row>
      <xdr:rowOff>6803</xdr:rowOff>
    </xdr:from>
    <xdr:to>
      <xdr:col>7</xdr:col>
      <xdr:colOff>204557</xdr:colOff>
      <xdr:row>12</xdr:row>
      <xdr:rowOff>187693</xdr:rowOff>
    </xdr:to>
    <xdr:cxnSp macro="">
      <xdr:nvCxnSpPr>
        <xdr:cNvPr id="283402" name="直線コネクタ 283401"/>
        <xdr:cNvCxnSpPr/>
      </xdr:nvCxnSpPr>
      <xdr:spPr bwMode="auto">
        <a:xfrm flipH="1">
          <a:off x="4954704" y="1892753"/>
          <a:ext cx="31403" cy="80954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163061</xdr:colOff>
      <xdr:row>12</xdr:row>
      <xdr:rowOff>187693</xdr:rowOff>
    </xdr:from>
    <xdr:to>
      <xdr:col>7</xdr:col>
      <xdr:colOff>173154</xdr:colOff>
      <xdr:row>15</xdr:row>
      <xdr:rowOff>166671</xdr:rowOff>
    </xdr:to>
    <xdr:cxnSp macro="">
      <xdr:nvCxnSpPr>
        <xdr:cNvPr id="283403" name="直線コネクタ 283402"/>
        <xdr:cNvCxnSpPr/>
      </xdr:nvCxnSpPr>
      <xdr:spPr bwMode="auto">
        <a:xfrm flipH="1">
          <a:off x="4944611" y="2702293"/>
          <a:ext cx="10093" cy="60762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160117</xdr:colOff>
      <xdr:row>15</xdr:row>
      <xdr:rowOff>166671</xdr:rowOff>
    </xdr:from>
    <xdr:to>
      <xdr:col>7</xdr:col>
      <xdr:colOff>163061</xdr:colOff>
      <xdr:row>18</xdr:row>
      <xdr:rowOff>168732</xdr:rowOff>
    </xdr:to>
    <xdr:cxnSp macro="">
      <xdr:nvCxnSpPr>
        <xdr:cNvPr id="283404" name="直線コネクタ 283403"/>
        <xdr:cNvCxnSpPr/>
      </xdr:nvCxnSpPr>
      <xdr:spPr bwMode="auto">
        <a:xfrm flipH="1">
          <a:off x="4941667" y="3309921"/>
          <a:ext cx="2944" cy="63071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160117</xdr:colOff>
      <xdr:row>18</xdr:row>
      <xdr:rowOff>168732</xdr:rowOff>
    </xdr:from>
    <xdr:to>
      <xdr:col>7</xdr:col>
      <xdr:colOff>162828</xdr:colOff>
      <xdr:row>25</xdr:row>
      <xdr:rowOff>94699</xdr:rowOff>
    </xdr:to>
    <xdr:cxnSp macro="">
      <xdr:nvCxnSpPr>
        <xdr:cNvPr id="283405" name="直線コネクタ 283404"/>
        <xdr:cNvCxnSpPr/>
      </xdr:nvCxnSpPr>
      <xdr:spPr bwMode="auto">
        <a:xfrm>
          <a:off x="4941667" y="3940632"/>
          <a:ext cx="2711" cy="139281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162828</xdr:colOff>
      <xdr:row>25</xdr:row>
      <xdr:rowOff>94699</xdr:rowOff>
    </xdr:from>
    <xdr:to>
      <xdr:col>7</xdr:col>
      <xdr:colOff>163779</xdr:colOff>
      <xdr:row>27</xdr:row>
      <xdr:rowOff>15997</xdr:rowOff>
    </xdr:to>
    <xdr:cxnSp macro="">
      <xdr:nvCxnSpPr>
        <xdr:cNvPr id="283406" name="直線コネクタ 283405"/>
        <xdr:cNvCxnSpPr/>
      </xdr:nvCxnSpPr>
      <xdr:spPr bwMode="auto">
        <a:xfrm>
          <a:off x="4944378" y="5333449"/>
          <a:ext cx="951" cy="34039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583848</xdr:colOff>
      <xdr:row>5</xdr:row>
      <xdr:rowOff>189037</xdr:rowOff>
    </xdr:from>
    <xdr:to>
      <xdr:col>8</xdr:col>
      <xdr:colOff>600440</xdr:colOff>
      <xdr:row>6</xdr:row>
      <xdr:rowOff>206865</xdr:rowOff>
    </xdr:to>
    <xdr:cxnSp macro="">
      <xdr:nvCxnSpPr>
        <xdr:cNvPr id="283407" name="直線コネクタ 283406"/>
        <xdr:cNvCxnSpPr/>
      </xdr:nvCxnSpPr>
      <xdr:spPr bwMode="auto">
        <a:xfrm flipH="1">
          <a:off x="6041673" y="1236787"/>
          <a:ext cx="16592" cy="2273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551664</xdr:colOff>
      <xdr:row>6</xdr:row>
      <xdr:rowOff>206865</xdr:rowOff>
    </xdr:from>
    <xdr:to>
      <xdr:col>8</xdr:col>
      <xdr:colOff>583848</xdr:colOff>
      <xdr:row>9</xdr:row>
      <xdr:rowOff>79095</xdr:rowOff>
    </xdr:to>
    <xdr:cxnSp macro="">
      <xdr:nvCxnSpPr>
        <xdr:cNvPr id="283408" name="直線コネクタ 283407"/>
        <xdr:cNvCxnSpPr/>
      </xdr:nvCxnSpPr>
      <xdr:spPr bwMode="auto">
        <a:xfrm flipH="1">
          <a:off x="6009489" y="1464165"/>
          <a:ext cx="32184" cy="50088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520269</xdr:colOff>
      <xdr:row>9</xdr:row>
      <xdr:rowOff>79095</xdr:rowOff>
    </xdr:from>
    <xdr:to>
      <xdr:col>8</xdr:col>
      <xdr:colOff>551664</xdr:colOff>
      <xdr:row>13</xdr:row>
      <xdr:rowOff>46644</xdr:rowOff>
    </xdr:to>
    <xdr:cxnSp macro="">
      <xdr:nvCxnSpPr>
        <xdr:cNvPr id="283409" name="直線コネクタ 283408"/>
        <xdr:cNvCxnSpPr/>
      </xdr:nvCxnSpPr>
      <xdr:spPr bwMode="auto">
        <a:xfrm flipH="1">
          <a:off x="5978094" y="1965045"/>
          <a:ext cx="31395" cy="80574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510140</xdr:colOff>
      <xdr:row>13</xdr:row>
      <xdr:rowOff>46644</xdr:rowOff>
    </xdr:from>
    <xdr:to>
      <xdr:col>8</xdr:col>
      <xdr:colOff>520269</xdr:colOff>
      <xdr:row>16</xdr:row>
      <xdr:rowOff>22979</xdr:rowOff>
    </xdr:to>
    <xdr:cxnSp macro="">
      <xdr:nvCxnSpPr>
        <xdr:cNvPr id="283410" name="直線コネクタ 283409"/>
        <xdr:cNvCxnSpPr/>
      </xdr:nvCxnSpPr>
      <xdr:spPr bwMode="auto">
        <a:xfrm flipH="1">
          <a:off x="5967965" y="2770794"/>
          <a:ext cx="10129" cy="60498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507149</xdr:colOff>
      <xdr:row>16</xdr:row>
      <xdr:rowOff>22979</xdr:rowOff>
    </xdr:from>
    <xdr:to>
      <xdr:col>8</xdr:col>
      <xdr:colOff>510140</xdr:colOff>
      <xdr:row>19</xdr:row>
      <xdr:rowOff>22539</xdr:rowOff>
    </xdr:to>
    <xdr:cxnSp macro="">
      <xdr:nvCxnSpPr>
        <xdr:cNvPr id="283411" name="直線コネクタ 283410"/>
        <xdr:cNvCxnSpPr/>
      </xdr:nvCxnSpPr>
      <xdr:spPr bwMode="auto">
        <a:xfrm flipH="1">
          <a:off x="5964974" y="3375779"/>
          <a:ext cx="2991" cy="6282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507149</xdr:colOff>
      <xdr:row>19</xdr:row>
      <xdr:rowOff>22539</xdr:rowOff>
    </xdr:from>
    <xdr:to>
      <xdr:col>8</xdr:col>
      <xdr:colOff>509779</xdr:colOff>
      <xdr:row>25</xdr:row>
      <xdr:rowOff>154752</xdr:rowOff>
    </xdr:to>
    <xdr:cxnSp macro="">
      <xdr:nvCxnSpPr>
        <xdr:cNvPr id="283412" name="直線コネクタ 283411"/>
        <xdr:cNvCxnSpPr/>
      </xdr:nvCxnSpPr>
      <xdr:spPr bwMode="auto">
        <a:xfrm>
          <a:off x="5964974" y="4003989"/>
          <a:ext cx="2630" cy="138951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509779</xdr:colOff>
      <xdr:row>25</xdr:row>
      <xdr:rowOff>154752</xdr:rowOff>
    </xdr:from>
    <xdr:to>
      <xdr:col>8</xdr:col>
      <xdr:colOff>510711</xdr:colOff>
      <xdr:row>27</xdr:row>
      <xdr:rowOff>75762</xdr:rowOff>
    </xdr:to>
    <xdr:cxnSp macro="">
      <xdr:nvCxnSpPr>
        <xdr:cNvPr id="283413" name="直線コネクタ 283412"/>
        <xdr:cNvCxnSpPr/>
      </xdr:nvCxnSpPr>
      <xdr:spPr bwMode="auto">
        <a:xfrm>
          <a:off x="5967604" y="5393502"/>
          <a:ext cx="932" cy="3401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532360</xdr:colOff>
      <xdr:row>24</xdr:row>
      <xdr:rowOff>96291</xdr:rowOff>
    </xdr:from>
    <xdr:to>
      <xdr:col>6</xdr:col>
      <xdr:colOff>33885</xdr:colOff>
      <xdr:row>25</xdr:row>
      <xdr:rowOff>64541</xdr:rowOff>
    </xdr:to>
    <xdr:sp macro="" textlink="">
      <xdr:nvSpPr>
        <xdr:cNvPr id="283414" name="テキスト ボックス 283413"/>
        <xdr:cNvSpPr txBox="1"/>
      </xdr:nvSpPr>
      <xdr:spPr>
        <a:xfrm>
          <a:off x="3961360" y="5125491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5</xdr:col>
      <xdr:colOff>127000</xdr:colOff>
      <xdr:row>24</xdr:row>
      <xdr:rowOff>96291</xdr:rowOff>
    </xdr:from>
    <xdr:to>
      <xdr:col>5</xdr:col>
      <xdr:colOff>532360</xdr:colOff>
      <xdr:row>24</xdr:row>
      <xdr:rowOff>96291</xdr:rowOff>
    </xdr:to>
    <xdr:cxnSp macro="">
      <xdr:nvCxnSpPr>
        <xdr:cNvPr id="283415" name="直線コネクタ 283414"/>
        <xdr:cNvCxnSpPr/>
      </xdr:nvCxnSpPr>
      <xdr:spPr bwMode="auto">
        <a:xfrm>
          <a:off x="3556000" y="5125491"/>
          <a:ext cx="40536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127000</xdr:colOff>
      <xdr:row>26</xdr:row>
      <xdr:rowOff>82550</xdr:rowOff>
    </xdr:from>
    <xdr:to>
      <xdr:col>5</xdr:col>
      <xdr:colOff>304800</xdr:colOff>
      <xdr:row>27</xdr:row>
      <xdr:rowOff>50800</xdr:rowOff>
    </xdr:to>
    <xdr:sp macro="" textlink="">
      <xdr:nvSpPr>
        <xdr:cNvPr id="283416" name="テキスト ボックス 283415"/>
        <xdr:cNvSpPr txBox="1"/>
      </xdr:nvSpPr>
      <xdr:spPr>
        <a:xfrm>
          <a:off x="3556000" y="553085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5</xdr:col>
      <xdr:colOff>127000</xdr:colOff>
      <xdr:row>24</xdr:row>
      <xdr:rowOff>96291</xdr:rowOff>
    </xdr:from>
    <xdr:to>
      <xdr:col>5</xdr:col>
      <xdr:colOff>127000</xdr:colOff>
      <xdr:row>26</xdr:row>
      <xdr:rowOff>82550</xdr:rowOff>
    </xdr:to>
    <xdr:cxnSp macro="">
      <xdr:nvCxnSpPr>
        <xdr:cNvPr id="283417" name="直線コネクタ 283416"/>
        <xdr:cNvCxnSpPr/>
      </xdr:nvCxnSpPr>
      <xdr:spPr bwMode="auto">
        <a:xfrm>
          <a:off x="3556000" y="5125491"/>
          <a:ext cx="0" cy="40535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jc-d057\D\Documents%20and%20Settings\&#30959;&#35997;&#12288;&#28165;\My%20Documents\excldata\&#36899;&#25658;&#65420;&#65383;&#65394;&#6543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2521;&#12540;&#12513;&#12531;&#35336;&#31639;-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2539;&#12524;&#65293;&#12523;&#12454;&#12455;&#12452;&#65381;&#12463;&#12523;&#12475;&#12452;&#12480;&#12540;&#12474;\&#33337;&#23567;&#23627;&#39365;&#39640;&#26550;&#20445;&#23432;&#29992;&#26012;&#36335;\&#35336;&#31639;&#26360;\&#12521;&#12540;&#12513;&#12531;&#35336;&#31639;-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連携ﾌｧｲﾙ"/>
      <sheetName val="躯体の設計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ｽｲﾍｲ"/>
      <sheetName val="ﾗｰﾒﾝIN"/>
      <sheetName val="ｸｲｷｿ"/>
      <sheetName val="ｸｲｷｿ-2"/>
      <sheetName val="ｽﾗﾌﾞR"/>
      <sheetName val="ﾈｼﾞﾘM"/>
      <sheetName val="ｼﾞｮｳﾌﾞS"/>
      <sheetName val="ｼﾝﾄﾞT"/>
      <sheetName val="ねじりモーメント"/>
      <sheetName val="水平分担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ﾗｰﾒﾝIN"/>
      <sheetName val="ｸｲｷｿ"/>
      <sheetName val="ｸｲｷｿ-2"/>
      <sheetName val="ｽﾗﾌﾞR"/>
      <sheetName val="ねじりモーメント"/>
      <sheetName val="ﾈｼﾞﾘM"/>
      <sheetName val="ｼﾞｮｳﾌﾞS"/>
      <sheetName val="ｼﾝﾄﾞT"/>
      <sheetName val="水平分担"/>
      <sheetName val="ｽｲﾍｲ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hyperlink" Target="mailto:sasaicco@gmail.com&#160;" TargetMode="External"/><Relationship Id="rId7" Type="http://schemas.openxmlformats.org/officeDocument/2006/relationships/control" Target="../activeX/activeX1.xml"/><Relationship Id="rId12" Type="http://schemas.openxmlformats.org/officeDocument/2006/relationships/ctrlProp" Target="../ctrlProps/ctrlProp2.xml"/><Relationship Id="rId2" Type="http://schemas.openxmlformats.org/officeDocument/2006/relationships/hyperlink" Target="http://structuralengine.com/" TargetMode="External"/><Relationship Id="rId1" Type="http://schemas.openxmlformats.org/officeDocument/2006/relationships/hyperlink" Target="https://support.office.com/ja-jp/article/Office-%E3%83%89%E3%82%AD%E3%83%A5%E3%83%A1%E3%83%B3%E3%83%88%E3%81%AE%E3%83%9E%E3%82%AF%E3%83%AD%E3%82%92%E6%9C%89%E5%8A%B9%E3%81%BE%E3%81%9F%E3%81%AF%E7%84%A1%E5%8A%B9%E3%81%AB%E3%81%99%E3%82%8B-7b4fdd2e-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1.xml"/><Relationship Id="rId5" Type="http://schemas.openxmlformats.org/officeDocument/2006/relationships/drawing" Target="../drawings/drawing1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putSheet"/>
  <dimension ref="A1:U107"/>
  <sheetViews>
    <sheetView tabSelected="1" zoomScaleNormal="100" workbookViewId="0">
      <selection activeCell="B104" sqref="B104"/>
    </sheetView>
  </sheetViews>
  <sheetFormatPr defaultColWidth="12.375" defaultRowHeight="14.25" customHeight="1"/>
  <cols>
    <col min="1" max="1" width="3.5" style="1" customWidth="1"/>
    <col min="2" max="5" width="12.375" style="2" customWidth="1"/>
    <col min="6" max="6" width="12.375" style="1" customWidth="1"/>
    <col min="7" max="12" width="12.375" style="2" customWidth="1"/>
    <col min="13" max="13" width="12.375" style="1" customWidth="1"/>
    <col min="14" max="18" width="12.375" style="2" customWidth="1"/>
    <col min="19" max="19" width="12.375" style="1" customWidth="1"/>
    <col min="20" max="16384" width="12.375" style="2"/>
  </cols>
  <sheetData>
    <row r="1" spans="1:19" s="8" customFormat="1" ht="15.75" customHeight="1">
      <c r="A1" s="6" t="s">
        <v>72</v>
      </c>
      <c r="B1" s="7"/>
      <c r="C1" s="7"/>
      <c r="D1" s="7"/>
      <c r="E1" s="7"/>
      <c r="F1" s="7"/>
      <c r="G1" s="7"/>
      <c r="H1" s="7"/>
      <c r="I1" s="7"/>
      <c r="J1" s="7"/>
    </row>
    <row r="3" spans="1:19" s="4" customFormat="1" ht="14.25" customHeight="1">
      <c r="B3" s="3" t="s">
        <v>12</v>
      </c>
      <c r="K3" s="5"/>
    </row>
    <row r="4" spans="1:19" s="4" customFormat="1" ht="7.5" customHeight="1"/>
    <row r="5" spans="1:19" s="4" customFormat="1" ht="14.25" customHeight="1">
      <c r="B5" s="4" t="s">
        <v>92</v>
      </c>
    </row>
    <row r="7" spans="1:19" ht="14.25" customHeight="1">
      <c r="B7" s="2" t="s">
        <v>6</v>
      </c>
    </row>
    <row r="8" spans="1:19" ht="14.25" customHeight="1">
      <c r="B8" s="10" t="s">
        <v>5</v>
      </c>
    </row>
    <row r="10" spans="1:19" ht="14.25" customHeight="1">
      <c r="B10" s="2" t="s">
        <v>7</v>
      </c>
    </row>
    <row r="12" spans="1:19" s="13" customFormat="1" ht="14.25" customHeight="1">
      <c r="A12" s="11"/>
      <c r="B12" s="12" t="s">
        <v>8</v>
      </c>
      <c r="F12" s="11"/>
      <c r="M12" s="11"/>
      <c r="S12" s="11"/>
    </row>
    <row r="13" spans="1:19" s="13" customFormat="1" ht="14.25" customHeight="1">
      <c r="A13" s="11"/>
      <c r="B13" s="174"/>
      <c r="C13" s="174"/>
      <c r="D13" s="174"/>
      <c r="E13" s="174"/>
      <c r="F13" s="174"/>
      <c r="G13" s="174"/>
      <c r="H13" s="174"/>
      <c r="I13" s="174"/>
      <c r="J13" s="174"/>
      <c r="M13" s="11"/>
      <c r="S13" s="11"/>
    </row>
    <row r="14" spans="1:19" s="13" customFormat="1" ht="14.25" customHeight="1">
      <c r="A14" s="11"/>
      <c r="B14" s="12" t="s">
        <v>0</v>
      </c>
      <c r="F14" s="11"/>
      <c r="M14" s="11"/>
      <c r="S14" s="11"/>
    </row>
    <row r="15" spans="1:19" s="13" customFormat="1" ht="14.25" customHeight="1">
      <c r="A15" s="11"/>
      <c r="B15" s="174"/>
      <c r="C15" s="174"/>
      <c r="D15" s="174"/>
      <c r="E15" s="174"/>
      <c r="F15" s="174"/>
      <c r="G15" s="174"/>
      <c r="H15" s="174"/>
      <c r="I15" s="174"/>
      <c r="J15" s="174"/>
      <c r="M15" s="11"/>
      <c r="S15" s="11"/>
    </row>
    <row r="17" spans="2:19" ht="14.25" customHeight="1">
      <c r="B17" s="2" t="s">
        <v>10</v>
      </c>
    </row>
    <row r="18" spans="2:19" ht="14.25" customHeight="1">
      <c r="B18" s="9" t="s">
        <v>9</v>
      </c>
    </row>
    <row r="19" spans="2:19" ht="14.25" customHeight="1">
      <c r="B19" s="9" t="s">
        <v>89</v>
      </c>
    </row>
    <row r="22" spans="2:19" s="4" customFormat="1" ht="14.25" customHeight="1">
      <c r="B22" s="3" t="s">
        <v>90</v>
      </c>
      <c r="K22" s="5"/>
    </row>
    <row r="23" spans="2:19" s="4" customFormat="1" ht="7.5" customHeight="1"/>
    <row r="24" spans="2:19" s="4" customFormat="1" ht="14.25" customHeight="1">
      <c r="B24" s="4" t="s">
        <v>93</v>
      </c>
    </row>
    <row r="26" spans="2:19" ht="14.25" customHeight="1">
      <c r="B26" s="175">
        <v>1</v>
      </c>
      <c r="C26" s="1"/>
      <c r="E26" s="1"/>
      <c r="F26" s="2"/>
      <c r="L26" s="1"/>
      <c r="M26" s="2"/>
      <c r="R26" s="1"/>
      <c r="S26" s="2"/>
    </row>
    <row r="27" spans="2:19" ht="14.25" customHeight="1">
      <c r="B27" s="175"/>
      <c r="C27" s="1"/>
      <c r="E27" s="1"/>
      <c r="F27" s="2"/>
      <c r="L27" s="1"/>
      <c r="M27" s="2"/>
      <c r="R27" s="1"/>
      <c r="S27" s="2"/>
    </row>
    <row r="28" spans="2:19" ht="14.25" customHeight="1">
      <c r="E28" s="1"/>
      <c r="F28" s="2"/>
      <c r="L28" s="1"/>
      <c r="M28" s="2"/>
      <c r="R28" s="1"/>
      <c r="S28" s="2"/>
    </row>
    <row r="30" spans="2:19" s="4" customFormat="1" ht="14.25" customHeight="1">
      <c r="B30" s="3" t="s">
        <v>11</v>
      </c>
      <c r="K30" s="5"/>
    </row>
    <row r="31" spans="2:19" s="4" customFormat="1" ht="7.5" customHeight="1"/>
    <row r="32" spans="2:19" ht="14.25" customHeight="1">
      <c r="B32" s="2" t="s">
        <v>1</v>
      </c>
    </row>
    <row r="33" spans="2:21" ht="14.25" customHeight="1">
      <c r="B33" s="2" t="s">
        <v>2</v>
      </c>
    </row>
    <row r="34" spans="2:21" ht="14.25" customHeight="1">
      <c r="B34" s="2" t="s">
        <v>110</v>
      </c>
    </row>
    <row r="35" spans="2:21" ht="14.25" customHeight="1">
      <c r="B35" s="2" t="s">
        <v>111</v>
      </c>
    </row>
    <row r="36" spans="2:21" ht="14.25" customHeight="1">
      <c r="B36" s="2" t="s">
        <v>3</v>
      </c>
    </row>
    <row r="40" spans="2:21" s="4" customFormat="1" ht="14.25" customHeight="1">
      <c r="B40" s="3" t="s">
        <v>4</v>
      </c>
      <c r="K40" s="5"/>
    </row>
    <row r="41" spans="2:21" s="4" customFormat="1" ht="7.5" customHeight="1"/>
    <row r="42" spans="2:21" ht="14.25" customHeight="1">
      <c r="B42" s="4" t="s">
        <v>71</v>
      </c>
    </row>
    <row r="43" spans="2:21" ht="14.25" customHeight="1">
      <c r="B43" s="2" t="s">
        <v>13</v>
      </c>
    </row>
    <row r="45" spans="2:21" ht="14.25" customHeight="1">
      <c r="U45"/>
    </row>
    <row r="50" spans="7:20" ht="14.25" customHeight="1">
      <c r="N50"/>
    </row>
    <row r="51" spans="7:20" ht="14.25" customHeight="1">
      <c r="N51" s="2" t="s">
        <v>14</v>
      </c>
    </row>
    <row r="52" spans="7:20" ht="14.25" customHeight="1">
      <c r="K52"/>
    </row>
    <row r="54" spans="7:20" ht="14.25" customHeight="1">
      <c r="L54"/>
      <c r="T54"/>
    </row>
    <row r="56" spans="7:20" ht="14.25" customHeight="1">
      <c r="G56"/>
      <c r="L56"/>
    </row>
    <row r="57" spans="7:20" ht="14.25" customHeight="1">
      <c r="K57"/>
    </row>
    <row r="67" spans="14:14" ht="14.25" customHeight="1">
      <c r="N67"/>
    </row>
    <row r="99" spans="2:11" s="4" customFormat="1" ht="14.25" customHeight="1">
      <c r="B99" s="3" t="s">
        <v>19</v>
      </c>
      <c r="K99" s="5"/>
    </row>
    <row r="100" spans="2:11" s="4" customFormat="1" ht="7.5" customHeight="1"/>
    <row r="101" spans="2:11" ht="14.25" customHeight="1">
      <c r="B101" s="14" t="s">
        <v>18</v>
      </c>
    </row>
    <row r="102" spans="2:11" ht="14.25" customHeight="1">
      <c r="B102" s="14" t="s">
        <v>15</v>
      </c>
    </row>
    <row r="103" spans="2:11" ht="14.25" customHeight="1">
      <c r="B103" s="14" t="s">
        <v>16</v>
      </c>
    </row>
    <row r="104" spans="2:11" ht="14.25" customHeight="1">
      <c r="B104" s="14" t="s">
        <v>17</v>
      </c>
    </row>
    <row r="105" spans="2:11" ht="14.25" customHeight="1">
      <c r="B105" s="17" t="s">
        <v>87</v>
      </c>
      <c r="C105" s="2" t="s">
        <v>88</v>
      </c>
    </row>
    <row r="106" spans="2:11" ht="14.25" customHeight="1">
      <c r="B106" s="15" t="s">
        <v>85</v>
      </c>
      <c r="C106" s="10" t="s">
        <v>86</v>
      </c>
    </row>
    <row r="107" spans="2:11" ht="14.25" customHeight="1">
      <c r="B107" s="15" t="s">
        <v>84</v>
      </c>
      <c r="C107" s="16" t="s">
        <v>152</v>
      </c>
    </row>
  </sheetData>
  <mergeCells count="3">
    <mergeCell ref="B13:J13"/>
    <mergeCell ref="B15:J15"/>
    <mergeCell ref="B26:B27"/>
  </mergeCells>
  <phoneticPr fontId="2"/>
  <hyperlinks>
    <hyperlink ref="B8" r:id="rId1"/>
    <hyperlink ref="C107" r:id="rId2"/>
    <hyperlink ref="C106" r:id="rId3"/>
  </hyperlinks>
  <pageMargins left="0.75" right="0.75" top="1" bottom="1" header="0.51200000000000001" footer="0.51200000000000001"/>
  <pageSetup paperSize="9" orientation="portrait" verticalDpi="400" r:id="rId4"/>
  <headerFooter alignWithMargins="0"/>
  <drawing r:id="rId5"/>
  <legacyDrawing r:id="rId6"/>
  <controls>
    <mc:AlternateContent xmlns:mc="http://schemas.openxmlformats.org/markup-compatibility/2006">
      <mc:Choice Requires="x14">
        <control shapeId="231583" r:id="rId7" name="TextBox1">
          <controlPr defaultSize="0" autoLine="0" r:id="rId8">
            <anchor moveWithCells="1">
              <from>
                <xdr:col>1</xdr:col>
                <xdr:colOff>866775</xdr:colOff>
                <xdr:row>63</xdr:row>
                <xdr:rowOff>0</xdr:rowOff>
              </from>
              <to>
                <xdr:col>5</xdr:col>
                <xdr:colOff>666750</xdr:colOff>
                <xdr:row>96</xdr:row>
                <xdr:rowOff>0</xdr:rowOff>
              </to>
            </anchor>
          </controlPr>
        </control>
      </mc:Choice>
      <mc:Fallback>
        <control shapeId="231583" r:id="rId7" name="TextBox1"/>
      </mc:Fallback>
    </mc:AlternateContent>
    <mc:AlternateContent xmlns:mc="http://schemas.openxmlformats.org/markup-compatibility/2006">
      <mc:Choice Requires="x14">
        <control shapeId="231584" r:id="rId9" name="TextBox2">
          <controlPr defaultSize="0" autoLine="0" r:id="rId10">
            <anchor moveWithCells="1">
              <from>
                <xdr:col>6</xdr:col>
                <xdr:colOff>742950</xdr:colOff>
                <xdr:row>63</xdr:row>
                <xdr:rowOff>47625</xdr:rowOff>
              </from>
              <to>
                <xdr:col>10</xdr:col>
                <xdr:colOff>533400</xdr:colOff>
                <xdr:row>97</xdr:row>
                <xdr:rowOff>38100</xdr:rowOff>
              </to>
            </anchor>
          </controlPr>
        </control>
      </mc:Choice>
      <mc:Fallback>
        <control shapeId="231584" r:id="rId9" name="TextBox2"/>
      </mc:Fallback>
    </mc:AlternateContent>
    <mc:AlternateContent xmlns:mc="http://schemas.openxmlformats.org/markup-compatibility/2006">
      <mc:Choice Requires="x14">
        <control shapeId="231579" r:id="rId11" name="Option Button 22683">
          <controlPr defaultSize="0" autoFill="0" autoLine="0" autoPict="0">
            <anchor moveWithCells="1" sizeWithCells="1">
              <from>
                <xdr:col>2</xdr:col>
                <xdr:colOff>0</xdr:colOff>
                <xdr:row>25</xdr:row>
                <xdr:rowOff>0</xdr:rowOff>
              </from>
              <to>
                <xdr:col>3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1580" r:id="rId12" name="Option Button 22684">
          <controlPr defaultSize="0" autoFill="0" autoLine="0" autoPict="0">
            <anchor moveWithCells="1" sizeWithCells="1">
              <from>
                <xdr:col>2</xdr:col>
                <xdr:colOff>0</xdr:colOff>
                <xdr:row>26</xdr:row>
                <xdr:rowOff>0</xdr:rowOff>
              </from>
              <to>
                <xdr:col>3</xdr:col>
                <xdr:colOff>0</xdr:colOff>
                <xdr:row>27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格点Sheet"/>
  <dimension ref="A1:D85"/>
  <sheetViews>
    <sheetView topLeftCell="A11" zoomScaleNormal="100" workbookViewId="0">
      <selection activeCell="B53" sqref="B53"/>
    </sheetView>
  </sheetViews>
  <sheetFormatPr defaultRowHeight="13.5" customHeight="1"/>
  <cols>
    <col min="1" max="1" width="9" style="22" customWidth="1"/>
    <col min="2" max="3" width="9" style="24" customWidth="1"/>
    <col min="4" max="4" width="9" style="24" hidden="1" customWidth="1"/>
    <col min="5" max="255" width="9" style="19" customWidth="1"/>
    <col min="256" max="16384" width="9" style="19"/>
  </cols>
  <sheetData>
    <row r="1" spans="1:4" ht="13.5" customHeight="1">
      <c r="A1" s="28"/>
      <c r="B1" s="18"/>
      <c r="C1" s="18"/>
      <c r="D1" s="18"/>
    </row>
    <row r="2" spans="1:4" ht="13.5" customHeight="1">
      <c r="A2" s="30" t="s">
        <v>122</v>
      </c>
      <c r="B2" s="19"/>
      <c r="C2" s="18"/>
      <c r="D2" s="18"/>
    </row>
    <row r="3" spans="1:4" ht="13.5" customHeight="1">
      <c r="A3" s="28"/>
      <c r="B3" s="18"/>
      <c r="C3" s="18"/>
      <c r="D3" s="18"/>
    </row>
    <row r="4" spans="1:4" ht="13.5" customHeight="1">
      <c r="A4" s="43"/>
      <c r="B4" s="21"/>
      <c r="C4" s="21"/>
      <c r="D4" s="21"/>
    </row>
    <row r="5" spans="1:4" ht="13.5" customHeight="1">
      <c r="A5" s="22" t="s">
        <v>123</v>
      </c>
      <c r="B5" s="22" t="s">
        <v>124</v>
      </c>
      <c r="C5" s="22" t="s">
        <v>126</v>
      </c>
      <c r="D5" s="23" t="s">
        <v>128</v>
      </c>
    </row>
    <row r="6" spans="1:4" ht="13.5" customHeight="1">
      <c r="A6" s="168">
        <v>1</v>
      </c>
      <c r="B6" s="147">
        <v>-21.249999999999996</v>
      </c>
      <c r="C6" s="147">
        <v>-7.35</v>
      </c>
      <c r="D6" s="40">
        <v>0</v>
      </c>
    </row>
    <row r="7" spans="1:4" ht="13.5" customHeight="1">
      <c r="A7" s="168">
        <v>2</v>
      </c>
      <c r="B7" s="147">
        <v>-19.684999999999999</v>
      </c>
      <c r="C7" s="147">
        <v>-7.35</v>
      </c>
      <c r="D7" s="40">
        <v>0</v>
      </c>
    </row>
    <row r="8" spans="1:4" ht="13.5" customHeight="1">
      <c r="A8" s="168">
        <v>3</v>
      </c>
      <c r="B8" s="147">
        <v>-19.41</v>
      </c>
      <c r="C8" s="147">
        <v>-7.35</v>
      </c>
      <c r="D8" s="40">
        <v>0</v>
      </c>
    </row>
    <row r="9" spans="1:4" ht="13.5" customHeight="1">
      <c r="A9" s="168">
        <v>4</v>
      </c>
      <c r="B9" s="147">
        <v>-19.135000000000002</v>
      </c>
      <c r="C9" s="147">
        <v>-7.35</v>
      </c>
      <c r="D9" s="40">
        <v>0</v>
      </c>
    </row>
    <row r="10" spans="1:4" ht="13.5" customHeight="1">
      <c r="A10" s="168">
        <v>5</v>
      </c>
      <c r="B10" s="147">
        <v>-13.215</v>
      </c>
      <c r="C10" s="147">
        <v>-7.35</v>
      </c>
      <c r="D10" s="40">
        <v>0</v>
      </c>
    </row>
    <row r="11" spans="1:4" ht="13.5" customHeight="1">
      <c r="A11" s="168">
        <v>6</v>
      </c>
      <c r="B11" s="147">
        <v>-12.94</v>
      </c>
      <c r="C11" s="147">
        <v>-7.35</v>
      </c>
      <c r="D11" s="40">
        <v>0</v>
      </c>
    </row>
    <row r="12" spans="1:4" ht="13.5" customHeight="1">
      <c r="A12" s="168">
        <v>7</v>
      </c>
      <c r="B12" s="147">
        <v>-12.664999999999999</v>
      </c>
      <c r="C12" s="147">
        <v>-7.35</v>
      </c>
      <c r="D12" s="40">
        <v>0</v>
      </c>
    </row>
    <row r="13" spans="1:4" ht="13.5" customHeight="1">
      <c r="A13" s="168">
        <v>8</v>
      </c>
      <c r="B13" s="147">
        <v>-6.7449999999999992</v>
      </c>
      <c r="C13" s="147">
        <v>-7.35</v>
      </c>
      <c r="D13" s="40"/>
    </row>
    <row r="14" spans="1:4" ht="13.5" customHeight="1">
      <c r="A14" s="168">
        <v>9</v>
      </c>
      <c r="B14" s="147">
        <v>-6.47</v>
      </c>
      <c r="C14" s="147">
        <v>-7.35</v>
      </c>
      <c r="D14" s="40"/>
    </row>
    <row r="15" spans="1:4" ht="13.5" customHeight="1">
      <c r="A15" s="168">
        <v>10</v>
      </c>
      <c r="B15" s="147">
        <v>-6.1950000000000003</v>
      </c>
      <c r="C15" s="147">
        <v>-7.35</v>
      </c>
      <c r="D15" s="40"/>
    </row>
    <row r="16" spans="1:4" ht="13.5" customHeight="1">
      <c r="A16" s="168">
        <v>11</v>
      </c>
      <c r="B16" s="147">
        <v>-0.27499999999999991</v>
      </c>
      <c r="C16" s="147">
        <v>-7.35</v>
      </c>
      <c r="D16" s="40"/>
    </row>
    <row r="17" spans="1:4" ht="13.5" customHeight="1">
      <c r="A17" s="168">
        <v>12</v>
      </c>
      <c r="B17" s="147">
        <v>0</v>
      </c>
      <c r="C17" s="147">
        <v>-7.35</v>
      </c>
      <c r="D17" s="40"/>
    </row>
    <row r="18" spans="1:4" ht="13.5" customHeight="1">
      <c r="A18" s="168">
        <v>13</v>
      </c>
      <c r="B18" s="147">
        <v>0.27499999999999991</v>
      </c>
      <c r="C18" s="147">
        <v>-7.35</v>
      </c>
      <c r="D18" s="40"/>
    </row>
    <row r="19" spans="1:4" ht="13.5" customHeight="1">
      <c r="A19" s="168">
        <v>14</v>
      </c>
      <c r="B19" s="147">
        <v>6.1950000000000003</v>
      </c>
      <c r="C19" s="147">
        <v>-7.35</v>
      </c>
    </row>
    <row r="20" spans="1:4" ht="13.5" customHeight="1">
      <c r="A20" s="168">
        <v>15</v>
      </c>
      <c r="B20" s="147">
        <v>6.47</v>
      </c>
      <c r="C20" s="147">
        <v>-7.35</v>
      </c>
    </row>
    <row r="21" spans="1:4" ht="13.5" customHeight="1">
      <c r="A21" s="168">
        <v>16</v>
      </c>
      <c r="B21" s="147">
        <v>6.7449999999999992</v>
      </c>
      <c r="C21" s="147">
        <v>-7.35</v>
      </c>
    </row>
    <row r="22" spans="1:4" ht="13.5" customHeight="1">
      <c r="A22" s="168">
        <v>17</v>
      </c>
      <c r="B22" s="147">
        <v>12.664999999999999</v>
      </c>
      <c r="C22" s="147">
        <v>-7.35</v>
      </c>
    </row>
    <row r="23" spans="1:4" ht="13.5" customHeight="1">
      <c r="A23" s="168">
        <v>18</v>
      </c>
      <c r="B23" s="147">
        <v>12.94</v>
      </c>
      <c r="C23" s="147">
        <v>-7.35</v>
      </c>
    </row>
    <row r="24" spans="1:4" ht="13.5" customHeight="1">
      <c r="A24" s="168">
        <v>19</v>
      </c>
      <c r="B24" s="147">
        <v>13.215</v>
      </c>
      <c r="C24" s="147">
        <v>-7.35</v>
      </c>
    </row>
    <row r="25" spans="1:4" ht="13.5" customHeight="1">
      <c r="A25" s="168">
        <v>20</v>
      </c>
      <c r="B25" s="147">
        <v>19.135000000000002</v>
      </c>
      <c r="C25" s="147">
        <v>-7.35</v>
      </c>
    </row>
    <row r="26" spans="1:4" ht="13.5" customHeight="1">
      <c r="A26" s="168">
        <v>21</v>
      </c>
      <c r="B26" s="147">
        <v>19.41</v>
      </c>
      <c r="C26" s="147">
        <v>-7.35</v>
      </c>
    </row>
    <row r="27" spans="1:4" ht="13.5" customHeight="1">
      <c r="A27" s="168">
        <v>22</v>
      </c>
      <c r="B27" s="147">
        <v>19.684999999999999</v>
      </c>
      <c r="C27" s="147">
        <v>-7.35</v>
      </c>
    </row>
    <row r="28" spans="1:4" ht="13.5" customHeight="1">
      <c r="A28" s="168">
        <v>23</v>
      </c>
      <c r="B28" s="147">
        <v>21.25</v>
      </c>
      <c r="C28" s="147">
        <v>-7.35</v>
      </c>
    </row>
    <row r="29" spans="1:4" ht="13.5" customHeight="1">
      <c r="A29" s="168">
        <v>24</v>
      </c>
      <c r="B29" s="147">
        <v>-19.41</v>
      </c>
      <c r="C29" s="147">
        <v>-6.1749999999999998</v>
      </c>
    </row>
    <row r="30" spans="1:4" ht="13.5" customHeight="1">
      <c r="A30" s="168">
        <v>25</v>
      </c>
      <c r="B30" s="147">
        <v>-12.94</v>
      </c>
      <c r="C30" s="147">
        <v>-6.1749999999999998</v>
      </c>
    </row>
    <row r="31" spans="1:4" ht="13.5" customHeight="1">
      <c r="A31" s="168">
        <v>26</v>
      </c>
      <c r="B31" s="147">
        <v>-6.47</v>
      </c>
      <c r="C31" s="147">
        <v>-6.1749999999999998</v>
      </c>
    </row>
    <row r="32" spans="1:4" ht="13.5" customHeight="1">
      <c r="A32" s="168">
        <v>27</v>
      </c>
      <c r="B32" s="147">
        <v>0</v>
      </c>
      <c r="C32" s="147">
        <v>-6.1749999999999998</v>
      </c>
    </row>
    <row r="33" spans="1:3" ht="13.5" customHeight="1">
      <c r="A33" s="168">
        <v>28</v>
      </c>
      <c r="B33" s="147">
        <v>6.47</v>
      </c>
      <c r="C33" s="147">
        <v>-6.1749999999999998</v>
      </c>
    </row>
    <row r="34" spans="1:3" ht="13.5" customHeight="1">
      <c r="A34" s="168">
        <v>29</v>
      </c>
      <c r="B34" s="147">
        <v>12.94</v>
      </c>
      <c r="C34" s="147">
        <v>-6.1749999999999998</v>
      </c>
    </row>
    <row r="35" spans="1:3" ht="13.5" customHeight="1">
      <c r="A35" s="168">
        <v>30</v>
      </c>
      <c r="B35" s="147">
        <v>19.41</v>
      </c>
      <c r="C35" s="147">
        <v>-6.1749999999999998</v>
      </c>
    </row>
    <row r="36" spans="1:3" ht="13.5" customHeight="1">
      <c r="A36" s="168">
        <v>31</v>
      </c>
      <c r="B36" s="147">
        <v>-19.41</v>
      </c>
      <c r="C36" s="147">
        <v>0</v>
      </c>
    </row>
    <row r="37" spans="1:3" ht="13.5" customHeight="1">
      <c r="A37" s="168">
        <v>32</v>
      </c>
      <c r="B37" s="147">
        <v>-12.94</v>
      </c>
      <c r="C37" s="147">
        <v>0</v>
      </c>
    </row>
    <row r="38" spans="1:3" ht="13.5" customHeight="1">
      <c r="A38" s="168">
        <v>33</v>
      </c>
      <c r="B38" s="147">
        <v>-6.47</v>
      </c>
      <c r="C38" s="147">
        <v>0</v>
      </c>
    </row>
    <row r="39" spans="1:3" ht="13.5" customHeight="1">
      <c r="A39" s="168">
        <v>34</v>
      </c>
      <c r="B39" s="147">
        <v>0</v>
      </c>
      <c r="C39" s="147">
        <v>0</v>
      </c>
    </row>
    <row r="40" spans="1:3" ht="13.5" customHeight="1">
      <c r="A40" s="168">
        <v>35</v>
      </c>
      <c r="B40" s="147">
        <v>6.47</v>
      </c>
      <c r="C40" s="147">
        <v>0</v>
      </c>
    </row>
    <row r="41" spans="1:3" ht="13.5" customHeight="1">
      <c r="A41" s="168">
        <v>36</v>
      </c>
      <c r="B41" s="147">
        <v>12.94</v>
      </c>
      <c r="C41" s="147">
        <v>0</v>
      </c>
    </row>
    <row r="42" spans="1:3" ht="13.5" customHeight="1">
      <c r="A42" s="168">
        <v>37</v>
      </c>
      <c r="B42" s="147">
        <v>19.41</v>
      </c>
      <c r="C42" s="147">
        <v>0</v>
      </c>
    </row>
    <row r="43" spans="1:3" ht="13.5" customHeight="1">
      <c r="B43" s="40"/>
      <c r="C43" s="40"/>
    </row>
    <row r="44" spans="1:3" ht="13.5" customHeight="1">
      <c r="B44" s="40"/>
      <c r="C44" s="40"/>
    </row>
    <row r="45" spans="1:3" ht="13.5" customHeight="1">
      <c r="B45" s="40"/>
      <c r="C45" s="40"/>
    </row>
    <row r="46" spans="1:3" ht="13.5" customHeight="1">
      <c r="B46" s="40"/>
      <c r="C46" s="40"/>
    </row>
    <row r="47" spans="1:3" ht="13.5" customHeight="1">
      <c r="B47" s="40"/>
      <c r="C47" s="40"/>
    </row>
    <row r="48" spans="1:3" ht="13.5" customHeight="1">
      <c r="B48" s="40"/>
      <c r="C48" s="40"/>
    </row>
    <row r="49" spans="2:3" ht="13.5" customHeight="1">
      <c r="B49" s="40"/>
      <c r="C49" s="40"/>
    </row>
    <row r="50" spans="2:3" ht="13.5" customHeight="1">
      <c r="B50" s="40"/>
      <c r="C50" s="40"/>
    </row>
    <row r="51" spans="2:3" ht="13.5" customHeight="1">
      <c r="B51" s="122"/>
      <c r="C51" s="40"/>
    </row>
    <row r="52" spans="2:3" ht="13.5" customHeight="1">
      <c r="B52" s="122"/>
      <c r="C52" s="40"/>
    </row>
    <row r="53" spans="2:3" ht="13.5" customHeight="1">
      <c r="B53" s="122"/>
      <c r="C53" s="40"/>
    </row>
    <row r="54" spans="2:3" ht="13.5" customHeight="1">
      <c r="B54" s="122"/>
      <c r="C54" s="40"/>
    </row>
    <row r="55" spans="2:3" ht="13.5" customHeight="1">
      <c r="B55" s="122"/>
      <c r="C55" s="40"/>
    </row>
    <row r="56" spans="2:3" ht="13.5" customHeight="1">
      <c r="B56" s="40"/>
      <c r="C56" s="40"/>
    </row>
    <row r="57" spans="2:3" ht="13.5" customHeight="1">
      <c r="B57" s="122"/>
      <c r="C57" s="40"/>
    </row>
    <row r="58" spans="2:3" ht="13.5" customHeight="1">
      <c r="B58" s="122"/>
      <c r="C58" s="40"/>
    </row>
    <row r="59" spans="2:3" ht="13.5" customHeight="1">
      <c r="B59" s="122"/>
      <c r="C59" s="40"/>
    </row>
    <row r="60" spans="2:3" ht="13.5" customHeight="1">
      <c r="B60" s="122"/>
      <c r="C60" s="40"/>
    </row>
    <row r="61" spans="2:3" ht="13.5" customHeight="1">
      <c r="B61" s="122"/>
      <c r="C61" s="40"/>
    </row>
    <row r="62" spans="2:3" ht="13.5" customHeight="1">
      <c r="B62" s="122"/>
      <c r="C62" s="40"/>
    </row>
    <row r="63" spans="2:3" ht="13.5" customHeight="1">
      <c r="B63" s="122"/>
      <c r="C63" s="40"/>
    </row>
    <row r="64" spans="2:3" ht="13.5" customHeight="1">
      <c r="B64" s="122"/>
      <c r="C64" s="40"/>
    </row>
    <row r="65" spans="2:3" ht="13.5" customHeight="1">
      <c r="B65" s="122"/>
      <c r="C65" s="40"/>
    </row>
    <row r="66" spans="2:3" ht="13.5" customHeight="1">
      <c r="B66" s="122"/>
      <c r="C66" s="40"/>
    </row>
    <row r="67" spans="2:3" ht="13.5" customHeight="1">
      <c r="B67" s="122"/>
      <c r="C67" s="40"/>
    </row>
    <row r="68" spans="2:3" ht="13.5" customHeight="1">
      <c r="B68" s="122"/>
      <c r="C68" s="40"/>
    </row>
    <row r="69" spans="2:3" ht="13.5" customHeight="1">
      <c r="B69" s="122"/>
      <c r="C69" s="40"/>
    </row>
    <row r="70" spans="2:3" ht="13.5" customHeight="1">
      <c r="B70" s="122"/>
      <c r="C70" s="40"/>
    </row>
    <row r="71" spans="2:3" ht="13.5" customHeight="1">
      <c r="B71" s="122"/>
      <c r="C71" s="40"/>
    </row>
    <row r="72" spans="2:3" ht="13.5" customHeight="1">
      <c r="B72" s="122"/>
      <c r="C72" s="40"/>
    </row>
    <row r="73" spans="2:3" ht="13.5" customHeight="1">
      <c r="B73" s="122"/>
      <c r="C73" s="40"/>
    </row>
    <row r="74" spans="2:3" ht="13.5" customHeight="1">
      <c r="B74" s="122"/>
      <c r="C74" s="40"/>
    </row>
    <row r="75" spans="2:3" ht="13.5" customHeight="1">
      <c r="B75" s="122"/>
      <c r="C75" s="40"/>
    </row>
    <row r="76" spans="2:3" ht="13.5" customHeight="1">
      <c r="B76" s="122"/>
      <c r="C76" s="40"/>
    </row>
    <row r="77" spans="2:3" ht="13.5" customHeight="1">
      <c r="B77" s="122"/>
      <c r="C77" s="40"/>
    </row>
    <row r="78" spans="2:3" ht="13.5" customHeight="1">
      <c r="B78" s="122"/>
      <c r="C78" s="40"/>
    </row>
    <row r="79" spans="2:3" ht="13.5" customHeight="1">
      <c r="B79" s="122"/>
      <c r="C79" s="40"/>
    </row>
    <row r="80" spans="2:3" ht="13.5" customHeight="1">
      <c r="B80" s="122"/>
      <c r="C80" s="40"/>
    </row>
    <row r="81" spans="2:3" ht="13.5" customHeight="1">
      <c r="B81" s="122"/>
      <c r="C81" s="40"/>
    </row>
    <row r="82" spans="2:3" ht="13.5" customHeight="1">
      <c r="B82" s="122"/>
      <c r="C82" s="40"/>
    </row>
    <row r="83" spans="2:3" ht="13.5" customHeight="1">
      <c r="B83" s="122"/>
      <c r="C83" s="40"/>
    </row>
    <row r="84" spans="2:3" ht="13.5" customHeight="1">
      <c r="B84" s="122"/>
      <c r="C84" s="40"/>
    </row>
    <row r="85" spans="2:3" ht="13.5" customHeight="1">
      <c r="B85" s="122"/>
      <c r="C85" s="40"/>
    </row>
  </sheetData>
  <sheetProtection insertRows="0" deleteColumns="0" deleteRows="0" sort="0" autoFilter="0"/>
  <phoneticPr fontId="2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支点Sheet"/>
  <dimension ref="A1:S16"/>
  <sheetViews>
    <sheetView zoomScale="115" zoomScaleNormal="115" workbookViewId="0">
      <selection activeCell="A14" sqref="A14"/>
    </sheetView>
  </sheetViews>
  <sheetFormatPr defaultColWidth="13.625" defaultRowHeight="13.5" customHeight="1"/>
  <cols>
    <col min="1" max="1" width="8.875" style="42" customWidth="1"/>
    <col min="2" max="3" width="13.625" style="39" customWidth="1"/>
    <col min="4" max="4" width="13.625" style="39" hidden="1" customWidth="1"/>
    <col min="5" max="5" width="13.625" style="39" hidden="1" customWidth="1" collapsed="1"/>
    <col min="6" max="6" width="13.625" style="39" hidden="1" customWidth="1"/>
    <col min="7" max="9" width="13.625" style="39" customWidth="1"/>
    <col min="10" max="12" width="13.625" style="39" hidden="1" customWidth="1"/>
    <col min="13" max="15" width="13.625" style="39" customWidth="1"/>
    <col min="16" max="18" width="13.625" style="39" hidden="1" customWidth="1"/>
    <col min="19" max="19" width="13.625" style="39" customWidth="1"/>
    <col min="20" max="16384" width="13.625" style="19"/>
  </cols>
  <sheetData>
    <row r="1" spans="1:19" ht="13.5" customHeight="1">
      <c r="A1" s="28"/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</row>
    <row r="2" spans="1:19" ht="13.5" customHeight="1">
      <c r="A2" s="30" t="s">
        <v>48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</row>
    <row r="3" spans="1:19" ht="13.5" customHeight="1">
      <c r="A3" s="28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</row>
    <row r="4" spans="1:19" ht="13.5" customHeight="1">
      <c r="A4" s="28"/>
      <c r="B4" s="37" t="s">
        <v>109</v>
      </c>
      <c r="C4" s="38"/>
      <c r="D4" s="38"/>
      <c r="E4" s="38"/>
      <c r="F4" s="38"/>
      <c r="G4" s="38"/>
      <c r="H4" s="38"/>
      <c r="I4" s="38"/>
      <c r="J4" s="38"/>
      <c r="K4" s="37"/>
      <c r="L4" s="38"/>
      <c r="M4" s="38"/>
      <c r="N4" s="38"/>
      <c r="O4" s="38"/>
      <c r="P4" s="38"/>
      <c r="Q4" s="37"/>
      <c r="R4" s="38"/>
      <c r="S4" s="38"/>
    </row>
    <row r="5" spans="1:19" ht="13.5" customHeight="1">
      <c r="A5" s="178" t="s">
        <v>37</v>
      </c>
      <c r="B5" s="180" t="s">
        <v>129</v>
      </c>
      <c r="C5" s="180"/>
      <c r="D5" s="180"/>
      <c r="E5" s="180"/>
      <c r="F5" s="180"/>
      <c r="G5" s="180"/>
      <c r="H5" s="181" t="s">
        <v>50</v>
      </c>
      <c r="I5" s="181"/>
      <c r="J5" s="181"/>
      <c r="K5" s="181"/>
      <c r="L5" s="181"/>
      <c r="M5" s="181"/>
      <c r="N5" s="176" t="s">
        <v>130</v>
      </c>
      <c r="O5" s="176"/>
      <c r="P5" s="176"/>
      <c r="Q5" s="176"/>
      <c r="R5" s="176"/>
      <c r="S5" s="176"/>
    </row>
    <row r="6" spans="1:19" ht="13.5" customHeight="1">
      <c r="A6" s="178"/>
      <c r="B6" s="179" t="s">
        <v>33</v>
      </c>
      <c r="C6" s="179"/>
      <c r="D6" s="179"/>
      <c r="E6" s="179" t="s">
        <v>34</v>
      </c>
      <c r="F6" s="179"/>
      <c r="G6" s="179"/>
      <c r="H6" s="182" t="s">
        <v>33</v>
      </c>
      <c r="I6" s="182"/>
      <c r="J6" s="182"/>
      <c r="K6" s="182" t="s">
        <v>34</v>
      </c>
      <c r="L6" s="182"/>
      <c r="M6" s="182"/>
      <c r="N6" s="177" t="s">
        <v>33</v>
      </c>
      <c r="O6" s="177"/>
      <c r="P6" s="177"/>
      <c r="Q6" s="177" t="s">
        <v>34</v>
      </c>
      <c r="R6" s="177"/>
      <c r="S6" s="177"/>
    </row>
    <row r="7" spans="1:19" ht="13.5" customHeight="1">
      <c r="A7" s="178"/>
      <c r="B7" s="114" t="s">
        <v>124</v>
      </c>
      <c r="C7" s="114" t="s">
        <v>125</v>
      </c>
      <c r="D7" s="114" t="s">
        <v>127</v>
      </c>
      <c r="E7" s="114" t="s">
        <v>124</v>
      </c>
      <c r="F7" s="114" t="s">
        <v>125</v>
      </c>
      <c r="G7" s="114" t="s">
        <v>127</v>
      </c>
      <c r="H7" s="115" t="s">
        <v>124</v>
      </c>
      <c r="I7" s="115" t="s">
        <v>125</v>
      </c>
      <c r="J7" s="115" t="s">
        <v>127</v>
      </c>
      <c r="K7" s="115" t="s">
        <v>124</v>
      </c>
      <c r="L7" s="115" t="s">
        <v>125</v>
      </c>
      <c r="M7" s="115" t="s">
        <v>127</v>
      </c>
      <c r="N7" s="113" t="s">
        <v>124</v>
      </c>
      <c r="O7" s="113" t="s">
        <v>125</v>
      </c>
      <c r="P7" s="113" t="s">
        <v>127</v>
      </c>
      <c r="Q7" s="113" t="s">
        <v>124</v>
      </c>
      <c r="R7" s="113" t="s">
        <v>125</v>
      </c>
      <c r="S7" s="113" t="s">
        <v>127</v>
      </c>
    </row>
    <row r="8" spans="1:19" ht="13.5" customHeight="1">
      <c r="A8" s="148">
        <v>31</v>
      </c>
      <c r="B8" s="149">
        <v>1</v>
      </c>
      <c r="C8" s="149">
        <v>1</v>
      </c>
      <c r="D8" s="149">
        <v>0</v>
      </c>
      <c r="E8" s="149"/>
      <c r="F8" s="149"/>
      <c r="G8" s="149">
        <v>1</v>
      </c>
    </row>
    <row r="9" spans="1:19" ht="13.5" customHeight="1">
      <c r="A9" s="148">
        <v>32</v>
      </c>
      <c r="B9" s="149">
        <f t="shared" ref="B9:G14" si="0">B8</f>
        <v>1</v>
      </c>
      <c r="C9" s="149">
        <f t="shared" si="0"/>
        <v>1</v>
      </c>
      <c r="D9" s="149">
        <f t="shared" si="0"/>
        <v>0</v>
      </c>
      <c r="E9" s="149">
        <f t="shared" si="0"/>
        <v>0</v>
      </c>
      <c r="F9" s="149">
        <f t="shared" si="0"/>
        <v>0</v>
      </c>
      <c r="G9" s="149">
        <f t="shared" si="0"/>
        <v>1</v>
      </c>
    </row>
    <row r="10" spans="1:19" ht="13.5" customHeight="1">
      <c r="A10" s="148">
        <v>33</v>
      </c>
      <c r="B10" s="149">
        <f t="shared" si="0"/>
        <v>1</v>
      </c>
      <c r="C10" s="149">
        <f t="shared" si="0"/>
        <v>1</v>
      </c>
      <c r="D10" s="149">
        <f t="shared" si="0"/>
        <v>0</v>
      </c>
      <c r="E10" s="149">
        <f t="shared" si="0"/>
        <v>0</v>
      </c>
      <c r="F10" s="149">
        <f t="shared" si="0"/>
        <v>0</v>
      </c>
      <c r="G10" s="149">
        <f t="shared" si="0"/>
        <v>1</v>
      </c>
    </row>
    <row r="11" spans="1:19" ht="13.5" customHeight="1">
      <c r="A11" s="148">
        <v>34</v>
      </c>
      <c r="B11" s="149">
        <f t="shared" si="0"/>
        <v>1</v>
      </c>
      <c r="C11" s="149">
        <f t="shared" si="0"/>
        <v>1</v>
      </c>
      <c r="D11" s="149">
        <f t="shared" si="0"/>
        <v>0</v>
      </c>
      <c r="E11" s="149">
        <f t="shared" si="0"/>
        <v>0</v>
      </c>
      <c r="F11" s="149">
        <f t="shared" si="0"/>
        <v>0</v>
      </c>
      <c r="G11" s="149">
        <f t="shared" si="0"/>
        <v>1</v>
      </c>
    </row>
    <row r="12" spans="1:19" ht="13.5" customHeight="1">
      <c r="A12" s="148">
        <v>35</v>
      </c>
      <c r="B12" s="149">
        <f t="shared" si="0"/>
        <v>1</v>
      </c>
      <c r="C12" s="149">
        <f t="shared" si="0"/>
        <v>1</v>
      </c>
      <c r="D12" s="149">
        <f t="shared" si="0"/>
        <v>0</v>
      </c>
      <c r="E12" s="149">
        <f t="shared" si="0"/>
        <v>0</v>
      </c>
      <c r="F12" s="149">
        <f t="shared" si="0"/>
        <v>0</v>
      </c>
      <c r="G12" s="149">
        <f t="shared" si="0"/>
        <v>1</v>
      </c>
    </row>
    <row r="13" spans="1:19" ht="13.5" customHeight="1">
      <c r="A13" s="148">
        <v>36</v>
      </c>
      <c r="B13" s="149">
        <f t="shared" si="0"/>
        <v>1</v>
      </c>
      <c r="C13" s="149">
        <f t="shared" si="0"/>
        <v>1</v>
      </c>
      <c r="D13" s="149">
        <f t="shared" si="0"/>
        <v>0</v>
      </c>
      <c r="E13" s="149">
        <f t="shared" si="0"/>
        <v>0</v>
      </c>
      <c r="F13" s="149">
        <f t="shared" si="0"/>
        <v>0</v>
      </c>
      <c r="G13" s="149">
        <f t="shared" si="0"/>
        <v>1</v>
      </c>
    </row>
    <row r="14" spans="1:19" ht="13.5" customHeight="1">
      <c r="A14" s="148">
        <v>37</v>
      </c>
      <c r="B14" s="149">
        <f t="shared" si="0"/>
        <v>1</v>
      </c>
      <c r="C14" s="149">
        <f t="shared" si="0"/>
        <v>1</v>
      </c>
      <c r="D14" s="149">
        <f t="shared" si="0"/>
        <v>0</v>
      </c>
      <c r="E14" s="149">
        <f t="shared" si="0"/>
        <v>0</v>
      </c>
      <c r="F14" s="149">
        <f t="shared" si="0"/>
        <v>0</v>
      </c>
      <c r="G14" s="149">
        <f t="shared" si="0"/>
        <v>1</v>
      </c>
    </row>
    <row r="15" spans="1:19" ht="13.5" customHeight="1">
      <c r="A15" s="41"/>
    </row>
    <row r="16" spans="1:19" ht="13.5" customHeight="1">
      <c r="A16" s="41"/>
    </row>
  </sheetData>
  <mergeCells count="10">
    <mergeCell ref="N5:S5"/>
    <mergeCell ref="N6:P6"/>
    <mergeCell ref="Q6:S6"/>
    <mergeCell ref="A5:A7"/>
    <mergeCell ref="B6:D6"/>
    <mergeCell ref="E6:G6"/>
    <mergeCell ref="B5:G5"/>
    <mergeCell ref="H5:M5"/>
    <mergeCell ref="H6:J6"/>
    <mergeCell ref="K6:M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部材Sheet"/>
  <dimension ref="A1:G41"/>
  <sheetViews>
    <sheetView zoomScale="85" zoomScaleNormal="85" workbookViewId="0">
      <selection activeCell="A16" sqref="A16:A41"/>
    </sheetView>
  </sheetViews>
  <sheetFormatPr defaultColWidth="10.875" defaultRowHeight="13.5" customHeight="1"/>
  <cols>
    <col min="1" max="1" width="10.875" style="22" customWidth="1"/>
    <col min="2" max="3" width="10.875" style="112" customWidth="1"/>
    <col min="4" max="4" width="10.875" style="34" customWidth="1"/>
    <col min="5" max="5" width="10.875" style="44" customWidth="1"/>
    <col min="6" max="6" width="10.875" style="35" hidden="1" customWidth="1"/>
    <col min="7" max="7" width="10.875" style="45" customWidth="1"/>
    <col min="8" max="16384" width="10.875" style="19"/>
  </cols>
  <sheetData>
    <row r="1" spans="1:7" ht="13.5" customHeight="1">
      <c r="A1" s="28"/>
      <c r="B1" s="73"/>
      <c r="C1" s="73"/>
      <c r="D1" s="29"/>
      <c r="E1" s="28"/>
      <c r="F1" s="18"/>
      <c r="G1" s="46"/>
    </row>
    <row r="2" spans="1:7" ht="13.5" customHeight="1">
      <c r="A2" s="30" t="s">
        <v>51</v>
      </c>
      <c r="B2" s="73"/>
      <c r="C2" s="73"/>
      <c r="D2" s="29"/>
      <c r="E2" s="28"/>
      <c r="F2" s="18"/>
      <c r="G2" s="46"/>
    </row>
    <row r="3" spans="1:7" ht="13.5" customHeight="1">
      <c r="A3" s="31"/>
      <c r="B3" s="73"/>
      <c r="C3" s="110"/>
      <c r="D3" s="29"/>
      <c r="E3" s="28"/>
      <c r="F3" s="18"/>
      <c r="G3" s="46"/>
    </row>
    <row r="4" spans="1:7" ht="13.5" customHeight="1">
      <c r="A4" s="32"/>
      <c r="B4" s="111"/>
      <c r="C4" s="111"/>
      <c r="D4" s="29"/>
      <c r="E4" s="43"/>
      <c r="F4" s="21"/>
      <c r="G4" s="46"/>
    </row>
    <row r="5" spans="1:7" ht="13.5" customHeight="1">
      <c r="A5" s="116" t="s">
        <v>131</v>
      </c>
      <c r="B5" s="118" t="s">
        <v>25</v>
      </c>
      <c r="C5" s="118" t="s">
        <v>26</v>
      </c>
      <c r="D5" s="118" t="s">
        <v>94</v>
      </c>
      <c r="E5" s="33" t="s">
        <v>108</v>
      </c>
      <c r="F5" s="33" t="s">
        <v>132</v>
      </c>
    </row>
    <row r="6" spans="1:7" ht="13.5" customHeight="1">
      <c r="A6" s="150">
        <v>1</v>
      </c>
      <c r="B6" s="151">
        <v>1</v>
      </c>
      <c r="C6" s="151">
        <v>2</v>
      </c>
      <c r="D6" s="152">
        <v>1.5649999999999999</v>
      </c>
      <c r="E6" s="153">
        <v>1</v>
      </c>
      <c r="F6" s="35">
        <v>0</v>
      </c>
    </row>
    <row r="7" spans="1:7" ht="13.5" customHeight="1">
      <c r="A7" s="150">
        <v>2</v>
      </c>
      <c r="B7" s="151">
        <v>2</v>
      </c>
      <c r="C7" s="151">
        <v>3</v>
      </c>
      <c r="D7" s="152">
        <v>0.27500000000000002</v>
      </c>
      <c r="E7" s="153">
        <v>2</v>
      </c>
      <c r="F7" s="35">
        <v>0</v>
      </c>
    </row>
    <row r="8" spans="1:7" ht="13.5" customHeight="1">
      <c r="A8" s="150">
        <v>3</v>
      </c>
      <c r="B8" s="151">
        <v>3</v>
      </c>
      <c r="C8" s="151">
        <v>4</v>
      </c>
      <c r="D8" s="152">
        <v>0.27500000000000002</v>
      </c>
      <c r="E8" s="153">
        <v>2</v>
      </c>
      <c r="F8" s="35">
        <v>0</v>
      </c>
    </row>
    <row r="9" spans="1:7" ht="13.5" customHeight="1">
      <c r="A9" s="150">
        <v>4</v>
      </c>
      <c r="B9" s="151">
        <v>4</v>
      </c>
      <c r="C9" s="151">
        <v>5</v>
      </c>
      <c r="D9" s="152">
        <v>5.92</v>
      </c>
      <c r="E9" s="153">
        <v>1</v>
      </c>
      <c r="F9" s="35">
        <v>0</v>
      </c>
    </row>
    <row r="10" spans="1:7" ht="13.5" customHeight="1">
      <c r="A10" s="150">
        <v>5</v>
      </c>
      <c r="B10" s="151">
        <v>5</v>
      </c>
      <c r="C10" s="151">
        <v>6</v>
      </c>
      <c r="D10" s="152">
        <v>0.27500000000000002</v>
      </c>
      <c r="E10" s="153">
        <v>2</v>
      </c>
      <c r="F10" s="35">
        <v>0</v>
      </c>
    </row>
    <row r="11" spans="1:7" ht="13.5" customHeight="1">
      <c r="A11" s="150">
        <v>6</v>
      </c>
      <c r="B11" s="151">
        <v>6</v>
      </c>
      <c r="C11" s="151">
        <v>7</v>
      </c>
      <c r="D11" s="152">
        <v>0.27500000000000002</v>
      </c>
      <c r="E11" s="153">
        <v>2</v>
      </c>
      <c r="F11" s="35">
        <v>0</v>
      </c>
    </row>
    <row r="12" spans="1:7" ht="13.5" customHeight="1">
      <c r="A12" s="150">
        <v>7</v>
      </c>
      <c r="B12" s="151">
        <v>7</v>
      </c>
      <c r="C12" s="151">
        <v>8</v>
      </c>
      <c r="D12" s="152">
        <v>5.92</v>
      </c>
      <c r="E12" s="153">
        <v>1</v>
      </c>
    </row>
    <row r="13" spans="1:7" ht="13.5" customHeight="1">
      <c r="A13" s="150">
        <v>8</v>
      </c>
      <c r="B13" s="151">
        <v>8</v>
      </c>
      <c r="C13" s="151">
        <v>9</v>
      </c>
      <c r="D13" s="152">
        <v>0.27500000000000002</v>
      </c>
      <c r="E13" s="153">
        <v>2</v>
      </c>
    </row>
    <row r="14" spans="1:7" ht="13.5" customHeight="1">
      <c r="A14" s="150">
        <v>9</v>
      </c>
      <c r="B14" s="151">
        <v>9</v>
      </c>
      <c r="C14" s="151">
        <v>10</v>
      </c>
      <c r="D14" s="152">
        <v>0.27500000000000002</v>
      </c>
      <c r="E14" s="153">
        <v>2</v>
      </c>
    </row>
    <row r="15" spans="1:7" ht="13.5" customHeight="1">
      <c r="A15" s="150">
        <v>10</v>
      </c>
      <c r="B15" s="151">
        <v>10</v>
      </c>
      <c r="C15" s="151">
        <v>11</v>
      </c>
      <c r="D15" s="152">
        <v>5.92</v>
      </c>
      <c r="E15" s="153">
        <v>1</v>
      </c>
    </row>
    <row r="16" spans="1:7" ht="13.5" customHeight="1">
      <c r="A16" s="150">
        <v>11</v>
      </c>
      <c r="B16" s="151">
        <v>11</v>
      </c>
      <c r="C16" s="151">
        <v>12</v>
      </c>
      <c r="D16" s="152">
        <v>0.27500000000000002</v>
      </c>
      <c r="E16" s="153">
        <v>2</v>
      </c>
    </row>
    <row r="17" spans="1:5" ht="13.5" customHeight="1">
      <c r="A17" s="150">
        <v>12</v>
      </c>
      <c r="B17" s="151">
        <v>12</v>
      </c>
      <c r="C17" s="151">
        <v>13</v>
      </c>
      <c r="D17" s="152">
        <v>0.27500000000000002</v>
      </c>
      <c r="E17" s="153">
        <v>2</v>
      </c>
    </row>
    <row r="18" spans="1:5" ht="13.5" customHeight="1">
      <c r="A18" s="150">
        <v>13</v>
      </c>
      <c r="B18" s="151">
        <v>13</v>
      </c>
      <c r="C18" s="151">
        <v>14</v>
      </c>
      <c r="D18" s="152">
        <v>5.92</v>
      </c>
      <c r="E18" s="153">
        <v>1</v>
      </c>
    </row>
    <row r="19" spans="1:5" ht="13.5" customHeight="1">
      <c r="A19" s="150">
        <v>14</v>
      </c>
      <c r="B19" s="151">
        <v>14</v>
      </c>
      <c r="C19" s="151">
        <v>15</v>
      </c>
      <c r="D19" s="152">
        <v>0.27500000000000002</v>
      </c>
      <c r="E19" s="153">
        <v>2</v>
      </c>
    </row>
    <row r="20" spans="1:5" ht="13.5" customHeight="1">
      <c r="A20" s="150">
        <v>15</v>
      </c>
      <c r="B20" s="151">
        <v>15</v>
      </c>
      <c r="C20" s="151">
        <v>16</v>
      </c>
      <c r="D20" s="152">
        <v>0.27500000000000002</v>
      </c>
      <c r="E20" s="153">
        <v>2</v>
      </c>
    </row>
    <row r="21" spans="1:5" ht="13.5" customHeight="1">
      <c r="A21" s="150">
        <v>16</v>
      </c>
      <c r="B21" s="151">
        <v>16</v>
      </c>
      <c r="C21" s="151">
        <v>17</v>
      </c>
      <c r="D21" s="152">
        <v>5.92</v>
      </c>
      <c r="E21" s="153">
        <v>1</v>
      </c>
    </row>
    <row r="22" spans="1:5" ht="13.5" customHeight="1">
      <c r="A22" s="150">
        <v>17</v>
      </c>
      <c r="B22" s="151">
        <v>17</v>
      </c>
      <c r="C22" s="151">
        <v>18</v>
      </c>
      <c r="D22" s="152">
        <v>0.27500000000000002</v>
      </c>
      <c r="E22" s="153">
        <v>2</v>
      </c>
    </row>
    <row r="23" spans="1:5" ht="13.5" customHeight="1">
      <c r="A23" s="150">
        <v>18</v>
      </c>
      <c r="B23" s="151">
        <v>18</v>
      </c>
      <c r="C23" s="151">
        <v>19</v>
      </c>
      <c r="D23" s="152">
        <v>0.27500000000000002</v>
      </c>
      <c r="E23" s="153">
        <v>2</v>
      </c>
    </row>
    <row r="24" spans="1:5" ht="13.5" customHeight="1">
      <c r="A24" s="150">
        <v>19</v>
      </c>
      <c r="B24" s="151">
        <v>19</v>
      </c>
      <c r="C24" s="151">
        <v>20</v>
      </c>
      <c r="D24" s="152">
        <v>5.92</v>
      </c>
      <c r="E24" s="153">
        <v>1</v>
      </c>
    </row>
    <row r="25" spans="1:5" ht="13.5" customHeight="1">
      <c r="A25" s="150">
        <v>20</v>
      </c>
      <c r="B25" s="151">
        <v>20</v>
      </c>
      <c r="C25" s="151">
        <v>21</v>
      </c>
      <c r="D25" s="152">
        <v>0.27500000000000002</v>
      </c>
      <c r="E25" s="153">
        <v>2</v>
      </c>
    </row>
    <row r="26" spans="1:5" ht="13.5" customHeight="1">
      <c r="A26" s="150">
        <v>21</v>
      </c>
      <c r="B26" s="151">
        <v>21</v>
      </c>
      <c r="C26" s="151">
        <v>22</v>
      </c>
      <c r="D26" s="152">
        <v>0.27500000000000002</v>
      </c>
      <c r="E26" s="153">
        <v>2</v>
      </c>
    </row>
    <row r="27" spans="1:5" ht="13.5" customHeight="1">
      <c r="A27" s="150">
        <v>22</v>
      </c>
      <c r="B27" s="151">
        <v>22</v>
      </c>
      <c r="C27" s="151">
        <v>23</v>
      </c>
      <c r="D27" s="152">
        <v>1.5649999999999999</v>
      </c>
      <c r="E27" s="153">
        <v>1</v>
      </c>
    </row>
    <row r="28" spans="1:5" ht="13.5" customHeight="1">
      <c r="A28" s="150">
        <v>23</v>
      </c>
      <c r="B28" s="151">
        <v>3</v>
      </c>
      <c r="C28" s="151">
        <v>24</v>
      </c>
      <c r="D28" s="152">
        <v>1.175</v>
      </c>
      <c r="E28" s="153">
        <v>2</v>
      </c>
    </row>
    <row r="29" spans="1:5" ht="13.5" customHeight="1">
      <c r="A29" s="150">
        <v>24</v>
      </c>
      <c r="B29" s="154">
        <v>6</v>
      </c>
      <c r="C29" s="154">
        <v>25</v>
      </c>
      <c r="D29" s="152">
        <v>1.175</v>
      </c>
      <c r="E29" s="153">
        <v>2</v>
      </c>
    </row>
    <row r="30" spans="1:5" ht="13.5" customHeight="1">
      <c r="A30" s="150">
        <v>25</v>
      </c>
      <c r="B30" s="154">
        <v>9</v>
      </c>
      <c r="C30" s="154">
        <v>26</v>
      </c>
      <c r="D30" s="152">
        <v>1.175</v>
      </c>
      <c r="E30" s="153">
        <v>2</v>
      </c>
    </row>
    <row r="31" spans="1:5" ht="13.5" customHeight="1">
      <c r="A31" s="150">
        <v>26</v>
      </c>
      <c r="B31" s="154">
        <v>12</v>
      </c>
      <c r="C31" s="154">
        <v>27</v>
      </c>
      <c r="D31" s="152">
        <v>1.175</v>
      </c>
      <c r="E31" s="153">
        <v>2</v>
      </c>
    </row>
    <row r="32" spans="1:5" ht="13.5" customHeight="1">
      <c r="A32" s="150">
        <v>27</v>
      </c>
      <c r="B32" s="154">
        <v>15</v>
      </c>
      <c r="C32" s="154">
        <v>28</v>
      </c>
      <c r="D32" s="152">
        <v>1.175</v>
      </c>
      <c r="E32" s="153">
        <v>2</v>
      </c>
    </row>
    <row r="33" spans="1:5" ht="13.5" customHeight="1">
      <c r="A33" s="150">
        <v>28</v>
      </c>
      <c r="B33" s="154">
        <v>18</v>
      </c>
      <c r="C33" s="154">
        <v>29</v>
      </c>
      <c r="D33" s="152">
        <v>1.175</v>
      </c>
      <c r="E33" s="153">
        <v>2</v>
      </c>
    </row>
    <row r="34" spans="1:5" ht="13.5" customHeight="1">
      <c r="A34" s="150">
        <v>29</v>
      </c>
      <c r="B34" s="154">
        <v>21</v>
      </c>
      <c r="C34" s="154">
        <v>30</v>
      </c>
      <c r="D34" s="152">
        <v>1.175</v>
      </c>
      <c r="E34" s="153">
        <v>2</v>
      </c>
    </row>
    <row r="35" spans="1:5" ht="13.5" customHeight="1">
      <c r="A35" s="150">
        <v>30</v>
      </c>
      <c r="B35" s="154">
        <v>24</v>
      </c>
      <c r="C35" s="154">
        <v>31</v>
      </c>
      <c r="D35" s="152">
        <v>6.1749999999999998</v>
      </c>
      <c r="E35" s="153">
        <v>3</v>
      </c>
    </row>
    <row r="36" spans="1:5" ht="13.5" customHeight="1">
      <c r="A36" s="150">
        <v>31</v>
      </c>
      <c r="B36" s="154">
        <v>25</v>
      </c>
      <c r="C36" s="154">
        <v>32</v>
      </c>
      <c r="D36" s="152">
        <v>6.1749999999999998</v>
      </c>
      <c r="E36" s="153">
        <v>3</v>
      </c>
    </row>
    <row r="37" spans="1:5" ht="13.5" customHeight="1">
      <c r="A37" s="150">
        <v>32</v>
      </c>
      <c r="B37" s="154">
        <v>26</v>
      </c>
      <c r="C37" s="154">
        <v>33</v>
      </c>
      <c r="D37" s="152">
        <v>6.1749999999999998</v>
      </c>
      <c r="E37" s="153">
        <v>3</v>
      </c>
    </row>
    <row r="38" spans="1:5" ht="13.5" customHeight="1">
      <c r="A38" s="150">
        <v>33</v>
      </c>
      <c r="B38" s="154">
        <v>27</v>
      </c>
      <c r="C38" s="154">
        <v>34</v>
      </c>
      <c r="D38" s="152">
        <v>6.1749999999999998</v>
      </c>
      <c r="E38" s="153">
        <v>3</v>
      </c>
    </row>
    <row r="39" spans="1:5" ht="13.5" customHeight="1">
      <c r="A39" s="150">
        <v>34</v>
      </c>
      <c r="B39" s="154">
        <v>28</v>
      </c>
      <c r="C39" s="154">
        <v>35</v>
      </c>
      <c r="D39" s="152">
        <v>6.1749999999999998</v>
      </c>
      <c r="E39" s="153">
        <v>3</v>
      </c>
    </row>
    <row r="40" spans="1:5" ht="13.5" customHeight="1">
      <c r="A40" s="150">
        <v>35</v>
      </c>
      <c r="B40" s="154">
        <v>29</v>
      </c>
      <c r="C40" s="154">
        <v>36</v>
      </c>
      <c r="D40" s="152">
        <v>6.1749999999999998</v>
      </c>
      <c r="E40" s="153">
        <v>3</v>
      </c>
    </row>
    <row r="41" spans="1:5" ht="13.5" customHeight="1">
      <c r="A41" s="150">
        <v>36</v>
      </c>
      <c r="B41" s="154">
        <v>30</v>
      </c>
      <c r="C41" s="154">
        <v>37</v>
      </c>
      <c r="D41" s="152">
        <v>6.1749999999999998</v>
      </c>
      <c r="E41" s="153">
        <v>3</v>
      </c>
    </row>
  </sheetData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材料Sheet"/>
  <dimension ref="A1:V17"/>
  <sheetViews>
    <sheetView zoomScale="130" zoomScaleNormal="130" workbookViewId="0">
      <selection activeCell="H10" sqref="H10"/>
    </sheetView>
  </sheetViews>
  <sheetFormatPr defaultColWidth="10" defaultRowHeight="13.5" customHeight="1"/>
  <cols>
    <col min="1" max="1" width="7.125" style="24" customWidth="1"/>
    <col min="2" max="2" width="10" style="51" customWidth="1"/>
    <col min="3" max="3" width="10" style="51" hidden="1" customWidth="1"/>
    <col min="4" max="4" width="10" style="51" customWidth="1" collapsed="1"/>
    <col min="5" max="5" width="10" style="51" customWidth="1"/>
    <col min="6" max="7" width="10" style="51" hidden="1" customWidth="1"/>
    <col min="8" max="8" width="15.75" style="51" customWidth="1"/>
    <col min="9" max="9" width="10" style="51" customWidth="1"/>
    <col min="10" max="10" width="10" style="51" hidden="1" customWidth="1"/>
    <col min="11" max="11" width="10" style="51" customWidth="1" collapsed="1"/>
    <col min="12" max="12" width="10" style="51" customWidth="1"/>
    <col min="13" max="14" width="10" style="51" hidden="1" customWidth="1"/>
    <col min="15" max="15" width="15.75" style="51" customWidth="1"/>
    <col min="16" max="16" width="10" style="51" customWidth="1"/>
    <col min="17" max="17" width="10" style="51" hidden="1" customWidth="1"/>
    <col min="18" max="18" width="10" style="51" customWidth="1" collapsed="1"/>
    <col min="19" max="19" width="10" style="51" customWidth="1"/>
    <col min="20" max="21" width="10" style="51" hidden="1" customWidth="1"/>
    <col min="22" max="22" width="15.75" style="51" customWidth="1"/>
    <col min="23" max="16384" width="10" style="48"/>
  </cols>
  <sheetData>
    <row r="1" spans="1:22" ht="13.5" customHeight="1">
      <c r="A1" s="18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</row>
    <row r="2" spans="1:22" s="19" customFormat="1" ht="13.5" customHeight="1">
      <c r="A2" s="20" t="s">
        <v>78</v>
      </c>
      <c r="B2" s="20"/>
      <c r="C2" s="18"/>
      <c r="D2" s="18"/>
      <c r="E2" s="18"/>
      <c r="F2" s="18"/>
      <c r="G2" s="18"/>
      <c r="H2" s="18"/>
      <c r="I2" s="20"/>
      <c r="J2" s="18"/>
      <c r="K2" s="18"/>
      <c r="L2" s="18"/>
      <c r="M2" s="18"/>
      <c r="N2" s="18"/>
      <c r="O2" s="18"/>
      <c r="P2" s="20"/>
      <c r="Q2" s="18"/>
      <c r="R2" s="18"/>
      <c r="S2" s="18"/>
      <c r="T2" s="18"/>
      <c r="U2" s="18"/>
      <c r="V2" s="18"/>
    </row>
    <row r="3" spans="1:22" ht="13.5" customHeight="1">
      <c r="A3" s="18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</row>
    <row r="4" spans="1:22" ht="13.5" customHeight="1">
      <c r="A4" s="21"/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</row>
    <row r="5" spans="1:22" ht="13.5" customHeight="1">
      <c r="A5" s="185" t="s">
        <v>133</v>
      </c>
      <c r="B5" s="187" t="s">
        <v>129</v>
      </c>
      <c r="C5" s="188"/>
      <c r="D5" s="188"/>
      <c r="E5" s="188"/>
      <c r="F5" s="189"/>
      <c r="G5" s="187" t="s">
        <v>91</v>
      </c>
      <c r="H5" s="189"/>
      <c r="I5" s="190" t="s">
        <v>134</v>
      </c>
      <c r="J5" s="191"/>
      <c r="K5" s="191"/>
      <c r="L5" s="191"/>
      <c r="M5" s="192"/>
      <c r="N5" s="190" t="s">
        <v>91</v>
      </c>
      <c r="O5" s="192"/>
      <c r="P5" s="183" t="s">
        <v>130</v>
      </c>
      <c r="Q5" s="193"/>
      <c r="R5" s="193"/>
      <c r="S5" s="193"/>
      <c r="T5" s="184"/>
      <c r="U5" s="183" t="s">
        <v>91</v>
      </c>
      <c r="V5" s="184"/>
    </row>
    <row r="6" spans="1:22" ht="13.5" customHeight="1">
      <c r="A6" s="186"/>
      <c r="B6" s="52" t="s">
        <v>23</v>
      </c>
      <c r="C6" s="52" t="s">
        <v>135</v>
      </c>
      <c r="D6" s="52" t="s">
        <v>73</v>
      </c>
      <c r="E6" s="52" t="s">
        <v>24</v>
      </c>
      <c r="F6" s="52" t="s">
        <v>136</v>
      </c>
      <c r="G6" s="52" t="s">
        <v>137</v>
      </c>
      <c r="H6" s="52" t="s">
        <v>138</v>
      </c>
      <c r="I6" s="53" t="s">
        <v>23</v>
      </c>
      <c r="J6" s="53" t="s">
        <v>135</v>
      </c>
      <c r="K6" s="53" t="s">
        <v>139</v>
      </c>
      <c r="L6" s="53" t="s">
        <v>24</v>
      </c>
      <c r="M6" s="53" t="s">
        <v>136</v>
      </c>
      <c r="N6" s="53" t="s">
        <v>137</v>
      </c>
      <c r="O6" s="53" t="s">
        <v>138</v>
      </c>
      <c r="P6" s="54" t="s">
        <v>23</v>
      </c>
      <c r="Q6" s="54" t="s">
        <v>135</v>
      </c>
      <c r="R6" s="54" t="s">
        <v>139</v>
      </c>
      <c r="S6" s="54" t="s">
        <v>24</v>
      </c>
      <c r="T6" s="54" t="s">
        <v>136</v>
      </c>
      <c r="U6" s="54" t="s">
        <v>137</v>
      </c>
      <c r="V6" s="54" t="s">
        <v>138</v>
      </c>
    </row>
    <row r="7" spans="1:22" ht="13.5" customHeight="1">
      <c r="A7" s="155">
        <v>1</v>
      </c>
      <c r="B7" s="156">
        <v>35000000</v>
      </c>
      <c r="C7" s="156">
        <v>1.0000000000000001E-5</v>
      </c>
      <c r="D7" s="156">
        <v>1.0000000000000001E-5</v>
      </c>
      <c r="E7" s="157">
        <v>22.75</v>
      </c>
      <c r="F7" s="157"/>
      <c r="G7" s="157"/>
      <c r="H7" s="157">
        <v>23.223960000000002</v>
      </c>
      <c r="I7" s="50"/>
      <c r="J7" s="50"/>
      <c r="K7" s="50"/>
    </row>
    <row r="8" spans="1:22" ht="13.5" customHeight="1">
      <c r="A8" s="155">
        <v>2</v>
      </c>
      <c r="B8" s="156">
        <v>35000000</v>
      </c>
      <c r="C8" s="156">
        <v>1.0000000000000001E-5</v>
      </c>
      <c r="D8" s="156">
        <v>1.0000000000000001E-5</v>
      </c>
      <c r="E8" s="157">
        <v>1000</v>
      </c>
      <c r="F8" s="157"/>
      <c r="G8" s="157"/>
      <c r="H8" s="157">
        <v>1000</v>
      </c>
      <c r="I8" s="50"/>
      <c r="J8" s="50"/>
      <c r="K8" s="50"/>
    </row>
    <row r="9" spans="1:22" ht="13.5" customHeight="1">
      <c r="A9" s="155">
        <v>3</v>
      </c>
      <c r="B9" s="156">
        <v>35000000</v>
      </c>
      <c r="C9" s="156"/>
      <c r="D9" s="156">
        <v>1.0000000000000001E-5</v>
      </c>
      <c r="E9" s="157">
        <v>10.579999999999998</v>
      </c>
      <c r="F9" s="157"/>
      <c r="G9" s="157"/>
      <c r="H9" s="157">
        <v>3.4980199999999999</v>
      </c>
      <c r="I9" s="50"/>
      <c r="J9" s="50"/>
      <c r="K9" s="50"/>
    </row>
    <row r="10" spans="1:22" ht="13.5" customHeight="1">
      <c r="B10" s="50"/>
      <c r="C10" s="50"/>
      <c r="D10" s="50"/>
      <c r="I10" s="50"/>
      <c r="J10" s="50"/>
      <c r="K10" s="50"/>
    </row>
    <row r="11" spans="1:22" ht="13.5" customHeight="1">
      <c r="B11" s="50"/>
      <c r="C11" s="50"/>
      <c r="D11" s="50"/>
      <c r="I11" s="50"/>
      <c r="J11" s="50"/>
      <c r="K11" s="50"/>
    </row>
    <row r="12" spans="1:22" ht="13.5" customHeight="1">
      <c r="B12" s="50"/>
      <c r="C12" s="50"/>
      <c r="D12" s="50"/>
    </row>
    <row r="13" spans="1:22" ht="13.5" customHeight="1">
      <c r="B13" s="50"/>
      <c r="C13" s="50"/>
      <c r="D13" s="50"/>
    </row>
    <row r="14" spans="1:22" ht="13.5" customHeight="1">
      <c r="B14" s="50"/>
      <c r="C14" s="50"/>
      <c r="D14" s="50"/>
    </row>
    <row r="15" spans="1:22" ht="13.5" customHeight="1">
      <c r="B15" s="50"/>
      <c r="C15" s="50"/>
      <c r="D15" s="50"/>
    </row>
    <row r="16" spans="1:22" ht="13.5" customHeight="1">
      <c r="B16" s="50"/>
      <c r="C16" s="50"/>
      <c r="D16" s="50"/>
    </row>
    <row r="17" spans="2:4" ht="13.5" customHeight="1">
      <c r="B17" s="50"/>
      <c r="C17" s="50"/>
      <c r="D17" s="50"/>
    </row>
  </sheetData>
  <mergeCells count="7">
    <mergeCell ref="U5:V5"/>
    <mergeCell ref="A5:A6"/>
    <mergeCell ref="B5:F5"/>
    <mergeCell ref="G5:H5"/>
    <mergeCell ref="I5:M5"/>
    <mergeCell ref="N5:O5"/>
    <mergeCell ref="P5:T5"/>
  </mergeCells>
  <phoneticPr fontId="2"/>
  <pageMargins left="0.75" right="0.75" top="1" bottom="1" header="0.51200000000000001" footer="0.51200000000000001"/>
  <pageSetup paperSize="9" orientation="portrait" horizontalDpi="4294967294" verticalDpi="4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結合Sheet"/>
  <dimension ref="A1:S6"/>
  <sheetViews>
    <sheetView zoomScale="85" zoomScaleNormal="85" workbookViewId="0">
      <selection activeCell="P34" sqref="P34"/>
    </sheetView>
  </sheetViews>
  <sheetFormatPr defaultColWidth="11" defaultRowHeight="13.5" customHeight="1"/>
  <cols>
    <col min="1" max="1" width="11" style="35" customWidth="1"/>
    <col min="2" max="3" width="11" style="24" hidden="1" customWidth="1"/>
    <col min="4" max="4" width="11" style="24" customWidth="1"/>
    <col min="5" max="6" width="11" style="24" hidden="1" customWidth="1"/>
    <col min="7" max="7" width="11" style="24" customWidth="1"/>
    <col min="8" max="9" width="11" style="24" hidden="1" customWidth="1"/>
    <col min="10" max="10" width="11" style="24" customWidth="1"/>
    <col min="11" max="12" width="11" style="24" hidden="1" customWidth="1"/>
    <col min="13" max="13" width="11" style="24" customWidth="1"/>
    <col min="14" max="15" width="11" style="24" hidden="1" customWidth="1"/>
    <col min="16" max="16" width="11" style="24" customWidth="1"/>
    <col min="17" max="18" width="11" style="24" hidden="1" customWidth="1"/>
    <col min="19" max="19" width="11" style="24" customWidth="1"/>
    <col min="20" max="16384" width="11" style="19"/>
  </cols>
  <sheetData>
    <row r="1" spans="1:19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</row>
    <row r="2" spans="1:19" ht="13.5" customHeight="1">
      <c r="A2" s="20" t="s">
        <v>80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</row>
    <row r="3" spans="1:19" ht="13.5" customHeight="1">
      <c r="A3" s="20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</row>
    <row r="4" spans="1:19" ht="13.5" customHeight="1">
      <c r="A4" s="21" t="s">
        <v>74</v>
      </c>
      <c r="B4" s="55"/>
      <c r="C4" s="21"/>
      <c r="D4" s="21"/>
      <c r="E4" s="18"/>
      <c r="F4" s="18"/>
      <c r="G4" s="18"/>
      <c r="H4" s="26"/>
      <c r="I4" s="18"/>
      <c r="J4" s="18"/>
      <c r="K4" s="18"/>
      <c r="L4" s="18"/>
      <c r="M4" s="18"/>
      <c r="N4" s="26"/>
      <c r="O4" s="18"/>
      <c r="P4" s="18"/>
      <c r="Q4" s="18"/>
      <c r="R4" s="18"/>
      <c r="S4" s="18"/>
    </row>
    <row r="5" spans="1:19" ht="13.5" customHeight="1">
      <c r="A5" s="194" t="s">
        <v>53</v>
      </c>
      <c r="B5" s="195" t="s">
        <v>49</v>
      </c>
      <c r="C5" s="195"/>
      <c r="D5" s="195"/>
      <c r="E5" s="195"/>
      <c r="F5" s="195"/>
      <c r="G5" s="195"/>
      <c r="H5" s="196" t="s">
        <v>50</v>
      </c>
      <c r="I5" s="196"/>
      <c r="J5" s="196"/>
      <c r="K5" s="196"/>
      <c r="L5" s="196"/>
      <c r="M5" s="196"/>
      <c r="N5" s="197" t="s">
        <v>52</v>
      </c>
      <c r="O5" s="197"/>
      <c r="P5" s="197"/>
      <c r="Q5" s="197"/>
      <c r="R5" s="197"/>
      <c r="S5" s="197"/>
    </row>
    <row r="6" spans="1:19" ht="13.5" customHeight="1">
      <c r="A6" s="194"/>
      <c r="B6" s="56" t="s">
        <v>27</v>
      </c>
      <c r="C6" s="52" t="s">
        <v>28</v>
      </c>
      <c r="D6" s="52" t="s">
        <v>29</v>
      </c>
      <c r="E6" s="52" t="s">
        <v>30</v>
      </c>
      <c r="F6" s="52" t="s">
        <v>31</v>
      </c>
      <c r="G6" s="52" t="s">
        <v>32</v>
      </c>
      <c r="H6" s="57" t="s">
        <v>27</v>
      </c>
      <c r="I6" s="54" t="s">
        <v>28</v>
      </c>
      <c r="J6" s="54" t="s">
        <v>29</v>
      </c>
      <c r="K6" s="54" t="s">
        <v>30</v>
      </c>
      <c r="L6" s="54" t="s">
        <v>31</v>
      </c>
      <c r="M6" s="54" t="s">
        <v>32</v>
      </c>
      <c r="N6" s="58" t="s">
        <v>27</v>
      </c>
      <c r="O6" s="53" t="s">
        <v>28</v>
      </c>
      <c r="P6" s="53" t="s">
        <v>29</v>
      </c>
      <c r="Q6" s="53" t="s">
        <v>30</v>
      </c>
      <c r="R6" s="53" t="s">
        <v>31</v>
      </c>
      <c r="S6" s="53" t="s">
        <v>32</v>
      </c>
    </row>
  </sheetData>
  <mergeCells count="4">
    <mergeCell ref="A5:A6"/>
    <mergeCell ref="B5:G5"/>
    <mergeCell ref="H5:M5"/>
    <mergeCell ref="N5:S5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着目点Sheet"/>
  <dimension ref="A1:N18"/>
  <sheetViews>
    <sheetView zoomScaleNormal="100" workbookViewId="0">
      <selection activeCell="C20" sqref="C20"/>
    </sheetView>
  </sheetViews>
  <sheetFormatPr defaultRowHeight="13.5"/>
  <cols>
    <col min="1" max="1" width="9" style="60"/>
    <col min="2" max="2" width="9" style="62"/>
    <col min="3" max="14" width="9" style="60"/>
    <col min="15" max="16384" width="9" style="61"/>
  </cols>
  <sheetData>
    <row r="1" spans="1:14" s="19" customFormat="1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</row>
    <row r="2" spans="1:14" s="19" customFormat="1" ht="13.5" customHeight="1">
      <c r="A2" s="20" t="s">
        <v>95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 s="19" customFormat="1" ht="13.5" customHeight="1">
      <c r="A3" s="59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</row>
    <row r="4" spans="1:14" s="19" customFormat="1" ht="13.5" customHeight="1">
      <c r="A4" s="194" t="s">
        <v>53</v>
      </c>
      <c r="B4" s="194" t="s">
        <v>140</v>
      </c>
      <c r="C4" s="198" t="s">
        <v>96</v>
      </c>
      <c r="D4" s="198"/>
      <c r="E4" s="198"/>
      <c r="F4" s="198"/>
      <c r="G4" s="198"/>
      <c r="H4" s="198"/>
      <c r="I4" s="198"/>
      <c r="J4" s="198"/>
      <c r="K4" s="198"/>
      <c r="L4" s="198"/>
      <c r="M4" s="198"/>
      <c r="N4" s="198"/>
    </row>
    <row r="5" spans="1:14" s="19" customFormat="1" ht="13.5" customHeight="1">
      <c r="A5" s="194"/>
      <c r="B5" s="194"/>
      <c r="C5" s="116" t="s">
        <v>141</v>
      </c>
      <c r="D5" s="116" t="s">
        <v>97</v>
      </c>
      <c r="E5" s="116" t="s">
        <v>98</v>
      </c>
      <c r="F5" s="116" t="s">
        <v>99</v>
      </c>
      <c r="G5" s="116" t="s">
        <v>100</v>
      </c>
      <c r="H5" s="116" t="s">
        <v>101</v>
      </c>
      <c r="I5" s="116" t="s">
        <v>102</v>
      </c>
      <c r="J5" s="116" t="s">
        <v>103</v>
      </c>
      <c r="K5" s="116" t="s">
        <v>104</v>
      </c>
      <c r="L5" s="116" t="s">
        <v>105</v>
      </c>
      <c r="M5" s="116" t="s">
        <v>106</v>
      </c>
      <c r="N5" s="116" t="s">
        <v>107</v>
      </c>
    </row>
    <row r="6" spans="1:14" s="19" customFormat="1" ht="13.5" customHeight="1">
      <c r="A6" s="171">
        <v>4</v>
      </c>
      <c r="B6" s="172">
        <v>5.92</v>
      </c>
      <c r="C6" s="171">
        <v>0.875</v>
      </c>
      <c r="D6" s="171">
        <v>2.96</v>
      </c>
      <c r="E6" s="171">
        <v>5.0449999999999999</v>
      </c>
      <c r="F6" s="155"/>
      <c r="G6" s="24"/>
      <c r="H6" s="24"/>
      <c r="I6" s="24"/>
      <c r="J6" s="24"/>
      <c r="K6" s="24"/>
      <c r="L6" s="24"/>
      <c r="M6" s="24"/>
      <c r="N6" s="24"/>
    </row>
    <row r="7" spans="1:14">
      <c r="A7" s="158">
        <v>7</v>
      </c>
      <c r="B7" s="159">
        <v>5.92</v>
      </c>
      <c r="C7" s="158">
        <v>0.875</v>
      </c>
      <c r="D7" s="171">
        <v>2.96</v>
      </c>
      <c r="E7" s="171">
        <v>5.0449999999999999</v>
      </c>
      <c r="F7" s="170"/>
    </row>
    <row r="8" spans="1:14">
      <c r="A8" s="158">
        <v>10</v>
      </c>
      <c r="B8" s="159">
        <v>5.92</v>
      </c>
      <c r="C8" s="158">
        <v>0.875</v>
      </c>
      <c r="D8" s="171">
        <v>2.96</v>
      </c>
      <c r="E8" s="171">
        <v>5.0449999999999999</v>
      </c>
      <c r="F8" s="170"/>
    </row>
    <row r="9" spans="1:14">
      <c r="A9" s="158">
        <v>13</v>
      </c>
      <c r="B9" s="159">
        <v>5.92</v>
      </c>
      <c r="C9" s="158">
        <v>0.875</v>
      </c>
      <c r="D9" s="171">
        <v>2.96</v>
      </c>
      <c r="E9" s="171">
        <v>5.0449999999999999</v>
      </c>
      <c r="F9" s="170"/>
    </row>
    <row r="10" spans="1:14">
      <c r="A10" s="158">
        <v>16</v>
      </c>
      <c r="B10" s="159">
        <v>5.92</v>
      </c>
      <c r="C10" s="158">
        <v>0.875</v>
      </c>
      <c r="D10" s="171">
        <v>2.96</v>
      </c>
      <c r="E10" s="171">
        <v>5.0449999999999999</v>
      </c>
      <c r="F10" s="155"/>
      <c r="G10" s="24"/>
      <c r="H10" s="24"/>
      <c r="I10" s="24"/>
      <c r="J10" s="24"/>
      <c r="K10" s="24"/>
    </row>
    <row r="11" spans="1:14">
      <c r="A11" s="158">
        <v>19</v>
      </c>
      <c r="B11" s="159">
        <v>5.92</v>
      </c>
      <c r="C11" s="158">
        <v>0.875</v>
      </c>
      <c r="D11" s="171">
        <v>2.96</v>
      </c>
      <c r="E11" s="171">
        <v>5.0449999999999999</v>
      </c>
      <c r="F11" s="170"/>
    </row>
    <row r="12" spans="1:14">
      <c r="A12" s="158">
        <v>30</v>
      </c>
      <c r="B12" s="159">
        <v>6.1749999999999998</v>
      </c>
      <c r="C12" s="158">
        <v>0.57499999999999996</v>
      </c>
      <c r="D12" s="158"/>
      <c r="E12" s="158"/>
      <c r="F12" s="170"/>
    </row>
    <row r="13" spans="1:14">
      <c r="A13" s="158">
        <v>31</v>
      </c>
      <c r="B13" s="159">
        <v>6.1749999999999998</v>
      </c>
      <c r="C13" s="158">
        <v>0.57499999999999996</v>
      </c>
      <c r="D13" s="158"/>
      <c r="E13" s="158"/>
      <c r="F13" s="170"/>
    </row>
    <row r="14" spans="1:14">
      <c r="A14" s="158">
        <v>32</v>
      </c>
      <c r="B14" s="159">
        <v>6.1749999999999998</v>
      </c>
      <c r="C14" s="158">
        <v>0.57499999999999996</v>
      </c>
      <c r="D14" s="158"/>
      <c r="E14" s="158"/>
      <c r="F14" s="170"/>
    </row>
    <row r="15" spans="1:14">
      <c r="A15" s="158">
        <v>33</v>
      </c>
      <c r="B15" s="159">
        <v>6.1749999999999998</v>
      </c>
      <c r="C15" s="158">
        <v>0.57499999999999996</v>
      </c>
      <c r="D15" s="158"/>
      <c r="E15" s="158"/>
      <c r="F15" s="170"/>
    </row>
    <row r="16" spans="1:14">
      <c r="A16" s="158">
        <v>34</v>
      </c>
      <c r="B16" s="159">
        <v>6.1749999999999998</v>
      </c>
      <c r="C16" s="158">
        <v>0.57499999999999996</v>
      </c>
      <c r="D16" s="158"/>
      <c r="E16" s="158"/>
      <c r="F16" s="158"/>
    </row>
    <row r="17" spans="1:6">
      <c r="A17" s="158">
        <v>35</v>
      </c>
      <c r="B17" s="159">
        <v>6.1749999999999998</v>
      </c>
      <c r="C17" s="158">
        <v>0.57499999999999996</v>
      </c>
      <c r="D17" s="158"/>
      <c r="E17" s="158"/>
      <c r="F17" s="158"/>
    </row>
    <row r="18" spans="1:6">
      <c r="A18" s="158">
        <v>36</v>
      </c>
      <c r="B18" s="159">
        <v>6.1749999999999998</v>
      </c>
      <c r="C18" s="158">
        <v>0.57499999999999996</v>
      </c>
      <c r="D18" s="158"/>
      <c r="E18" s="158"/>
      <c r="F18" s="158"/>
    </row>
  </sheetData>
  <mergeCells count="3">
    <mergeCell ref="A4:A5"/>
    <mergeCell ref="B4:B5"/>
    <mergeCell ref="C4:N4"/>
  </mergeCells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バネSheet"/>
  <dimension ref="A1:M38"/>
  <sheetViews>
    <sheetView topLeftCell="A3" zoomScale="115" zoomScaleNormal="115" workbookViewId="0">
      <selection activeCell="C10" sqref="C10"/>
    </sheetView>
  </sheetViews>
  <sheetFormatPr defaultRowHeight="13.5" customHeight="1"/>
  <cols>
    <col min="1" max="1" width="9" style="35" customWidth="1"/>
    <col min="2" max="3" width="9" style="65" customWidth="1"/>
    <col min="4" max="5" width="9" style="65" hidden="1" customWidth="1"/>
    <col min="6" max="6" width="9" style="66" customWidth="1"/>
    <col min="7" max="7" width="9" style="65" customWidth="1"/>
    <col min="8" max="8" width="9" style="67" hidden="1" customWidth="1"/>
    <col min="9" max="9" width="9" style="65" hidden="1" customWidth="1"/>
    <col min="10" max="11" width="9" style="65" customWidth="1"/>
    <col min="12" max="13" width="9" style="65" hidden="1" customWidth="1"/>
    <col min="14" max="235" width="9" style="19" customWidth="1"/>
    <col min="236" max="16384" width="9" style="19"/>
  </cols>
  <sheetData>
    <row r="1" spans="1:13" ht="13.5" customHeight="1">
      <c r="A1" s="18"/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</row>
    <row r="2" spans="1:13" ht="13.5" customHeight="1">
      <c r="A2" s="20" t="s">
        <v>79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</row>
    <row r="3" spans="1:13" ht="13.5" customHeight="1">
      <c r="A3" s="20"/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</row>
    <row r="4" spans="1:13" ht="13.5" customHeight="1">
      <c r="A4" s="26"/>
      <c r="B4" s="27" t="s">
        <v>54</v>
      </c>
      <c r="C4" s="64"/>
      <c r="D4" s="64"/>
      <c r="E4" s="64"/>
      <c r="F4" s="64"/>
      <c r="G4" s="64"/>
      <c r="H4" s="64"/>
      <c r="I4" s="27"/>
      <c r="J4" s="64"/>
      <c r="K4" s="64"/>
      <c r="L4" s="64"/>
      <c r="M4" s="27"/>
    </row>
    <row r="5" spans="1:13" ht="13.5" customHeight="1">
      <c r="A5" s="199" t="s">
        <v>53</v>
      </c>
      <c r="B5" s="183" t="s">
        <v>129</v>
      </c>
      <c r="C5" s="193"/>
      <c r="D5" s="193"/>
      <c r="E5" s="184"/>
      <c r="F5" s="202" t="s">
        <v>57</v>
      </c>
      <c r="G5" s="203"/>
      <c r="H5" s="203"/>
      <c r="I5" s="204"/>
      <c r="J5" s="205" t="s">
        <v>142</v>
      </c>
      <c r="K5" s="206"/>
      <c r="L5" s="206"/>
      <c r="M5" s="207"/>
    </row>
    <row r="6" spans="1:13" ht="13.5" customHeight="1">
      <c r="A6" s="200"/>
      <c r="B6" s="183" t="s">
        <v>33</v>
      </c>
      <c r="C6" s="193"/>
      <c r="D6" s="184"/>
      <c r="E6" s="68" t="s">
        <v>55</v>
      </c>
      <c r="F6" s="202" t="s">
        <v>33</v>
      </c>
      <c r="G6" s="203"/>
      <c r="H6" s="204"/>
      <c r="I6" s="69" t="s">
        <v>55</v>
      </c>
      <c r="J6" s="205" t="s">
        <v>33</v>
      </c>
      <c r="K6" s="206"/>
      <c r="L6" s="207"/>
      <c r="M6" s="70" t="s">
        <v>55</v>
      </c>
    </row>
    <row r="7" spans="1:13" ht="13.5" customHeight="1">
      <c r="A7" s="201"/>
      <c r="B7" s="117" t="s">
        <v>124</v>
      </c>
      <c r="C7" s="117" t="s">
        <v>125</v>
      </c>
      <c r="D7" s="117" t="s">
        <v>127</v>
      </c>
      <c r="E7" s="117" t="s">
        <v>56</v>
      </c>
      <c r="F7" s="119" t="s">
        <v>124</v>
      </c>
      <c r="G7" s="71" t="s">
        <v>125</v>
      </c>
      <c r="H7" s="120" t="s">
        <v>127</v>
      </c>
      <c r="I7" s="71" t="s">
        <v>56</v>
      </c>
      <c r="J7" s="72" t="s">
        <v>124</v>
      </c>
      <c r="K7" s="72" t="s">
        <v>125</v>
      </c>
      <c r="L7" s="72" t="s">
        <v>127</v>
      </c>
      <c r="M7" s="72" t="s">
        <v>56</v>
      </c>
    </row>
    <row r="8" spans="1:13" ht="13.5" customHeight="1">
      <c r="B8" s="39"/>
      <c r="C8" s="39"/>
      <c r="D8" s="39"/>
      <c r="E8" s="39"/>
      <c r="F8" s="39"/>
      <c r="G8" s="39"/>
      <c r="H8" s="144"/>
      <c r="I8" s="39"/>
      <c r="J8" s="39"/>
      <c r="K8" s="39"/>
    </row>
    <row r="9" spans="1:13" ht="13.5" customHeight="1">
      <c r="B9" s="39"/>
      <c r="C9" s="39"/>
      <c r="D9" s="39"/>
      <c r="E9" s="39"/>
      <c r="F9" s="39"/>
      <c r="G9" s="39"/>
      <c r="H9" s="144"/>
      <c r="I9" s="39"/>
      <c r="J9" s="39"/>
      <c r="K9" s="39"/>
    </row>
    <row r="10" spans="1:13" ht="13.5" customHeight="1">
      <c r="B10" s="39"/>
      <c r="C10" s="39"/>
      <c r="D10" s="39"/>
      <c r="E10" s="39"/>
      <c r="F10" s="39"/>
      <c r="G10" s="39"/>
      <c r="H10" s="144"/>
      <c r="I10" s="39"/>
      <c r="J10" s="39"/>
      <c r="K10" s="39"/>
    </row>
    <row r="11" spans="1:13" ht="13.5" customHeight="1">
      <c r="B11" s="39"/>
      <c r="C11" s="39"/>
      <c r="D11" s="39"/>
      <c r="E11" s="39"/>
      <c r="F11" s="39"/>
      <c r="G11" s="39"/>
      <c r="H11" s="144"/>
      <c r="I11" s="39"/>
      <c r="J11" s="39"/>
      <c r="K11" s="39"/>
    </row>
    <row r="12" spans="1:13" ht="13.5" customHeight="1">
      <c r="B12" s="39"/>
      <c r="C12" s="39"/>
      <c r="D12" s="39"/>
      <c r="E12" s="39"/>
      <c r="F12" s="39"/>
      <c r="G12" s="39"/>
      <c r="H12" s="144"/>
      <c r="I12" s="39"/>
      <c r="J12" s="39"/>
      <c r="K12" s="39"/>
    </row>
    <row r="13" spans="1:13" ht="13.5" customHeight="1">
      <c r="B13" s="39"/>
      <c r="C13" s="39"/>
      <c r="D13" s="39"/>
      <c r="E13" s="39"/>
      <c r="F13" s="39"/>
      <c r="G13" s="39"/>
      <c r="H13" s="144"/>
      <c r="I13" s="39"/>
      <c r="J13" s="39"/>
      <c r="K13" s="39"/>
    </row>
    <row r="14" spans="1:13" ht="13.5" customHeight="1">
      <c r="B14" s="39"/>
      <c r="C14" s="39"/>
      <c r="D14" s="39"/>
      <c r="E14" s="39"/>
      <c r="F14" s="39"/>
      <c r="G14" s="39"/>
      <c r="H14" s="144"/>
      <c r="I14" s="39"/>
      <c r="J14" s="39"/>
      <c r="K14" s="39"/>
    </row>
    <row r="15" spans="1:13" ht="13.5" customHeight="1">
      <c r="B15" s="39"/>
      <c r="C15" s="39"/>
      <c r="D15" s="39"/>
      <c r="E15" s="39"/>
      <c r="F15" s="39"/>
      <c r="G15" s="39"/>
      <c r="H15" s="144"/>
      <c r="I15" s="39"/>
      <c r="J15" s="39"/>
      <c r="K15" s="39"/>
    </row>
    <row r="16" spans="1:13" ht="13.5" customHeight="1">
      <c r="B16" s="39"/>
      <c r="C16" s="39"/>
      <c r="D16" s="39"/>
      <c r="E16" s="39"/>
      <c r="F16" s="39"/>
      <c r="G16" s="39"/>
      <c r="H16" s="144"/>
      <c r="I16" s="39"/>
      <c r="J16" s="39"/>
      <c r="K16" s="39"/>
    </row>
    <row r="17" spans="2:11" ht="13.5" customHeight="1">
      <c r="B17" s="39"/>
      <c r="C17" s="39"/>
      <c r="D17" s="39"/>
      <c r="E17" s="39"/>
      <c r="F17" s="39"/>
      <c r="G17" s="39"/>
      <c r="H17" s="144"/>
      <c r="I17" s="39"/>
      <c r="J17" s="39"/>
      <c r="K17" s="39"/>
    </row>
    <row r="18" spans="2:11" ht="13.5" customHeight="1">
      <c r="B18" s="39"/>
      <c r="C18" s="39"/>
      <c r="D18" s="39"/>
      <c r="E18" s="39"/>
      <c r="F18" s="39"/>
      <c r="G18" s="39"/>
      <c r="H18" s="144"/>
      <c r="I18" s="39"/>
      <c r="J18" s="39"/>
      <c r="K18" s="39"/>
    </row>
    <row r="19" spans="2:11" ht="13.5" customHeight="1">
      <c r="B19" s="39"/>
      <c r="C19" s="39"/>
      <c r="D19" s="39"/>
      <c r="E19" s="39"/>
      <c r="F19" s="39"/>
      <c r="G19" s="39"/>
      <c r="H19" s="144"/>
      <c r="I19" s="39"/>
      <c r="J19" s="39"/>
      <c r="K19" s="39"/>
    </row>
    <row r="20" spans="2:11" ht="13.5" customHeight="1">
      <c r="B20" s="39"/>
      <c r="C20" s="39"/>
      <c r="D20" s="39"/>
      <c r="E20" s="39"/>
      <c r="F20" s="39"/>
      <c r="G20" s="39"/>
      <c r="H20" s="144"/>
      <c r="I20" s="39"/>
      <c r="J20" s="39"/>
      <c r="K20" s="39"/>
    </row>
    <row r="21" spans="2:11" ht="13.5" customHeight="1">
      <c r="B21" s="39"/>
      <c r="C21" s="39"/>
      <c r="D21" s="39"/>
      <c r="E21" s="39"/>
      <c r="F21" s="39"/>
      <c r="G21" s="39"/>
      <c r="H21" s="144"/>
      <c r="I21" s="39"/>
      <c r="J21" s="39"/>
      <c r="K21" s="39"/>
    </row>
    <row r="22" spans="2:11" ht="13.5" customHeight="1">
      <c r="B22" s="39"/>
      <c r="C22" s="39"/>
      <c r="D22" s="39"/>
      <c r="E22" s="39"/>
      <c r="F22" s="39"/>
      <c r="G22" s="39"/>
      <c r="H22" s="144"/>
      <c r="I22" s="39"/>
      <c r="J22" s="39"/>
      <c r="K22" s="39"/>
    </row>
    <row r="23" spans="2:11" ht="13.5" customHeight="1">
      <c r="B23" s="39"/>
      <c r="C23" s="39"/>
      <c r="D23" s="39"/>
      <c r="E23" s="39"/>
      <c r="F23" s="39"/>
      <c r="G23" s="39"/>
      <c r="H23" s="144"/>
      <c r="I23" s="39"/>
      <c r="J23" s="39"/>
      <c r="K23" s="39"/>
    </row>
    <row r="24" spans="2:11" ht="13.5" customHeight="1">
      <c r="F24" s="65"/>
    </row>
    <row r="25" spans="2:11" ht="13.5" customHeight="1">
      <c r="F25" s="65"/>
    </row>
    <row r="26" spans="2:11" ht="13.5" customHeight="1">
      <c r="F26" s="65"/>
    </row>
    <row r="27" spans="2:11" ht="13.5" customHeight="1">
      <c r="F27" s="65"/>
    </row>
    <row r="28" spans="2:11" ht="13.5" customHeight="1">
      <c r="F28" s="65"/>
    </row>
    <row r="29" spans="2:11" ht="13.5" customHeight="1">
      <c r="F29" s="65"/>
    </row>
    <row r="30" spans="2:11" ht="13.5" customHeight="1">
      <c r="F30" s="65"/>
    </row>
    <row r="31" spans="2:11" ht="13.5" customHeight="1">
      <c r="F31" s="65"/>
    </row>
    <row r="32" spans="2:11" ht="13.5" customHeight="1">
      <c r="F32" s="65"/>
    </row>
    <row r="33" spans="6:6" ht="13.5" customHeight="1">
      <c r="F33" s="65"/>
    </row>
    <row r="34" spans="6:6" ht="13.5" customHeight="1">
      <c r="F34" s="65"/>
    </row>
    <row r="35" spans="6:6" ht="13.5" customHeight="1">
      <c r="F35" s="65"/>
    </row>
    <row r="36" spans="6:6" ht="13.5" customHeight="1">
      <c r="F36" s="65"/>
    </row>
    <row r="37" spans="6:6" ht="13.5" customHeight="1">
      <c r="F37" s="65"/>
    </row>
    <row r="38" spans="6:6" ht="13.5" customHeight="1">
      <c r="F38" s="65"/>
    </row>
  </sheetData>
  <mergeCells count="7">
    <mergeCell ref="A5:A7"/>
    <mergeCell ref="B5:E5"/>
    <mergeCell ref="F5:I5"/>
    <mergeCell ref="J5:M5"/>
    <mergeCell ref="B6:D6"/>
    <mergeCell ref="F6:H6"/>
    <mergeCell ref="J6:L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名称Sheet"/>
  <dimension ref="A1:H26"/>
  <sheetViews>
    <sheetView view="pageBreakPreview" zoomScaleNormal="85" zoomScaleSheetLayoutView="100" workbookViewId="0">
      <selection activeCell="C17" sqref="C17"/>
    </sheetView>
  </sheetViews>
  <sheetFormatPr defaultRowHeight="13.5" customHeight="1"/>
  <cols>
    <col min="1" max="1" width="9" style="132" bestFit="1" customWidth="1"/>
    <col min="2" max="2" width="7.5" style="133" bestFit="1" customWidth="1"/>
    <col min="3" max="3" width="9.75" style="134" bestFit="1" customWidth="1"/>
    <col min="4" max="4" width="38.875" style="133" bestFit="1" customWidth="1"/>
    <col min="5" max="5" width="5.25" style="133" bestFit="1" customWidth="1"/>
    <col min="6" max="6" width="5.125" style="133" bestFit="1" customWidth="1"/>
    <col min="7" max="8" width="5.25" style="133" bestFit="1" customWidth="1"/>
    <col min="9" max="16384" width="9" style="130"/>
  </cols>
  <sheetData>
    <row r="1" spans="1:8" s="126" customFormat="1" ht="13.5" customHeight="1">
      <c r="A1" s="123"/>
      <c r="B1" s="124"/>
      <c r="C1" s="125"/>
      <c r="D1" s="124"/>
      <c r="E1" s="124"/>
      <c r="F1" s="124"/>
      <c r="G1" s="124"/>
      <c r="H1" s="124"/>
    </row>
    <row r="2" spans="1:8" s="126" customFormat="1" ht="13.5" customHeight="1">
      <c r="A2" s="127" t="s">
        <v>66</v>
      </c>
      <c r="C2" s="128"/>
    </row>
    <row r="3" spans="1:8" s="126" customFormat="1" ht="13.5" customHeight="1">
      <c r="A3" s="129"/>
      <c r="C3" s="128"/>
    </row>
    <row r="4" spans="1:8" ht="13.5" customHeight="1">
      <c r="A4" s="209" t="s">
        <v>58</v>
      </c>
      <c r="B4" s="208" t="s">
        <v>59</v>
      </c>
      <c r="C4" s="208" t="s">
        <v>60</v>
      </c>
      <c r="D4" s="208" t="s">
        <v>61</v>
      </c>
      <c r="E4" s="208" t="s">
        <v>62</v>
      </c>
      <c r="F4" s="208"/>
      <c r="G4" s="208"/>
      <c r="H4" s="208"/>
    </row>
    <row r="5" spans="1:8" ht="13.5" customHeight="1">
      <c r="A5" s="209"/>
      <c r="B5" s="208"/>
      <c r="C5" s="208"/>
      <c r="D5" s="208"/>
      <c r="E5" s="131" t="s">
        <v>63</v>
      </c>
      <c r="F5" s="131" t="s">
        <v>143</v>
      </c>
      <c r="G5" s="131" t="s">
        <v>64</v>
      </c>
      <c r="H5" s="131" t="s">
        <v>65</v>
      </c>
    </row>
    <row r="6" spans="1:8" ht="13.5" customHeight="1">
      <c r="A6" s="160">
        <v>1</v>
      </c>
      <c r="B6" s="161">
        <v>1</v>
      </c>
      <c r="C6" s="148" t="s">
        <v>154</v>
      </c>
      <c r="D6" s="161" t="s">
        <v>155</v>
      </c>
      <c r="E6" s="161">
        <v>1</v>
      </c>
      <c r="F6" s="155">
        <v>1</v>
      </c>
      <c r="G6" s="155">
        <v>1</v>
      </c>
      <c r="H6" s="155">
        <v>1</v>
      </c>
    </row>
    <row r="7" spans="1:8" ht="13.5" customHeight="1">
      <c r="A7" s="160">
        <v>1</v>
      </c>
      <c r="B7" s="161">
        <v>2</v>
      </c>
      <c r="C7" s="148" t="s">
        <v>156</v>
      </c>
      <c r="D7" s="161" t="s">
        <v>157</v>
      </c>
      <c r="E7" s="161">
        <v>1</v>
      </c>
      <c r="F7" s="155">
        <v>1</v>
      </c>
      <c r="G7" s="155">
        <v>1</v>
      </c>
      <c r="H7" s="155">
        <v>1</v>
      </c>
    </row>
    <row r="8" spans="1:8" ht="13.5" customHeight="1">
      <c r="A8" s="160">
        <v>1</v>
      </c>
      <c r="B8" s="161">
        <v>3</v>
      </c>
      <c r="C8" s="148" t="s">
        <v>158</v>
      </c>
      <c r="D8" s="161" t="s">
        <v>153</v>
      </c>
      <c r="E8" s="161">
        <v>1</v>
      </c>
      <c r="F8" s="155">
        <v>1</v>
      </c>
      <c r="G8" s="155">
        <v>1</v>
      </c>
      <c r="H8" s="155">
        <v>1</v>
      </c>
    </row>
    <row r="9" spans="1:8" ht="13.5" customHeight="1">
      <c r="A9" s="160">
        <v>1</v>
      </c>
      <c r="B9" s="161">
        <v>4</v>
      </c>
      <c r="C9" s="148" t="s">
        <v>212</v>
      </c>
      <c r="D9" s="161" t="s">
        <v>159</v>
      </c>
      <c r="E9" s="161">
        <v>1</v>
      </c>
      <c r="F9" s="155">
        <v>1</v>
      </c>
      <c r="G9" s="155">
        <v>1</v>
      </c>
      <c r="H9" s="155">
        <v>1</v>
      </c>
    </row>
    <row r="10" spans="1:8" ht="13.5" customHeight="1">
      <c r="A10" s="160">
        <v>1</v>
      </c>
      <c r="B10" s="161">
        <v>5</v>
      </c>
      <c r="C10" s="148" t="s">
        <v>213</v>
      </c>
      <c r="D10" s="161" t="s">
        <v>160</v>
      </c>
      <c r="E10" s="161">
        <v>1</v>
      </c>
      <c r="F10" s="155">
        <v>1</v>
      </c>
      <c r="G10" s="155">
        <v>1</v>
      </c>
      <c r="H10" s="155">
        <v>1</v>
      </c>
    </row>
    <row r="11" spans="1:8" ht="13.5" customHeight="1">
      <c r="A11" s="160">
        <v>1</v>
      </c>
      <c r="B11" s="161">
        <v>6</v>
      </c>
      <c r="C11" s="148" t="s">
        <v>214</v>
      </c>
      <c r="D11" s="161" t="s">
        <v>161</v>
      </c>
      <c r="E11" s="161">
        <v>1</v>
      </c>
      <c r="F11" s="155">
        <v>1</v>
      </c>
      <c r="G11" s="155">
        <v>1</v>
      </c>
      <c r="H11" s="155">
        <v>1</v>
      </c>
    </row>
    <row r="12" spans="1:8" ht="13.5" customHeight="1">
      <c r="A12" s="160">
        <v>1</v>
      </c>
      <c r="B12" s="161">
        <v>7</v>
      </c>
      <c r="C12" s="148" t="s">
        <v>162</v>
      </c>
      <c r="D12" s="161" t="s">
        <v>163</v>
      </c>
      <c r="E12" s="161">
        <v>1</v>
      </c>
      <c r="F12" s="155">
        <v>1</v>
      </c>
      <c r="G12" s="155">
        <v>1</v>
      </c>
      <c r="H12" s="155">
        <v>1</v>
      </c>
    </row>
    <row r="13" spans="1:8" ht="13.5" customHeight="1">
      <c r="A13" s="160">
        <v>1</v>
      </c>
      <c r="B13" s="161">
        <v>8</v>
      </c>
      <c r="C13" s="148" t="s">
        <v>215</v>
      </c>
      <c r="D13" s="161" t="s">
        <v>164</v>
      </c>
      <c r="E13" s="161">
        <v>1</v>
      </c>
      <c r="F13" s="155">
        <v>1</v>
      </c>
      <c r="G13" s="155">
        <v>1</v>
      </c>
      <c r="H13" s="155">
        <v>1</v>
      </c>
    </row>
    <row r="14" spans="1:8" ht="13.5" customHeight="1">
      <c r="A14" s="160">
        <v>1</v>
      </c>
      <c r="B14" s="161">
        <v>9</v>
      </c>
      <c r="C14" s="148" t="s">
        <v>165</v>
      </c>
      <c r="D14" s="161" t="s">
        <v>166</v>
      </c>
      <c r="E14" s="161">
        <v>1</v>
      </c>
      <c r="F14" s="155">
        <v>1</v>
      </c>
      <c r="G14" s="155">
        <v>1</v>
      </c>
      <c r="H14" s="155">
        <v>1</v>
      </c>
    </row>
    <row r="15" spans="1:8" ht="13.5" customHeight="1">
      <c r="A15" s="160">
        <v>1</v>
      </c>
      <c r="B15" s="161">
        <v>10</v>
      </c>
      <c r="C15" s="148" t="s">
        <v>167</v>
      </c>
      <c r="D15" s="161" t="s">
        <v>168</v>
      </c>
      <c r="E15" s="161">
        <v>1</v>
      </c>
      <c r="F15" s="155">
        <v>1</v>
      </c>
      <c r="G15" s="155">
        <v>1</v>
      </c>
      <c r="H15" s="155">
        <v>1</v>
      </c>
    </row>
    <row r="16" spans="1:8" ht="13.5" customHeight="1">
      <c r="A16" s="160">
        <v>1</v>
      </c>
      <c r="B16" s="161">
        <v>11</v>
      </c>
      <c r="C16" s="148" t="s">
        <v>169</v>
      </c>
      <c r="D16" s="161" t="s">
        <v>170</v>
      </c>
      <c r="E16" s="161">
        <v>1</v>
      </c>
      <c r="F16" s="155">
        <v>1</v>
      </c>
      <c r="G16" s="155">
        <v>1</v>
      </c>
      <c r="H16" s="155">
        <v>1</v>
      </c>
    </row>
    <row r="17" spans="1:8" ht="13.5" customHeight="1">
      <c r="A17" s="160">
        <v>1</v>
      </c>
      <c r="B17" s="161">
        <v>12</v>
      </c>
      <c r="C17" s="148" t="s">
        <v>216</v>
      </c>
      <c r="D17" s="161" t="s">
        <v>171</v>
      </c>
      <c r="E17" s="161">
        <v>1</v>
      </c>
      <c r="F17" s="155">
        <v>1</v>
      </c>
      <c r="G17" s="155">
        <v>1</v>
      </c>
      <c r="H17" s="155">
        <v>1</v>
      </c>
    </row>
    <row r="18" spans="1:8" ht="13.5" customHeight="1">
      <c r="A18" s="160">
        <v>1</v>
      </c>
      <c r="B18" s="161">
        <v>13</v>
      </c>
      <c r="C18" s="148" t="s">
        <v>172</v>
      </c>
      <c r="D18" s="161" t="s">
        <v>173</v>
      </c>
      <c r="E18" s="161">
        <v>1</v>
      </c>
      <c r="F18" s="155">
        <v>1</v>
      </c>
      <c r="G18" s="155">
        <v>1</v>
      </c>
      <c r="H18" s="155">
        <v>1</v>
      </c>
    </row>
    <row r="19" spans="1:8" ht="13.5" customHeight="1">
      <c r="A19" s="160">
        <v>1</v>
      </c>
      <c r="B19" s="161">
        <v>14</v>
      </c>
      <c r="C19" s="148" t="s">
        <v>174</v>
      </c>
      <c r="D19" s="161" t="s">
        <v>175</v>
      </c>
      <c r="E19" s="161">
        <v>1</v>
      </c>
      <c r="F19" s="155">
        <v>1</v>
      </c>
      <c r="G19" s="155">
        <v>1</v>
      </c>
      <c r="H19" s="155">
        <v>1</v>
      </c>
    </row>
    <row r="20" spans="1:8" ht="13.5" customHeight="1">
      <c r="A20" s="160">
        <v>1</v>
      </c>
      <c r="B20" s="161">
        <v>15</v>
      </c>
      <c r="C20" s="148" t="s">
        <v>176</v>
      </c>
      <c r="D20" s="161" t="s">
        <v>177</v>
      </c>
      <c r="E20" s="161">
        <v>1</v>
      </c>
      <c r="F20" s="155">
        <v>1</v>
      </c>
      <c r="G20" s="155">
        <v>1</v>
      </c>
      <c r="H20" s="155">
        <v>1</v>
      </c>
    </row>
    <row r="21" spans="1:8" ht="13.5" customHeight="1">
      <c r="A21" s="160">
        <v>1</v>
      </c>
      <c r="B21" s="161">
        <v>16</v>
      </c>
      <c r="C21" s="148" t="s">
        <v>178</v>
      </c>
      <c r="D21" s="161" t="s">
        <v>179</v>
      </c>
      <c r="E21" s="161">
        <v>1</v>
      </c>
      <c r="F21" s="155">
        <v>1</v>
      </c>
      <c r="G21" s="155">
        <v>1</v>
      </c>
      <c r="H21" s="155">
        <v>1</v>
      </c>
    </row>
    <row r="22" spans="1:8" ht="13.5" customHeight="1">
      <c r="A22" s="160">
        <v>1</v>
      </c>
      <c r="B22" s="161">
        <v>17</v>
      </c>
      <c r="C22" s="148" t="s">
        <v>180</v>
      </c>
      <c r="D22" s="161" t="s">
        <v>181</v>
      </c>
      <c r="E22" s="161">
        <v>1</v>
      </c>
      <c r="F22" s="155">
        <v>1</v>
      </c>
      <c r="G22" s="155">
        <v>1</v>
      </c>
      <c r="H22" s="155">
        <v>1</v>
      </c>
    </row>
    <row r="23" spans="1:8" ht="13.5" customHeight="1">
      <c r="A23" s="160">
        <v>1</v>
      </c>
      <c r="B23" s="161">
        <v>18</v>
      </c>
      <c r="C23" s="148" t="s">
        <v>217</v>
      </c>
      <c r="D23" s="161" t="s">
        <v>182</v>
      </c>
      <c r="E23" s="161">
        <v>1</v>
      </c>
      <c r="F23" s="155">
        <v>1</v>
      </c>
      <c r="G23" s="155">
        <v>1</v>
      </c>
      <c r="H23" s="155">
        <v>1</v>
      </c>
    </row>
    <row r="24" spans="1:8" ht="13.5" customHeight="1">
      <c r="A24" s="160">
        <v>1</v>
      </c>
      <c r="B24" s="161">
        <v>19</v>
      </c>
      <c r="C24" s="148" t="s">
        <v>183</v>
      </c>
      <c r="D24" s="161" t="s">
        <v>184</v>
      </c>
      <c r="E24" s="161">
        <v>1</v>
      </c>
      <c r="F24" s="155">
        <v>1</v>
      </c>
      <c r="G24" s="155">
        <v>1</v>
      </c>
      <c r="H24" s="155">
        <v>1</v>
      </c>
    </row>
    <row r="25" spans="1:8" ht="13.5" customHeight="1">
      <c r="A25" s="160"/>
      <c r="B25" s="155"/>
      <c r="C25" s="162"/>
      <c r="D25" s="155"/>
      <c r="E25" s="155"/>
      <c r="F25" s="155"/>
      <c r="G25" s="155"/>
      <c r="H25" s="155"/>
    </row>
    <row r="26" spans="1:8" ht="13.5" customHeight="1">
      <c r="A26" s="160"/>
      <c r="B26" s="155"/>
      <c r="C26" s="162"/>
      <c r="D26" s="155"/>
      <c r="E26" s="155"/>
      <c r="F26" s="155"/>
      <c r="G26" s="155"/>
      <c r="H26" s="155"/>
    </row>
  </sheetData>
  <mergeCells count="5">
    <mergeCell ref="E4:H4"/>
    <mergeCell ref="A4:A5"/>
    <mergeCell ref="B4:B5"/>
    <mergeCell ref="C4:C5"/>
    <mergeCell ref="D4:D5"/>
  </mergeCells>
  <phoneticPr fontId="2"/>
  <pageMargins left="0.75" right="0.75" top="1" bottom="1" header="0.51200000000000001" footer="0.51200000000000001"/>
  <pageSetup paperSize="9" orientation="portrait" verticalDpi="4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強度Sheet"/>
  <dimension ref="A1:Q163"/>
  <sheetViews>
    <sheetView view="pageBreakPreview" zoomScaleNormal="100" zoomScaleSheetLayoutView="100" workbookViewId="0">
      <pane ySplit="6" topLeftCell="A7" activePane="bottomLeft" state="frozen"/>
      <selection pane="bottomLeft" activeCell="G11" sqref="G11"/>
    </sheetView>
  </sheetViews>
  <sheetFormatPr defaultRowHeight="13.5" customHeight="1"/>
  <cols>
    <col min="1" max="1" width="7.125" style="24" customWidth="1"/>
    <col min="2" max="5" width="7.125" style="42" customWidth="1"/>
    <col min="6" max="7" width="9" style="76" customWidth="1"/>
    <col min="8" max="9" width="9" style="24" customWidth="1"/>
    <col min="10" max="10" width="7.125" style="42" customWidth="1"/>
    <col min="11" max="12" width="9" style="24" customWidth="1"/>
    <col min="13" max="15" width="9" style="24" hidden="1" customWidth="1"/>
    <col min="16" max="16" width="9" style="24" customWidth="1"/>
    <col min="17" max="16384" width="9" style="48"/>
  </cols>
  <sheetData>
    <row r="1" spans="1:16" s="19" customFormat="1" ht="13.5" customHeight="1">
      <c r="A1" s="18"/>
      <c r="B1" s="73"/>
      <c r="C1" s="73"/>
      <c r="D1" s="73"/>
      <c r="E1" s="73"/>
      <c r="F1" s="74"/>
      <c r="G1" s="74"/>
      <c r="H1" s="63"/>
      <c r="I1" s="18"/>
      <c r="J1" s="31"/>
      <c r="K1" s="18"/>
      <c r="L1" s="18"/>
      <c r="M1" s="18"/>
      <c r="N1" s="18"/>
      <c r="O1" s="18"/>
      <c r="P1" s="18"/>
    </row>
    <row r="2" spans="1:16" s="19" customFormat="1" ht="13.5" customHeight="1">
      <c r="A2" s="20" t="s">
        <v>120</v>
      </c>
      <c r="B2" s="31"/>
      <c r="C2" s="31"/>
      <c r="D2" s="31"/>
      <c r="E2" s="31"/>
      <c r="F2" s="74"/>
      <c r="G2" s="74"/>
      <c r="H2" s="18"/>
      <c r="I2" s="18"/>
      <c r="J2" s="31"/>
      <c r="K2" s="18"/>
      <c r="L2" s="18"/>
      <c r="M2" s="18"/>
      <c r="N2" s="18"/>
      <c r="O2" s="18"/>
      <c r="P2" s="18"/>
    </row>
    <row r="3" spans="1:16" s="19" customFormat="1" ht="13.5" customHeight="1">
      <c r="A3" s="21"/>
      <c r="B3" s="32"/>
      <c r="C3" s="32"/>
      <c r="D3" s="32"/>
      <c r="E3" s="32"/>
      <c r="F3" s="75"/>
      <c r="G3" s="75"/>
      <c r="H3" s="21"/>
      <c r="I3" s="21"/>
      <c r="J3" s="32"/>
      <c r="K3" s="21"/>
      <c r="L3" s="21"/>
      <c r="M3" s="21"/>
      <c r="N3" s="21"/>
      <c r="O3" s="21"/>
      <c r="P3" s="21"/>
    </row>
    <row r="4" spans="1:16" ht="13.5" customHeight="1">
      <c r="A4" s="211" t="s">
        <v>59</v>
      </c>
      <c r="B4" s="212" t="s">
        <v>69</v>
      </c>
      <c r="C4" s="212"/>
      <c r="D4" s="212"/>
      <c r="E4" s="212"/>
      <c r="F4" s="212"/>
      <c r="G4" s="212"/>
      <c r="H4" s="212"/>
      <c r="I4" s="212"/>
      <c r="J4" s="210" t="s">
        <v>70</v>
      </c>
      <c r="K4" s="210"/>
      <c r="L4" s="210"/>
      <c r="M4" s="210"/>
      <c r="N4" s="210"/>
      <c r="O4" s="210"/>
      <c r="P4" s="210"/>
    </row>
    <row r="5" spans="1:16" ht="13.5" customHeight="1">
      <c r="A5" s="211"/>
      <c r="B5" s="212" t="s">
        <v>67</v>
      </c>
      <c r="C5" s="212" t="s">
        <v>68</v>
      </c>
      <c r="D5" s="213" t="s">
        <v>77</v>
      </c>
      <c r="E5" s="212" t="s">
        <v>144</v>
      </c>
      <c r="F5" s="214" t="s">
        <v>141</v>
      </c>
      <c r="G5" s="214" t="s">
        <v>145</v>
      </c>
      <c r="H5" s="212" t="s">
        <v>146</v>
      </c>
      <c r="I5" s="212" t="s">
        <v>147</v>
      </c>
      <c r="J5" s="210" t="s">
        <v>37</v>
      </c>
      <c r="K5" s="210" t="s">
        <v>35</v>
      </c>
      <c r="L5" s="210"/>
      <c r="M5" s="210"/>
      <c r="N5" s="210" t="s">
        <v>36</v>
      </c>
      <c r="O5" s="210"/>
      <c r="P5" s="210"/>
    </row>
    <row r="6" spans="1:16" ht="13.5" customHeight="1">
      <c r="A6" s="211"/>
      <c r="B6" s="212"/>
      <c r="C6" s="212"/>
      <c r="D6" s="212"/>
      <c r="E6" s="212"/>
      <c r="F6" s="214"/>
      <c r="G6" s="214"/>
      <c r="H6" s="212"/>
      <c r="I6" s="212"/>
      <c r="J6" s="210"/>
      <c r="K6" s="121" t="s">
        <v>124</v>
      </c>
      <c r="L6" s="121" t="s">
        <v>125</v>
      </c>
      <c r="M6" s="121" t="s">
        <v>127</v>
      </c>
      <c r="N6" s="121" t="s">
        <v>124</v>
      </c>
      <c r="O6" s="121" t="s">
        <v>125</v>
      </c>
      <c r="P6" s="121" t="s">
        <v>127</v>
      </c>
    </row>
    <row r="7" spans="1:16" s="167" customFormat="1" ht="13.5" customHeight="1">
      <c r="A7" s="155">
        <v>1</v>
      </c>
      <c r="B7" s="162">
        <v>1</v>
      </c>
      <c r="C7" s="162">
        <v>-22</v>
      </c>
      <c r="D7" s="162" t="s">
        <v>218</v>
      </c>
      <c r="E7" s="162">
        <v>2</v>
      </c>
      <c r="F7" s="163" t="s">
        <v>186</v>
      </c>
      <c r="G7" s="163" t="s">
        <v>219</v>
      </c>
      <c r="H7" s="164">
        <v>568.75</v>
      </c>
      <c r="I7" s="164">
        <v>568.75</v>
      </c>
      <c r="J7" s="162"/>
      <c r="K7" s="165"/>
      <c r="L7" s="165"/>
      <c r="M7" s="155"/>
      <c r="N7" s="155"/>
      <c r="O7" s="155"/>
      <c r="P7" s="155"/>
    </row>
    <row r="8" spans="1:16" s="167" customFormat="1" ht="13.5" customHeight="1">
      <c r="A8" s="155">
        <v>1</v>
      </c>
      <c r="B8" s="162">
        <v>30</v>
      </c>
      <c r="C8" s="162">
        <v>36</v>
      </c>
      <c r="D8" s="162" t="s">
        <v>220</v>
      </c>
      <c r="E8" s="162">
        <v>2</v>
      </c>
      <c r="F8" s="166">
        <v>0.57499999999999996</v>
      </c>
      <c r="G8" s="163" t="s">
        <v>219</v>
      </c>
      <c r="H8" s="164">
        <v>264.5</v>
      </c>
      <c r="I8" s="164">
        <v>264.5</v>
      </c>
      <c r="J8" s="162"/>
      <c r="K8" s="165"/>
      <c r="L8" s="165"/>
      <c r="M8" s="155"/>
      <c r="N8" s="155"/>
      <c r="O8" s="155"/>
      <c r="P8" s="155"/>
    </row>
    <row r="9" spans="1:16" s="167" customFormat="1" ht="13.5" customHeight="1">
      <c r="A9" s="155">
        <v>1</v>
      </c>
      <c r="B9" s="162"/>
      <c r="C9" s="162"/>
      <c r="D9" s="162"/>
      <c r="E9" s="162"/>
      <c r="F9" s="163"/>
      <c r="G9" s="163"/>
      <c r="H9" s="164"/>
      <c r="I9" s="164"/>
      <c r="J9" s="162"/>
      <c r="K9" s="165"/>
      <c r="L9" s="165"/>
      <c r="M9" s="155"/>
      <c r="N9" s="155"/>
      <c r="O9" s="155"/>
      <c r="P9" s="155"/>
    </row>
    <row r="10" spans="1:16" s="167" customFormat="1" ht="13.5" customHeight="1">
      <c r="A10" s="155">
        <v>1</v>
      </c>
      <c r="B10" s="162">
        <v>1</v>
      </c>
      <c r="C10" s="162">
        <v>-22</v>
      </c>
      <c r="D10" s="162" t="s">
        <v>218</v>
      </c>
      <c r="E10" s="162">
        <v>1</v>
      </c>
      <c r="F10" s="160">
        <v>1.7129999999999974</v>
      </c>
      <c r="G10" s="160">
        <v>7.452</v>
      </c>
      <c r="H10" s="164">
        <v>9247.5</v>
      </c>
      <c r="I10" s="164">
        <v>5980.2</v>
      </c>
      <c r="J10" s="162"/>
      <c r="K10" s="165"/>
      <c r="L10" s="165"/>
      <c r="M10" s="155"/>
      <c r="N10" s="155"/>
      <c r="O10" s="155"/>
      <c r="P10" s="155"/>
    </row>
    <row r="11" spans="1:16" s="167" customFormat="1" ht="13.5" customHeight="1">
      <c r="A11" s="155">
        <v>1</v>
      </c>
      <c r="B11" s="162">
        <v>1</v>
      </c>
      <c r="C11" s="162">
        <v>-22</v>
      </c>
      <c r="D11" s="162" t="s">
        <v>218</v>
      </c>
      <c r="E11" s="162">
        <v>1</v>
      </c>
      <c r="F11" s="160">
        <v>-6.3730000000000002</v>
      </c>
      <c r="G11" s="160">
        <v>-6.4249999999999998</v>
      </c>
      <c r="H11" s="164">
        <v>4465.3999999999996</v>
      </c>
      <c r="I11" s="164">
        <v>3986.3</v>
      </c>
      <c r="J11" s="162"/>
      <c r="K11" s="165"/>
      <c r="L11" s="165"/>
      <c r="M11" s="155"/>
      <c r="N11" s="155"/>
      <c r="O11" s="155"/>
      <c r="P11" s="155"/>
    </row>
    <row r="12" spans="1:16" s="167" customFormat="1" ht="13.5" customHeight="1">
      <c r="A12" s="155">
        <v>1</v>
      </c>
      <c r="B12" s="162">
        <v>1</v>
      </c>
      <c r="C12" s="162">
        <v>-22</v>
      </c>
      <c r="D12" s="162" t="s">
        <v>218</v>
      </c>
      <c r="E12" s="162">
        <v>1</v>
      </c>
      <c r="F12" s="160">
        <v>-6.4249999999999998</v>
      </c>
      <c r="G12" s="160">
        <v>-6.3730000000000002</v>
      </c>
      <c r="H12" s="164">
        <v>4465.3999999999996</v>
      </c>
      <c r="I12" s="164">
        <v>5980.2</v>
      </c>
      <c r="J12" s="162"/>
      <c r="K12" s="165"/>
      <c r="L12" s="165"/>
      <c r="M12" s="155"/>
      <c r="N12" s="155"/>
      <c r="O12" s="155"/>
      <c r="P12" s="155"/>
    </row>
    <row r="13" spans="1:16" s="167" customFormat="1" ht="13.5" customHeight="1">
      <c r="A13" s="155">
        <v>1</v>
      </c>
      <c r="B13" s="162">
        <v>1</v>
      </c>
      <c r="C13" s="162">
        <v>-22</v>
      </c>
      <c r="D13" s="162" t="s">
        <v>218</v>
      </c>
      <c r="E13" s="162">
        <v>1</v>
      </c>
      <c r="F13" s="160">
        <v>-6.7389999999999999</v>
      </c>
      <c r="G13" s="160"/>
      <c r="H13" s="164">
        <v>9247.5</v>
      </c>
      <c r="I13" s="164"/>
      <c r="J13" s="162"/>
      <c r="K13" s="165"/>
      <c r="L13" s="165"/>
      <c r="M13" s="155"/>
      <c r="N13" s="155"/>
      <c r="O13" s="155"/>
      <c r="P13" s="155"/>
    </row>
    <row r="14" spans="1:16" s="167" customFormat="1" ht="13.5" customHeight="1">
      <c r="A14" s="155">
        <v>1</v>
      </c>
      <c r="B14" s="162"/>
      <c r="C14" s="162"/>
      <c r="D14" s="162"/>
      <c r="E14" s="162"/>
      <c r="F14" s="160"/>
      <c r="G14" s="160"/>
      <c r="H14" s="164"/>
      <c r="I14" s="164"/>
      <c r="J14" s="162"/>
      <c r="K14" s="165"/>
      <c r="L14" s="165"/>
      <c r="M14" s="155"/>
      <c r="N14" s="155"/>
      <c r="O14" s="155"/>
      <c r="P14" s="155"/>
    </row>
    <row r="15" spans="1:16" s="167" customFormat="1" ht="13.5" customHeight="1">
      <c r="A15" s="155">
        <v>1</v>
      </c>
      <c r="B15" s="162">
        <v>1</v>
      </c>
      <c r="C15" s="162">
        <v>-22</v>
      </c>
      <c r="D15" s="162" t="s">
        <v>218</v>
      </c>
      <c r="E15" s="162">
        <v>1</v>
      </c>
      <c r="F15" s="160">
        <v>3.1999999999999966</v>
      </c>
      <c r="G15" s="160">
        <v>-11.725</v>
      </c>
      <c r="H15" s="164">
        <v>2953.1</v>
      </c>
      <c r="I15" s="164">
        <v>1021.9</v>
      </c>
      <c r="J15" s="162"/>
      <c r="K15" s="165"/>
      <c r="L15" s="165"/>
      <c r="M15" s="155"/>
      <c r="N15" s="155"/>
      <c r="O15" s="155"/>
      <c r="P15" s="155"/>
    </row>
    <row r="16" spans="1:16" s="167" customFormat="1" ht="13.5" customHeight="1">
      <c r="A16" s="155">
        <v>1</v>
      </c>
      <c r="B16" s="162">
        <v>1</v>
      </c>
      <c r="C16" s="162">
        <v>-22</v>
      </c>
      <c r="D16" s="162" t="s">
        <v>218</v>
      </c>
      <c r="E16" s="162">
        <v>1</v>
      </c>
      <c r="F16" s="160">
        <v>-12.65</v>
      </c>
      <c r="G16" s="160">
        <v>-11.725</v>
      </c>
      <c r="H16" s="164">
        <v>1021.9</v>
      </c>
      <c r="I16" s="164">
        <v>2953.1</v>
      </c>
      <c r="J16" s="162"/>
      <c r="K16" s="165"/>
      <c r="L16" s="165"/>
      <c r="M16" s="155"/>
      <c r="N16" s="155"/>
      <c r="O16" s="155"/>
      <c r="P16" s="155"/>
    </row>
    <row r="17" spans="1:16" s="167" customFormat="1" ht="13.5" customHeight="1">
      <c r="A17" s="155"/>
      <c r="B17" s="162"/>
      <c r="C17" s="162"/>
      <c r="D17" s="162"/>
      <c r="E17" s="162"/>
      <c r="F17" s="160"/>
      <c r="G17" s="160"/>
      <c r="H17" s="164"/>
      <c r="I17" s="164"/>
      <c r="J17" s="162"/>
      <c r="K17" s="165"/>
      <c r="L17" s="165"/>
      <c r="M17" s="155"/>
      <c r="N17" s="155"/>
      <c r="O17" s="155"/>
      <c r="P17" s="155"/>
    </row>
    <row r="18" spans="1:16" s="167" customFormat="1" ht="13.5" customHeight="1">
      <c r="A18" s="155">
        <v>2</v>
      </c>
      <c r="B18" s="162">
        <v>1</v>
      </c>
      <c r="C18" s="162">
        <v>-22</v>
      </c>
      <c r="D18" s="162" t="s">
        <v>218</v>
      </c>
      <c r="E18" s="162">
        <v>1</v>
      </c>
      <c r="F18" s="160">
        <v>1.7129999999999974</v>
      </c>
      <c r="G18" s="160">
        <v>-6.7389999999999999</v>
      </c>
      <c r="H18" s="164">
        <v>8924.1</v>
      </c>
      <c r="I18" s="164">
        <v>6717.7</v>
      </c>
      <c r="J18" s="162"/>
      <c r="K18" s="165"/>
      <c r="L18" s="165"/>
      <c r="M18" s="155"/>
      <c r="N18" s="155"/>
      <c r="O18" s="155"/>
      <c r="P18" s="155"/>
    </row>
    <row r="19" spans="1:16" s="167" customFormat="1" ht="13.5" customHeight="1">
      <c r="A19" s="155">
        <v>2</v>
      </c>
      <c r="B19" s="162">
        <v>1</v>
      </c>
      <c r="C19" s="162">
        <v>-22</v>
      </c>
      <c r="D19" s="162" t="s">
        <v>218</v>
      </c>
      <c r="E19" s="162">
        <v>1</v>
      </c>
      <c r="F19" s="160">
        <v>-6.3730000000000002</v>
      </c>
      <c r="G19" s="160">
        <v>-6.4249999999999998</v>
      </c>
      <c r="H19" s="164">
        <v>6385</v>
      </c>
      <c r="I19" s="164">
        <v>6026</v>
      </c>
      <c r="J19" s="162"/>
      <c r="K19" s="165"/>
      <c r="L19" s="165"/>
      <c r="M19" s="155"/>
      <c r="N19" s="155"/>
      <c r="O19" s="155"/>
      <c r="P19" s="155"/>
    </row>
    <row r="20" spans="1:16" s="167" customFormat="1" ht="13.5" customHeight="1">
      <c r="A20" s="155">
        <v>2</v>
      </c>
      <c r="B20" s="162">
        <v>1</v>
      </c>
      <c r="C20" s="162">
        <v>-22</v>
      </c>
      <c r="D20" s="162" t="s">
        <v>218</v>
      </c>
      <c r="E20" s="162">
        <v>1</v>
      </c>
      <c r="F20" s="160">
        <v>-6.4249999999999998</v>
      </c>
      <c r="G20" s="160">
        <v>-6.3730000000000002</v>
      </c>
      <c r="H20" s="164">
        <v>6389.4</v>
      </c>
      <c r="I20" s="164">
        <v>6722.1</v>
      </c>
      <c r="J20" s="162"/>
      <c r="K20" s="165"/>
      <c r="L20" s="165"/>
      <c r="M20" s="155"/>
      <c r="N20" s="155"/>
      <c r="O20" s="155"/>
      <c r="P20" s="155"/>
    </row>
    <row r="21" spans="1:16" s="167" customFormat="1" ht="13.5" customHeight="1">
      <c r="A21" s="155">
        <v>2</v>
      </c>
      <c r="B21" s="162">
        <v>1</v>
      </c>
      <c r="C21" s="162">
        <v>-22</v>
      </c>
      <c r="D21" s="162" t="s">
        <v>218</v>
      </c>
      <c r="E21" s="162">
        <v>1</v>
      </c>
      <c r="F21" s="160">
        <v>-6.7389999999999999</v>
      </c>
      <c r="G21" s="160"/>
      <c r="H21" s="164">
        <v>8915.2999999999993</v>
      </c>
      <c r="I21" s="164"/>
      <c r="J21" s="162"/>
      <c r="K21" s="165"/>
      <c r="L21" s="165"/>
      <c r="M21" s="155"/>
      <c r="N21" s="155"/>
      <c r="O21" s="155"/>
      <c r="P21" s="155"/>
    </row>
    <row r="22" spans="1:16" s="167" customFormat="1" ht="13.5" customHeight="1">
      <c r="A22" s="155">
        <v>2</v>
      </c>
      <c r="B22" s="162"/>
      <c r="C22" s="162"/>
      <c r="D22" s="162"/>
      <c r="E22" s="162"/>
      <c r="F22" s="160"/>
      <c r="G22" s="160"/>
      <c r="H22" s="164"/>
      <c r="I22" s="164"/>
      <c r="J22" s="162"/>
      <c r="K22" s="165"/>
      <c r="L22" s="165"/>
      <c r="M22" s="155"/>
      <c r="N22" s="155"/>
      <c r="O22" s="155"/>
      <c r="P22" s="155"/>
    </row>
    <row r="23" spans="1:16" s="167" customFormat="1" ht="13.5" customHeight="1">
      <c r="A23" s="155">
        <v>2</v>
      </c>
      <c r="B23" s="162">
        <v>1</v>
      </c>
      <c r="C23" s="162">
        <v>-22</v>
      </c>
      <c r="D23" s="162" t="s">
        <v>218</v>
      </c>
      <c r="E23" s="162">
        <v>1</v>
      </c>
      <c r="F23" s="160">
        <v>3.1999999999999966</v>
      </c>
      <c r="G23" s="160">
        <v>-11.725</v>
      </c>
      <c r="H23" s="164">
        <v>1206.5</v>
      </c>
      <c r="I23" s="164">
        <v>4687.3</v>
      </c>
      <c r="J23" s="162"/>
      <c r="K23" s="165"/>
      <c r="L23" s="165"/>
      <c r="M23" s="155"/>
      <c r="N23" s="155"/>
      <c r="O23" s="155"/>
      <c r="P23" s="155"/>
    </row>
    <row r="24" spans="1:16" s="167" customFormat="1" ht="13.5" customHeight="1">
      <c r="A24" s="155">
        <v>2</v>
      </c>
      <c r="B24" s="162">
        <v>1</v>
      </c>
      <c r="C24" s="162">
        <v>-22</v>
      </c>
      <c r="D24" s="162" t="s">
        <v>218</v>
      </c>
      <c r="E24" s="162">
        <v>1</v>
      </c>
      <c r="F24" s="160">
        <v>-12.65</v>
      </c>
      <c r="G24" s="160">
        <v>-11.725</v>
      </c>
      <c r="H24" s="164">
        <v>4687.3</v>
      </c>
      <c r="I24" s="164">
        <v>1206.5</v>
      </c>
      <c r="J24" s="162"/>
      <c r="K24" s="165"/>
      <c r="L24" s="165"/>
      <c r="M24" s="155"/>
      <c r="N24" s="155"/>
      <c r="O24" s="155"/>
      <c r="P24" s="155"/>
    </row>
    <row r="25" spans="1:16" s="167" customFormat="1" ht="13.5" customHeight="1">
      <c r="A25" s="155"/>
      <c r="B25" s="162"/>
      <c r="C25" s="162"/>
      <c r="D25" s="162"/>
      <c r="E25" s="162"/>
      <c r="F25" s="166"/>
      <c r="G25" s="166"/>
      <c r="H25" s="164"/>
      <c r="I25" s="164"/>
      <c r="J25" s="162"/>
      <c r="K25" s="165"/>
      <c r="L25" s="165"/>
      <c r="M25" s="155"/>
      <c r="N25" s="155"/>
      <c r="O25" s="155"/>
      <c r="P25" s="155"/>
    </row>
    <row r="26" spans="1:16" s="167" customFormat="1" ht="13.5" customHeight="1">
      <c r="A26" s="155">
        <v>3</v>
      </c>
      <c r="B26" s="162">
        <v>1</v>
      </c>
      <c r="C26" s="162">
        <v>-22</v>
      </c>
      <c r="D26" s="162" t="s">
        <v>220</v>
      </c>
      <c r="E26" s="162">
        <v>9</v>
      </c>
      <c r="F26" s="166"/>
      <c r="G26" s="166"/>
      <c r="H26" s="164">
        <v>-15</v>
      </c>
      <c r="I26" s="164"/>
      <c r="J26" s="162"/>
      <c r="K26" s="165"/>
      <c r="L26" s="165"/>
      <c r="M26" s="155"/>
      <c r="N26" s="155"/>
      <c r="O26" s="155"/>
      <c r="P26" s="155"/>
    </row>
    <row r="27" spans="1:16" s="167" customFormat="1" ht="13.5" customHeight="1">
      <c r="A27" s="155">
        <v>3</v>
      </c>
      <c r="B27" s="162"/>
      <c r="C27" s="162"/>
      <c r="D27" s="162"/>
      <c r="E27" s="162"/>
      <c r="F27" s="166"/>
      <c r="G27" s="166"/>
      <c r="H27" s="164"/>
      <c r="I27" s="164"/>
      <c r="J27" s="162"/>
      <c r="K27" s="165"/>
      <c r="L27" s="165"/>
      <c r="M27" s="155"/>
      <c r="N27" s="155"/>
      <c r="O27" s="155"/>
      <c r="P27" s="155"/>
    </row>
    <row r="28" spans="1:16" s="167" customFormat="1" ht="13.5" customHeight="1">
      <c r="A28" s="155">
        <v>3</v>
      </c>
      <c r="B28" s="162">
        <v>1</v>
      </c>
      <c r="C28" s="162">
        <v>-22</v>
      </c>
      <c r="D28" s="162" t="s">
        <v>218</v>
      </c>
      <c r="E28" s="162">
        <v>1</v>
      </c>
      <c r="F28" s="160">
        <v>1.7129999999999974</v>
      </c>
      <c r="G28" s="160">
        <v>-6.7389999999999999</v>
      </c>
      <c r="H28" s="164">
        <v>-10</v>
      </c>
      <c r="I28" s="164">
        <v>18.8</v>
      </c>
      <c r="J28" s="162"/>
      <c r="K28" s="165"/>
      <c r="L28" s="165"/>
      <c r="M28" s="155"/>
      <c r="N28" s="155"/>
      <c r="O28" s="155"/>
      <c r="P28" s="155"/>
    </row>
    <row r="29" spans="1:16" s="167" customFormat="1" ht="13.5" customHeight="1">
      <c r="A29" s="155">
        <v>3</v>
      </c>
      <c r="B29" s="162">
        <v>1</v>
      </c>
      <c r="C29" s="162">
        <v>-22</v>
      </c>
      <c r="D29" s="162" t="s">
        <v>218</v>
      </c>
      <c r="E29" s="162">
        <v>1</v>
      </c>
      <c r="F29" s="160">
        <v>-6.3730000000000002</v>
      </c>
      <c r="G29" s="160">
        <v>-6.4249999999999998</v>
      </c>
      <c r="H29" s="164">
        <v>16.899999999999999</v>
      </c>
      <c r="I29" s="164">
        <v>19.8</v>
      </c>
      <c r="J29" s="162"/>
      <c r="K29" s="165"/>
      <c r="L29" s="165"/>
      <c r="M29" s="155"/>
      <c r="N29" s="155"/>
      <c r="O29" s="155"/>
      <c r="P29" s="155"/>
    </row>
    <row r="30" spans="1:16" s="167" customFormat="1" ht="13.5" customHeight="1">
      <c r="A30" s="155">
        <v>3</v>
      </c>
      <c r="B30" s="162">
        <v>1</v>
      </c>
      <c r="C30" s="162">
        <v>-22</v>
      </c>
      <c r="D30" s="162" t="s">
        <v>218</v>
      </c>
      <c r="E30" s="162">
        <v>1</v>
      </c>
      <c r="F30" s="160">
        <v>-6.4249999999999998</v>
      </c>
      <c r="G30" s="160">
        <v>-6.3730000000000002</v>
      </c>
      <c r="H30" s="164">
        <v>16.7</v>
      </c>
      <c r="I30" s="164">
        <v>18.5</v>
      </c>
      <c r="J30" s="162"/>
      <c r="K30" s="165"/>
      <c r="L30" s="165"/>
      <c r="M30" s="155"/>
      <c r="N30" s="155"/>
      <c r="O30" s="155"/>
      <c r="P30" s="155"/>
    </row>
    <row r="31" spans="1:16" s="167" customFormat="1" ht="13.5" customHeight="1">
      <c r="A31" s="155">
        <v>3</v>
      </c>
      <c r="B31" s="162">
        <v>1</v>
      </c>
      <c r="C31" s="162">
        <v>-22</v>
      </c>
      <c r="D31" s="162" t="s">
        <v>218</v>
      </c>
      <c r="E31" s="162">
        <v>1</v>
      </c>
      <c r="F31" s="160">
        <v>-6.7389999999999999</v>
      </c>
      <c r="G31" s="160"/>
      <c r="H31" s="164">
        <v>-9.4</v>
      </c>
      <c r="I31" s="164"/>
      <c r="J31" s="162"/>
      <c r="K31" s="165"/>
      <c r="L31" s="165"/>
      <c r="M31" s="155"/>
      <c r="N31" s="155"/>
      <c r="O31" s="155"/>
      <c r="P31" s="155"/>
    </row>
    <row r="32" spans="1:16" s="167" customFormat="1" ht="14.25" customHeight="1">
      <c r="A32" s="155">
        <v>3</v>
      </c>
      <c r="B32" s="162"/>
      <c r="C32" s="162"/>
      <c r="D32" s="162"/>
      <c r="E32" s="162"/>
      <c r="F32" s="160"/>
      <c r="G32" s="160"/>
      <c r="H32" s="164"/>
      <c r="I32" s="164"/>
      <c r="J32" s="162"/>
      <c r="K32" s="165"/>
      <c r="L32" s="165"/>
      <c r="M32" s="155"/>
      <c r="N32" s="155"/>
      <c r="O32" s="155"/>
      <c r="P32" s="155"/>
    </row>
    <row r="33" spans="1:16" s="167" customFormat="1" ht="14.25" customHeight="1">
      <c r="A33" s="155">
        <v>3</v>
      </c>
      <c r="B33" s="162">
        <v>1</v>
      </c>
      <c r="C33" s="162">
        <v>-22</v>
      </c>
      <c r="D33" s="162" t="s">
        <v>185</v>
      </c>
      <c r="E33" s="162">
        <v>1</v>
      </c>
      <c r="F33" s="160">
        <v>3.1999999999999966</v>
      </c>
      <c r="G33" s="160">
        <v>-11.725</v>
      </c>
      <c r="H33" s="164">
        <v>-105.9</v>
      </c>
      <c r="I33" s="164">
        <v>-65.2</v>
      </c>
      <c r="J33" s="162"/>
      <c r="K33" s="165"/>
      <c r="L33" s="165"/>
      <c r="M33" s="155"/>
      <c r="N33" s="155"/>
      <c r="O33" s="155"/>
      <c r="P33" s="155"/>
    </row>
    <row r="34" spans="1:16" s="167" customFormat="1" ht="14.25" customHeight="1">
      <c r="A34" s="155">
        <v>3</v>
      </c>
      <c r="B34" s="162">
        <v>1</v>
      </c>
      <c r="C34" s="162">
        <v>-22</v>
      </c>
      <c r="D34" s="162" t="s">
        <v>185</v>
      </c>
      <c r="E34" s="162">
        <v>1</v>
      </c>
      <c r="F34" s="160">
        <v>-12.65</v>
      </c>
      <c r="G34" s="160">
        <v>-11.725</v>
      </c>
      <c r="H34" s="164">
        <v>-65.2</v>
      </c>
      <c r="I34" s="164">
        <v>-105.9</v>
      </c>
      <c r="J34" s="162"/>
      <c r="K34" s="165"/>
      <c r="L34" s="165"/>
      <c r="M34" s="155"/>
      <c r="N34" s="155"/>
      <c r="O34" s="155"/>
      <c r="P34" s="155"/>
    </row>
    <row r="35" spans="1:16" s="167" customFormat="1" ht="14.25" customHeight="1">
      <c r="A35" s="155"/>
      <c r="B35" s="162"/>
      <c r="C35" s="162"/>
      <c r="D35" s="162"/>
      <c r="E35" s="162"/>
      <c r="F35" s="163"/>
      <c r="G35" s="163"/>
      <c r="H35" s="164"/>
      <c r="I35" s="164"/>
      <c r="J35" s="162"/>
      <c r="K35" s="165"/>
      <c r="L35" s="165"/>
      <c r="M35" s="155"/>
      <c r="N35" s="155"/>
      <c r="O35" s="155"/>
      <c r="P35" s="155"/>
    </row>
    <row r="36" spans="1:16" s="167" customFormat="1" ht="13.5" customHeight="1">
      <c r="A36" s="155"/>
      <c r="B36" s="162"/>
      <c r="C36" s="162"/>
      <c r="D36" s="162"/>
      <c r="E36" s="162"/>
      <c r="F36" s="163"/>
      <c r="G36" s="163"/>
      <c r="H36" s="164"/>
      <c r="I36" s="164"/>
      <c r="J36" s="162"/>
      <c r="K36" s="165"/>
      <c r="L36" s="165"/>
      <c r="M36" s="155"/>
      <c r="N36" s="155"/>
      <c r="O36" s="155"/>
      <c r="P36" s="155"/>
    </row>
    <row r="37" spans="1:16" s="167" customFormat="1" ht="13.5" customHeight="1">
      <c r="A37" s="155">
        <v>4</v>
      </c>
      <c r="B37" s="162">
        <v>1</v>
      </c>
      <c r="C37" s="162">
        <v>-22</v>
      </c>
      <c r="D37" s="162" t="s">
        <v>187</v>
      </c>
      <c r="E37" s="162">
        <v>9</v>
      </c>
      <c r="F37" s="166"/>
      <c r="G37" s="166"/>
      <c r="H37" s="164">
        <v>10</v>
      </c>
      <c r="I37" s="164"/>
      <c r="J37" s="162"/>
      <c r="K37" s="165"/>
      <c r="L37" s="165"/>
      <c r="M37" s="155"/>
      <c r="N37" s="155"/>
      <c r="O37" s="155"/>
      <c r="P37" s="155"/>
    </row>
    <row r="38" spans="1:16" s="167" customFormat="1" ht="13.5" customHeight="1">
      <c r="A38" s="155">
        <v>4</v>
      </c>
      <c r="B38" s="162"/>
      <c r="C38" s="162"/>
      <c r="D38" s="162"/>
      <c r="E38" s="162"/>
      <c r="F38" s="166"/>
      <c r="G38" s="166"/>
      <c r="H38" s="164"/>
      <c r="I38" s="164"/>
      <c r="J38" s="162"/>
      <c r="K38" s="165"/>
      <c r="L38" s="165"/>
      <c r="M38" s="155"/>
      <c r="N38" s="155"/>
      <c r="O38" s="155"/>
      <c r="P38" s="155"/>
    </row>
    <row r="39" spans="1:16" s="167" customFormat="1" ht="13.5" customHeight="1">
      <c r="A39" s="155">
        <v>4</v>
      </c>
      <c r="B39" s="162">
        <v>1</v>
      </c>
      <c r="C39" s="162">
        <v>-22</v>
      </c>
      <c r="D39" s="162" t="s">
        <v>218</v>
      </c>
      <c r="E39" s="162">
        <v>1</v>
      </c>
      <c r="F39" s="160">
        <v>1.7129999999999974</v>
      </c>
      <c r="G39" s="160">
        <v>-6.7389999999999999</v>
      </c>
      <c r="H39" s="164">
        <v>7.3</v>
      </c>
      <c r="I39" s="164">
        <v>-12.1</v>
      </c>
      <c r="J39" s="162"/>
      <c r="K39" s="165"/>
      <c r="L39" s="165"/>
      <c r="M39" s="155"/>
      <c r="N39" s="155"/>
      <c r="O39" s="155"/>
      <c r="P39" s="155"/>
    </row>
    <row r="40" spans="1:16" s="167" customFormat="1" ht="13.5" customHeight="1">
      <c r="A40" s="155">
        <v>4</v>
      </c>
      <c r="B40" s="162">
        <v>1</v>
      </c>
      <c r="C40" s="162">
        <v>-22</v>
      </c>
      <c r="D40" s="162" t="s">
        <v>185</v>
      </c>
      <c r="E40" s="162">
        <v>1</v>
      </c>
      <c r="F40" s="160">
        <v>-6.3730000000000002</v>
      </c>
      <c r="G40" s="160">
        <v>-6.4249999999999998</v>
      </c>
      <c r="H40" s="164">
        <v>-10.9</v>
      </c>
      <c r="I40" s="164">
        <v>-12.9</v>
      </c>
      <c r="J40" s="162"/>
      <c r="K40" s="165"/>
      <c r="L40" s="165"/>
      <c r="M40" s="155"/>
      <c r="N40" s="155"/>
      <c r="O40" s="155"/>
      <c r="P40" s="155"/>
    </row>
    <row r="41" spans="1:16" s="167" customFormat="1" ht="13.5" customHeight="1">
      <c r="A41" s="155">
        <v>4</v>
      </c>
      <c r="B41" s="162">
        <v>1</v>
      </c>
      <c r="C41" s="162">
        <v>-22</v>
      </c>
      <c r="D41" s="162" t="s">
        <v>218</v>
      </c>
      <c r="E41" s="162">
        <v>1</v>
      </c>
      <c r="F41" s="160">
        <v>-6.4249999999999998</v>
      </c>
      <c r="G41" s="160">
        <v>-6.3730000000000002</v>
      </c>
      <c r="H41" s="164">
        <v>-10.8</v>
      </c>
      <c r="I41" s="164">
        <v>-12</v>
      </c>
      <c r="J41" s="162"/>
      <c r="K41" s="165"/>
      <c r="L41" s="165"/>
      <c r="M41" s="155"/>
      <c r="N41" s="155"/>
      <c r="O41" s="155"/>
      <c r="P41" s="155"/>
    </row>
    <row r="42" spans="1:16" s="167" customFormat="1" ht="13.5" customHeight="1">
      <c r="A42" s="155">
        <v>4</v>
      </c>
      <c r="B42" s="162">
        <v>1</v>
      </c>
      <c r="C42" s="162">
        <v>-22</v>
      </c>
      <c r="D42" s="162" t="s">
        <v>185</v>
      </c>
      <c r="E42" s="162">
        <v>1</v>
      </c>
      <c r="F42" s="160">
        <v>-6.7389999999999999</v>
      </c>
      <c r="G42" s="160"/>
      <c r="H42" s="164">
        <v>6.9</v>
      </c>
      <c r="I42" s="164"/>
      <c r="J42" s="162"/>
      <c r="K42" s="165"/>
      <c r="L42" s="165"/>
      <c r="M42" s="155"/>
      <c r="N42" s="155"/>
      <c r="O42" s="155"/>
      <c r="P42" s="155"/>
    </row>
    <row r="43" spans="1:16" s="167" customFormat="1" ht="13.5" customHeight="1">
      <c r="A43" s="155">
        <v>4</v>
      </c>
      <c r="B43" s="162"/>
      <c r="C43" s="162"/>
      <c r="D43" s="162"/>
      <c r="E43" s="162"/>
      <c r="F43" s="160"/>
      <c r="G43" s="160"/>
      <c r="H43" s="164"/>
      <c r="I43" s="164"/>
      <c r="J43" s="162"/>
      <c r="K43" s="165"/>
      <c r="L43" s="165"/>
      <c r="M43" s="155"/>
      <c r="N43" s="155"/>
      <c r="O43" s="155"/>
      <c r="P43" s="155"/>
    </row>
    <row r="44" spans="1:16" s="167" customFormat="1" ht="13.5" customHeight="1">
      <c r="A44" s="155">
        <v>4</v>
      </c>
      <c r="B44" s="162">
        <v>1</v>
      </c>
      <c r="C44" s="162">
        <v>-22</v>
      </c>
      <c r="D44" s="162" t="s">
        <v>218</v>
      </c>
      <c r="E44" s="162">
        <v>1</v>
      </c>
      <c r="F44" s="160">
        <v>3.1999999999999966</v>
      </c>
      <c r="G44" s="160">
        <v>-11.725</v>
      </c>
      <c r="H44" s="164">
        <v>70.599999999999994</v>
      </c>
      <c r="I44" s="164">
        <v>43.5</v>
      </c>
      <c r="J44" s="162"/>
      <c r="K44" s="165"/>
      <c r="L44" s="165"/>
      <c r="M44" s="155"/>
      <c r="N44" s="155"/>
      <c r="O44" s="155"/>
      <c r="P44" s="155"/>
    </row>
    <row r="45" spans="1:16" s="167" customFormat="1" ht="13.5" customHeight="1">
      <c r="A45" s="155">
        <v>4</v>
      </c>
      <c r="B45" s="162">
        <v>1</v>
      </c>
      <c r="C45" s="162">
        <v>-22</v>
      </c>
      <c r="D45" s="162" t="s">
        <v>218</v>
      </c>
      <c r="E45" s="162">
        <v>1</v>
      </c>
      <c r="F45" s="160">
        <v>-12.65</v>
      </c>
      <c r="G45" s="160">
        <v>-11.725</v>
      </c>
      <c r="H45" s="164">
        <v>43.5</v>
      </c>
      <c r="I45" s="164">
        <v>70.599999999999994</v>
      </c>
      <c r="J45" s="162"/>
      <c r="K45" s="165"/>
      <c r="L45" s="165"/>
      <c r="M45" s="155"/>
      <c r="N45" s="155"/>
      <c r="O45" s="155"/>
      <c r="P45" s="155"/>
    </row>
    <row r="46" spans="1:16" s="167" customFormat="1" ht="13.5" customHeight="1">
      <c r="A46" s="155"/>
      <c r="B46" s="162"/>
      <c r="C46" s="162"/>
      <c r="D46" s="162"/>
      <c r="E46" s="162"/>
      <c r="F46" s="163"/>
      <c r="G46" s="163"/>
      <c r="H46" s="164"/>
      <c r="I46" s="164"/>
      <c r="J46" s="162"/>
      <c r="K46" s="165"/>
      <c r="L46" s="165"/>
      <c r="M46" s="155"/>
      <c r="N46" s="155"/>
      <c r="O46" s="155"/>
      <c r="P46" s="155"/>
    </row>
    <row r="47" spans="1:16" s="167" customFormat="1" ht="13.5" customHeight="1">
      <c r="A47" s="155">
        <v>5</v>
      </c>
      <c r="B47" s="162">
        <v>1</v>
      </c>
      <c r="C47" s="162">
        <v>-22</v>
      </c>
      <c r="D47" s="162" t="s">
        <v>218</v>
      </c>
      <c r="E47" s="162">
        <v>1</v>
      </c>
      <c r="F47" s="160">
        <v>1.7129999999999974</v>
      </c>
      <c r="G47" s="160">
        <v>-6.7389999999999999</v>
      </c>
      <c r="H47" s="164">
        <v>116.7</v>
      </c>
      <c r="I47" s="164">
        <v>82.3</v>
      </c>
      <c r="J47" s="162"/>
      <c r="K47" s="165"/>
      <c r="L47" s="165"/>
      <c r="M47" s="155"/>
      <c r="N47" s="155"/>
      <c r="O47" s="155"/>
      <c r="P47" s="155"/>
    </row>
    <row r="48" spans="1:16" s="167" customFormat="1" ht="13.5" customHeight="1">
      <c r="A48" s="155">
        <v>5</v>
      </c>
      <c r="B48" s="162">
        <v>1</v>
      </c>
      <c r="C48" s="162">
        <v>-22</v>
      </c>
      <c r="D48" s="162" t="s">
        <v>185</v>
      </c>
      <c r="E48" s="162">
        <v>1</v>
      </c>
      <c r="F48" s="160">
        <v>-6.3730000000000002</v>
      </c>
      <c r="G48" s="160">
        <v>-6.4249999999999998</v>
      </c>
      <c r="H48" s="164">
        <v>76.2</v>
      </c>
      <c r="I48" s="164">
        <v>70.3</v>
      </c>
      <c r="J48" s="162"/>
      <c r="K48" s="165"/>
      <c r="L48" s="165"/>
      <c r="M48" s="155"/>
      <c r="N48" s="155"/>
      <c r="O48" s="155"/>
      <c r="P48" s="155"/>
    </row>
    <row r="49" spans="1:16" s="167" customFormat="1" ht="13.5" customHeight="1">
      <c r="A49" s="155">
        <v>5</v>
      </c>
      <c r="B49" s="162">
        <v>1</v>
      </c>
      <c r="C49" s="162">
        <v>-22</v>
      </c>
      <c r="D49" s="162" t="s">
        <v>185</v>
      </c>
      <c r="E49" s="162">
        <v>1</v>
      </c>
      <c r="F49" s="160">
        <v>-6.4249999999999998</v>
      </c>
      <c r="G49" s="160">
        <v>-6.3730000000000002</v>
      </c>
      <c r="H49" s="164">
        <v>76.2</v>
      </c>
      <c r="I49" s="164">
        <v>82.3</v>
      </c>
      <c r="J49" s="162"/>
      <c r="K49" s="165"/>
      <c r="L49" s="165"/>
      <c r="M49" s="155"/>
      <c r="N49" s="155"/>
      <c r="O49" s="155"/>
      <c r="P49" s="155"/>
    </row>
    <row r="50" spans="1:16" s="167" customFormat="1" ht="13.5" customHeight="1">
      <c r="A50" s="155">
        <v>5</v>
      </c>
      <c r="B50" s="162">
        <v>1</v>
      </c>
      <c r="C50" s="162">
        <v>-22</v>
      </c>
      <c r="D50" s="162" t="s">
        <v>218</v>
      </c>
      <c r="E50" s="162">
        <v>1</v>
      </c>
      <c r="F50" s="160">
        <v>-6.7389999999999999</v>
      </c>
      <c r="G50" s="160"/>
      <c r="H50" s="164">
        <v>116.6</v>
      </c>
      <c r="I50" s="164"/>
      <c r="J50" s="162"/>
      <c r="K50" s="165"/>
      <c r="L50" s="165"/>
      <c r="M50" s="155"/>
      <c r="N50" s="155"/>
      <c r="O50" s="155"/>
      <c r="P50" s="155"/>
    </row>
    <row r="51" spans="1:16" s="167" customFormat="1" ht="13.5" customHeight="1">
      <c r="A51" s="155">
        <v>5</v>
      </c>
      <c r="B51" s="162"/>
      <c r="C51" s="162"/>
      <c r="D51" s="162"/>
      <c r="E51" s="162"/>
      <c r="F51" s="160"/>
      <c r="G51" s="160"/>
      <c r="H51" s="164"/>
      <c r="I51" s="164"/>
      <c r="J51" s="162"/>
      <c r="K51" s="165"/>
      <c r="L51" s="165"/>
      <c r="M51" s="155"/>
      <c r="N51" s="155"/>
      <c r="O51" s="155"/>
      <c r="P51" s="155"/>
    </row>
    <row r="52" spans="1:16" s="167" customFormat="1" ht="13.5" customHeight="1">
      <c r="A52" s="155">
        <v>5</v>
      </c>
      <c r="B52" s="162">
        <v>1</v>
      </c>
      <c r="C52" s="162">
        <v>-22</v>
      </c>
      <c r="D52" s="162" t="s">
        <v>218</v>
      </c>
      <c r="E52" s="162">
        <v>1</v>
      </c>
      <c r="F52" s="160">
        <v>3.1999999999999966</v>
      </c>
      <c r="G52" s="160">
        <v>-36.1</v>
      </c>
      <c r="H52" s="164">
        <v>36.9</v>
      </c>
      <c r="I52" s="164">
        <v>36.9</v>
      </c>
      <c r="J52" s="162"/>
      <c r="K52" s="165"/>
      <c r="L52" s="165"/>
      <c r="M52" s="155"/>
      <c r="N52" s="155"/>
      <c r="O52" s="155"/>
      <c r="P52" s="155"/>
    </row>
    <row r="53" spans="1:16" s="167" customFormat="1" ht="13.5" customHeight="1">
      <c r="A53" s="155"/>
      <c r="B53" s="162"/>
      <c r="C53" s="162"/>
      <c r="D53" s="162"/>
      <c r="E53" s="162"/>
      <c r="F53" s="160"/>
      <c r="G53" s="160"/>
      <c r="H53" s="164"/>
      <c r="I53" s="164"/>
      <c r="J53" s="162"/>
      <c r="K53" s="165"/>
      <c r="L53" s="165"/>
      <c r="M53" s="155"/>
      <c r="N53" s="155"/>
      <c r="O53" s="155"/>
      <c r="P53" s="155"/>
    </row>
    <row r="54" spans="1:16" s="167" customFormat="1" ht="13.5" customHeight="1">
      <c r="A54" s="155">
        <v>6</v>
      </c>
      <c r="B54" s="162">
        <v>1</v>
      </c>
      <c r="C54" s="162">
        <v>-22</v>
      </c>
      <c r="D54" s="162" t="s">
        <v>218</v>
      </c>
      <c r="E54" s="162">
        <v>1</v>
      </c>
      <c r="F54" s="160">
        <v>1.7129999999999974</v>
      </c>
      <c r="G54" s="160">
        <v>-6.7389999999999999</v>
      </c>
      <c r="H54" s="164">
        <v>306.89999999999998</v>
      </c>
      <c r="I54" s="164">
        <v>216.5</v>
      </c>
      <c r="J54" s="162"/>
      <c r="K54" s="165"/>
      <c r="L54" s="165"/>
      <c r="M54" s="155"/>
      <c r="N54" s="155"/>
      <c r="O54" s="155"/>
      <c r="P54" s="155"/>
    </row>
    <row r="55" spans="1:16" s="167" customFormat="1" ht="13.5" customHeight="1">
      <c r="A55" s="155">
        <v>6</v>
      </c>
      <c r="B55" s="162">
        <v>1</v>
      </c>
      <c r="C55" s="162">
        <v>-22</v>
      </c>
      <c r="D55" s="162" t="s">
        <v>185</v>
      </c>
      <c r="E55" s="162">
        <v>1</v>
      </c>
      <c r="F55" s="160">
        <v>-6.3730000000000002</v>
      </c>
      <c r="G55" s="160">
        <v>-6.4249999999999998</v>
      </c>
      <c r="H55" s="164">
        <v>200.3</v>
      </c>
      <c r="I55" s="164">
        <v>185</v>
      </c>
      <c r="J55" s="162"/>
      <c r="K55" s="165"/>
      <c r="L55" s="165"/>
      <c r="M55" s="155"/>
      <c r="N55" s="155"/>
      <c r="O55" s="155"/>
      <c r="P55" s="155"/>
    </row>
    <row r="56" spans="1:16" s="167" customFormat="1" ht="13.5" customHeight="1">
      <c r="A56" s="155">
        <v>6</v>
      </c>
      <c r="B56" s="162">
        <v>1</v>
      </c>
      <c r="C56" s="162">
        <v>-22</v>
      </c>
      <c r="D56" s="162" t="s">
        <v>218</v>
      </c>
      <c r="E56" s="162">
        <v>1</v>
      </c>
      <c r="F56" s="160">
        <v>-6.4249999999999998</v>
      </c>
      <c r="G56" s="160">
        <v>-6.3730000000000002</v>
      </c>
      <c r="H56" s="164">
        <v>200.5</v>
      </c>
      <c r="I56" s="164">
        <v>216.5</v>
      </c>
      <c r="J56" s="162"/>
      <c r="K56" s="165"/>
      <c r="L56" s="165"/>
      <c r="M56" s="155"/>
      <c r="N56" s="155"/>
      <c r="O56" s="155"/>
      <c r="P56" s="155"/>
    </row>
    <row r="57" spans="1:16" s="167" customFormat="1" ht="13.5" customHeight="1">
      <c r="A57" s="155">
        <v>6</v>
      </c>
      <c r="B57" s="162">
        <v>1</v>
      </c>
      <c r="C57" s="162">
        <v>-22</v>
      </c>
      <c r="D57" s="162" t="s">
        <v>218</v>
      </c>
      <c r="E57" s="162">
        <v>1</v>
      </c>
      <c r="F57" s="160">
        <v>-6.7389999999999999</v>
      </c>
      <c r="G57" s="160"/>
      <c r="H57" s="164">
        <v>306.8</v>
      </c>
      <c r="I57" s="164"/>
      <c r="J57" s="162"/>
      <c r="K57" s="165"/>
      <c r="L57" s="165"/>
      <c r="M57" s="155"/>
      <c r="N57" s="155"/>
      <c r="O57" s="155"/>
      <c r="P57" s="155"/>
    </row>
    <row r="58" spans="1:16" s="167" customFormat="1" ht="13.5" customHeight="1">
      <c r="A58" s="155">
        <v>6</v>
      </c>
      <c r="B58" s="162"/>
      <c r="C58" s="162"/>
      <c r="D58" s="162"/>
      <c r="E58" s="162"/>
      <c r="F58" s="160"/>
      <c r="G58" s="160"/>
      <c r="H58" s="164"/>
      <c r="I58" s="164"/>
      <c r="J58" s="162"/>
      <c r="K58" s="165"/>
      <c r="L58" s="165"/>
      <c r="M58" s="155"/>
      <c r="N58" s="155"/>
      <c r="O58" s="155"/>
      <c r="P58" s="155"/>
    </row>
    <row r="59" spans="1:16" s="167" customFormat="1" ht="13.5" customHeight="1">
      <c r="A59" s="155">
        <v>6</v>
      </c>
      <c r="B59" s="162">
        <v>1</v>
      </c>
      <c r="C59" s="162">
        <v>-22</v>
      </c>
      <c r="D59" s="162" t="s">
        <v>218</v>
      </c>
      <c r="E59" s="162">
        <v>1</v>
      </c>
      <c r="F59" s="160">
        <v>3.1999999999999966</v>
      </c>
      <c r="G59" s="160">
        <v>-36.1</v>
      </c>
      <c r="H59" s="164">
        <v>102.6</v>
      </c>
      <c r="I59" s="164">
        <v>102.6</v>
      </c>
      <c r="J59" s="162"/>
      <c r="K59" s="165"/>
      <c r="L59" s="165"/>
      <c r="M59" s="155"/>
      <c r="N59" s="155"/>
      <c r="O59" s="155"/>
      <c r="P59" s="155"/>
    </row>
    <row r="60" spans="1:16" s="167" customFormat="1" ht="13.5" customHeight="1">
      <c r="A60" s="155"/>
      <c r="B60" s="162"/>
      <c r="C60" s="162"/>
      <c r="D60" s="162"/>
      <c r="E60" s="162"/>
      <c r="F60" s="163"/>
      <c r="G60" s="163"/>
      <c r="H60" s="164"/>
      <c r="I60" s="164"/>
      <c r="J60" s="162"/>
      <c r="K60" s="165"/>
      <c r="L60" s="165"/>
      <c r="M60" s="155"/>
      <c r="N60" s="155"/>
      <c r="O60" s="155"/>
      <c r="P60" s="155"/>
    </row>
    <row r="61" spans="1:16" s="167" customFormat="1" ht="13.5" customHeight="1">
      <c r="A61" s="155">
        <v>7</v>
      </c>
      <c r="B61" s="162">
        <v>1</v>
      </c>
      <c r="C61" s="162">
        <v>-22</v>
      </c>
      <c r="D61" s="162" t="s">
        <v>185</v>
      </c>
      <c r="E61" s="162">
        <v>1</v>
      </c>
      <c r="F61" s="173">
        <v>1.7129999999999974</v>
      </c>
      <c r="G61" s="173">
        <v>-6.7389999999999999</v>
      </c>
      <c r="H61" s="164">
        <v>577.70000000000005</v>
      </c>
      <c r="I61" s="164">
        <v>407.5</v>
      </c>
      <c r="J61" s="162"/>
      <c r="K61" s="165"/>
      <c r="L61" s="165"/>
      <c r="M61" s="155"/>
      <c r="N61" s="155"/>
      <c r="O61" s="155"/>
      <c r="P61" s="155"/>
    </row>
    <row r="62" spans="1:16" s="167" customFormat="1" ht="13.5" customHeight="1">
      <c r="A62" s="155">
        <v>7</v>
      </c>
      <c r="B62" s="162">
        <v>1</v>
      </c>
      <c r="C62" s="162">
        <v>-22</v>
      </c>
      <c r="D62" s="162" t="s">
        <v>185</v>
      </c>
      <c r="E62" s="162">
        <v>1</v>
      </c>
      <c r="F62" s="173">
        <v>-6.3730000000000002</v>
      </c>
      <c r="G62" s="173">
        <v>-6.4249999999999998</v>
      </c>
      <c r="H62" s="164">
        <v>377.1</v>
      </c>
      <c r="I62" s="164">
        <v>248.2</v>
      </c>
      <c r="J62" s="162"/>
      <c r="K62" s="165"/>
      <c r="L62" s="165"/>
      <c r="M62" s="155"/>
      <c r="N62" s="155"/>
      <c r="O62" s="155"/>
      <c r="P62" s="155"/>
    </row>
    <row r="63" spans="1:16" s="167" customFormat="1" ht="13.5" customHeight="1">
      <c r="A63" s="155">
        <v>7</v>
      </c>
      <c r="B63" s="162">
        <v>1</v>
      </c>
      <c r="C63" s="162">
        <v>-22</v>
      </c>
      <c r="D63" s="162" t="s">
        <v>218</v>
      </c>
      <c r="E63" s="162">
        <v>1</v>
      </c>
      <c r="F63" s="173">
        <v>-6.4249999999999998</v>
      </c>
      <c r="G63" s="173">
        <v>-6.3730000000000002</v>
      </c>
      <c r="H63" s="164">
        <v>377.4</v>
      </c>
      <c r="I63" s="164">
        <v>407.5</v>
      </c>
      <c r="J63" s="162"/>
      <c r="K63" s="165"/>
      <c r="L63" s="165"/>
      <c r="M63" s="155"/>
      <c r="N63" s="155"/>
      <c r="O63" s="155"/>
      <c r="P63" s="155"/>
    </row>
    <row r="64" spans="1:16" s="167" customFormat="1" ht="13.5" customHeight="1">
      <c r="A64" s="155">
        <v>7</v>
      </c>
      <c r="B64" s="162">
        <v>1</v>
      </c>
      <c r="C64" s="162">
        <v>-22</v>
      </c>
      <c r="D64" s="162" t="s">
        <v>218</v>
      </c>
      <c r="E64" s="162">
        <v>1</v>
      </c>
      <c r="F64" s="173">
        <v>-6.7389999999999999</v>
      </c>
      <c r="G64" s="173"/>
      <c r="H64" s="164">
        <v>577.4</v>
      </c>
      <c r="I64" s="164"/>
      <c r="J64" s="162"/>
      <c r="K64" s="165"/>
      <c r="L64" s="165"/>
      <c r="M64" s="155"/>
      <c r="N64" s="155"/>
      <c r="O64" s="155"/>
      <c r="P64" s="155"/>
    </row>
    <row r="65" spans="1:16" s="167" customFormat="1" ht="13.5" customHeight="1">
      <c r="A65" s="155">
        <v>7</v>
      </c>
      <c r="B65" s="162">
        <v>1</v>
      </c>
      <c r="C65" s="162">
        <v>-22</v>
      </c>
      <c r="D65" s="162" t="s">
        <v>218</v>
      </c>
      <c r="E65" s="162">
        <v>1</v>
      </c>
      <c r="F65" s="173"/>
      <c r="G65" s="173"/>
      <c r="H65" s="164"/>
      <c r="I65" s="164"/>
      <c r="J65" s="162"/>
      <c r="K65" s="165"/>
      <c r="L65" s="165"/>
      <c r="M65" s="155"/>
      <c r="N65" s="155"/>
      <c r="O65" s="155"/>
      <c r="P65" s="155"/>
    </row>
    <row r="66" spans="1:16" s="167" customFormat="1" ht="13.5" customHeight="1">
      <c r="A66" s="155">
        <v>7</v>
      </c>
      <c r="B66" s="162">
        <v>1</v>
      </c>
      <c r="C66" s="162">
        <v>-22</v>
      </c>
      <c r="D66" s="162" t="s">
        <v>218</v>
      </c>
      <c r="E66" s="162">
        <v>1</v>
      </c>
      <c r="F66" s="173">
        <v>3.1999999999999966</v>
      </c>
      <c r="G66" s="173">
        <v>-36.1</v>
      </c>
      <c r="H66" s="164">
        <v>194.1</v>
      </c>
      <c r="I66" s="164">
        <v>194.1</v>
      </c>
      <c r="J66" s="162"/>
      <c r="K66" s="165"/>
      <c r="L66" s="165"/>
      <c r="M66" s="155"/>
      <c r="N66" s="155"/>
      <c r="O66" s="155"/>
      <c r="P66" s="155"/>
    </row>
    <row r="67" spans="1:16" s="167" customFormat="1" ht="13.5" customHeight="1">
      <c r="A67" s="155"/>
      <c r="B67" s="162"/>
      <c r="C67" s="162"/>
      <c r="D67" s="162"/>
      <c r="E67" s="162"/>
      <c r="F67" s="163"/>
      <c r="G67" s="163"/>
      <c r="H67" s="164"/>
      <c r="I67" s="164"/>
      <c r="J67" s="162"/>
      <c r="K67" s="165"/>
      <c r="L67" s="165"/>
      <c r="M67" s="155"/>
      <c r="N67" s="155"/>
      <c r="O67" s="155"/>
      <c r="P67" s="155"/>
    </row>
    <row r="68" spans="1:16" s="167" customFormat="1" ht="13.5" customHeight="1">
      <c r="A68" s="155">
        <v>8</v>
      </c>
      <c r="B68" s="162">
        <v>1</v>
      </c>
      <c r="C68" s="162">
        <v>-22</v>
      </c>
      <c r="D68" s="162" t="s">
        <v>185</v>
      </c>
      <c r="E68" s="162">
        <v>1</v>
      </c>
      <c r="F68" s="160">
        <v>1.7129999999999974</v>
      </c>
      <c r="G68" s="160">
        <v>-6.7389999999999999</v>
      </c>
      <c r="H68" s="164">
        <v>196.54</v>
      </c>
      <c r="I68" s="164">
        <v>153.03</v>
      </c>
      <c r="J68" s="162"/>
      <c r="K68" s="165"/>
      <c r="L68" s="165"/>
      <c r="M68" s="155"/>
      <c r="N68" s="155"/>
      <c r="O68" s="155"/>
      <c r="P68" s="155"/>
    </row>
    <row r="69" spans="1:16" s="167" customFormat="1" ht="13.5" customHeight="1">
      <c r="A69" s="155">
        <v>8</v>
      </c>
      <c r="B69" s="162">
        <v>1</v>
      </c>
      <c r="C69" s="162">
        <v>-22</v>
      </c>
      <c r="D69" s="162" t="s">
        <v>218</v>
      </c>
      <c r="E69" s="162">
        <v>1</v>
      </c>
      <c r="F69" s="160">
        <v>-6.3730000000000002</v>
      </c>
      <c r="G69" s="160">
        <v>-6.4249999999999998</v>
      </c>
      <c r="H69" s="164">
        <v>112.52</v>
      </c>
      <c r="I69" s="164">
        <v>71.510000000000005</v>
      </c>
      <c r="J69" s="162"/>
      <c r="K69" s="165"/>
      <c r="L69" s="165"/>
      <c r="M69" s="155"/>
      <c r="N69" s="155"/>
      <c r="O69" s="155"/>
      <c r="P69" s="155"/>
    </row>
    <row r="70" spans="1:16" s="167" customFormat="1" ht="13.5" customHeight="1">
      <c r="A70" s="155">
        <v>8</v>
      </c>
      <c r="B70" s="162">
        <v>1</v>
      </c>
      <c r="C70" s="162">
        <v>-22</v>
      </c>
      <c r="D70" s="162" t="s">
        <v>218</v>
      </c>
      <c r="E70" s="162">
        <v>1</v>
      </c>
      <c r="F70" s="160">
        <v>-6.4249999999999998</v>
      </c>
      <c r="G70" s="160">
        <v>-6.3730000000000002</v>
      </c>
      <c r="H70" s="164">
        <v>30.51</v>
      </c>
      <c r="I70" s="164">
        <v>-10.5</v>
      </c>
      <c r="J70" s="162"/>
      <c r="K70" s="165"/>
      <c r="L70" s="165"/>
      <c r="M70" s="155"/>
      <c r="N70" s="155"/>
      <c r="O70" s="155"/>
      <c r="P70" s="155"/>
    </row>
    <row r="71" spans="1:16" s="167" customFormat="1" ht="13.5" customHeight="1">
      <c r="A71" s="155">
        <v>8</v>
      </c>
      <c r="B71" s="162">
        <v>1</v>
      </c>
      <c r="C71" s="162">
        <v>-22</v>
      </c>
      <c r="D71" s="162" t="s">
        <v>218</v>
      </c>
      <c r="E71" s="162">
        <v>1</v>
      </c>
      <c r="F71" s="160">
        <v>-6.7389999999999999</v>
      </c>
      <c r="G71" s="160"/>
      <c r="H71" s="164">
        <v>-53.51</v>
      </c>
      <c r="I71" s="164"/>
      <c r="J71" s="162"/>
      <c r="K71" s="165"/>
      <c r="L71" s="165"/>
      <c r="M71" s="155"/>
      <c r="N71" s="155"/>
      <c r="O71" s="155"/>
      <c r="P71" s="155"/>
    </row>
    <row r="72" spans="1:16" s="167" customFormat="1" ht="13.5" customHeight="1">
      <c r="A72" s="155">
        <v>8</v>
      </c>
      <c r="B72" s="162"/>
      <c r="C72" s="162"/>
      <c r="D72" s="162"/>
      <c r="E72" s="162"/>
      <c r="F72" s="160"/>
      <c r="G72" s="160"/>
      <c r="H72" s="164"/>
      <c r="I72" s="164"/>
      <c r="J72" s="162"/>
      <c r="K72" s="165"/>
      <c r="L72" s="165"/>
      <c r="M72" s="155"/>
      <c r="N72" s="155"/>
      <c r="O72" s="155"/>
      <c r="P72" s="155"/>
    </row>
    <row r="73" spans="1:16" s="167" customFormat="1" ht="13.5" customHeight="1">
      <c r="A73" s="155">
        <v>8</v>
      </c>
      <c r="B73" s="162">
        <v>1</v>
      </c>
      <c r="C73" s="162">
        <v>-22</v>
      </c>
      <c r="D73" s="162" t="s">
        <v>218</v>
      </c>
      <c r="E73" s="162">
        <v>1</v>
      </c>
      <c r="F73" s="160">
        <v>3.1999999999999966</v>
      </c>
      <c r="G73" s="160">
        <v>-11.725</v>
      </c>
      <c r="H73" s="164">
        <v>220.72</v>
      </c>
      <c r="I73" s="164">
        <v>135.28</v>
      </c>
      <c r="J73" s="162"/>
      <c r="K73" s="165"/>
      <c r="L73" s="165"/>
      <c r="M73" s="155"/>
      <c r="N73" s="155"/>
      <c r="O73" s="155"/>
      <c r="P73" s="155"/>
    </row>
    <row r="74" spans="1:16" s="167" customFormat="1" ht="13.5" customHeight="1">
      <c r="A74" s="155">
        <v>8</v>
      </c>
      <c r="B74" s="162">
        <v>1</v>
      </c>
      <c r="C74" s="162">
        <v>-22</v>
      </c>
      <c r="D74" s="162" t="s">
        <v>185</v>
      </c>
      <c r="E74" s="162">
        <v>1</v>
      </c>
      <c r="F74" s="160">
        <v>-12.65</v>
      </c>
      <c r="G74" s="160">
        <v>-11.725</v>
      </c>
      <c r="H74" s="164">
        <v>42.72</v>
      </c>
      <c r="I74" s="164">
        <v>-42.72</v>
      </c>
      <c r="J74" s="162"/>
      <c r="K74" s="165"/>
      <c r="L74" s="165"/>
      <c r="M74" s="155"/>
      <c r="N74" s="155"/>
      <c r="O74" s="155"/>
      <c r="P74" s="155"/>
    </row>
    <row r="75" spans="1:16" s="167" customFormat="1" ht="13.5" customHeight="1">
      <c r="A75" s="155"/>
      <c r="B75" s="162"/>
      <c r="C75" s="162"/>
      <c r="D75" s="162"/>
      <c r="E75" s="162"/>
      <c r="F75" s="163"/>
      <c r="G75" s="163"/>
      <c r="H75" s="164"/>
      <c r="I75" s="164"/>
      <c r="J75" s="162"/>
      <c r="K75" s="165"/>
      <c r="L75" s="165"/>
      <c r="M75" s="155"/>
      <c r="N75" s="155"/>
      <c r="O75" s="155"/>
      <c r="P75" s="155"/>
    </row>
    <row r="76" spans="1:16" s="167" customFormat="1" ht="13.5" customHeight="1">
      <c r="A76" s="155">
        <v>9</v>
      </c>
      <c r="B76" s="162">
        <v>1</v>
      </c>
      <c r="C76" s="162">
        <v>-22</v>
      </c>
      <c r="D76" s="162" t="s">
        <v>218</v>
      </c>
      <c r="E76" s="162">
        <v>1</v>
      </c>
      <c r="F76" s="160">
        <v>1.7129999999999974</v>
      </c>
      <c r="G76" s="160">
        <v>-6.7389999999999999</v>
      </c>
      <c r="H76" s="164">
        <v>95.52</v>
      </c>
      <c r="I76" s="164">
        <v>87.02</v>
      </c>
      <c r="J76" s="162"/>
      <c r="K76" s="165"/>
      <c r="L76" s="165"/>
      <c r="M76" s="155"/>
      <c r="N76" s="155"/>
      <c r="O76" s="155"/>
      <c r="P76" s="155"/>
    </row>
    <row r="77" spans="1:16" s="167" customFormat="1" ht="13.5" customHeight="1">
      <c r="A77" s="155">
        <v>9</v>
      </c>
      <c r="B77" s="162">
        <v>1</v>
      </c>
      <c r="C77" s="162">
        <v>-22</v>
      </c>
      <c r="D77" s="162" t="s">
        <v>185</v>
      </c>
      <c r="E77" s="162">
        <v>1</v>
      </c>
      <c r="F77" s="160">
        <v>-6.3730000000000002</v>
      </c>
      <c r="G77" s="160">
        <v>-6.4249999999999998</v>
      </c>
      <c r="H77" s="164">
        <v>79.52</v>
      </c>
      <c r="I77" s="164">
        <v>71.510000000000005</v>
      </c>
      <c r="J77" s="162"/>
      <c r="K77" s="165"/>
      <c r="L77" s="165"/>
      <c r="M77" s="155"/>
      <c r="N77" s="155"/>
      <c r="O77" s="155"/>
      <c r="P77" s="155"/>
    </row>
    <row r="78" spans="1:16" s="167" customFormat="1" ht="13.5" customHeight="1">
      <c r="A78" s="155">
        <v>9</v>
      </c>
      <c r="B78" s="162">
        <v>1</v>
      </c>
      <c r="C78" s="162">
        <v>-22</v>
      </c>
      <c r="D78" s="162" t="s">
        <v>218</v>
      </c>
      <c r="E78" s="162">
        <v>1</v>
      </c>
      <c r="F78" s="160">
        <v>-6.4249999999999998</v>
      </c>
      <c r="G78" s="160">
        <v>-6.3730000000000002</v>
      </c>
      <c r="H78" s="164">
        <v>63.51</v>
      </c>
      <c r="I78" s="164">
        <v>55.51</v>
      </c>
      <c r="J78" s="162"/>
      <c r="K78" s="165"/>
      <c r="L78" s="165"/>
      <c r="M78" s="155"/>
      <c r="N78" s="155"/>
      <c r="O78" s="155"/>
      <c r="P78" s="155"/>
    </row>
    <row r="79" spans="1:16" s="167" customFormat="1" ht="13.5" customHeight="1">
      <c r="A79" s="155">
        <v>9</v>
      </c>
      <c r="B79" s="162">
        <v>1</v>
      </c>
      <c r="C79" s="162">
        <v>-22</v>
      </c>
      <c r="D79" s="162" t="s">
        <v>218</v>
      </c>
      <c r="E79" s="162">
        <v>1</v>
      </c>
      <c r="F79" s="160">
        <v>-6.7389999999999999</v>
      </c>
      <c r="G79" s="160"/>
      <c r="H79" s="164">
        <v>47.51</v>
      </c>
      <c r="I79" s="164"/>
      <c r="J79" s="162"/>
      <c r="K79" s="165"/>
      <c r="L79" s="165"/>
      <c r="M79" s="155"/>
      <c r="N79" s="155"/>
      <c r="O79" s="155"/>
      <c r="P79" s="155"/>
    </row>
    <row r="80" spans="1:16" s="167" customFormat="1" ht="13.5" customHeight="1">
      <c r="A80" s="155">
        <v>9</v>
      </c>
      <c r="B80" s="162"/>
      <c r="C80" s="162"/>
      <c r="D80" s="162"/>
      <c r="E80" s="162"/>
      <c r="F80" s="160"/>
      <c r="G80" s="160"/>
      <c r="H80" s="164"/>
      <c r="I80" s="164"/>
      <c r="J80" s="162"/>
      <c r="K80" s="165"/>
      <c r="L80" s="165"/>
      <c r="M80" s="155"/>
      <c r="N80" s="155"/>
      <c r="O80" s="155"/>
      <c r="P80" s="155"/>
    </row>
    <row r="81" spans="1:16" s="167" customFormat="1" ht="13.5" customHeight="1">
      <c r="A81" s="155">
        <v>9</v>
      </c>
      <c r="B81" s="162">
        <v>1</v>
      </c>
      <c r="C81" s="162">
        <v>-22</v>
      </c>
      <c r="D81" s="162" t="s">
        <v>185</v>
      </c>
      <c r="E81" s="162">
        <v>1</v>
      </c>
      <c r="F81" s="160">
        <v>3.1999999999999966</v>
      </c>
      <c r="G81" s="160">
        <v>-11.725</v>
      </c>
      <c r="H81" s="164">
        <v>114.63</v>
      </c>
      <c r="I81" s="164">
        <v>97.9</v>
      </c>
      <c r="J81" s="162"/>
      <c r="K81" s="165"/>
      <c r="L81" s="165"/>
      <c r="M81" s="155"/>
      <c r="N81" s="155"/>
      <c r="O81" s="155"/>
      <c r="P81" s="155"/>
    </row>
    <row r="82" spans="1:16" s="167" customFormat="1" ht="13.5" customHeight="1">
      <c r="A82" s="155">
        <v>9</v>
      </c>
      <c r="B82" s="162">
        <v>1</v>
      </c>
      <c r="C82" s="162">
        <v>-22</v>
      </c>
      <c r="D82" s="162" t="s">
        <v>218</v>
      </c>
      <c r="E82" s="162">
        <v>1</v>
      </c>
      <c r="F82" s="160">
        <v>-12.65</v>
      </c>
      <c r="G82" s="160">
        <v>-11.725</v>
      </c>
      <c r="H82" s="164">
        <v>80.099999999999994</v>
      </c>
      <c r="I82" s="164">
        <v>63.37</v>
      </c>
      <c r="J82" s="162"/>
      <c r="K82" s="165"/>
      <c r="L82" s="165"/>
      <c r="M82" s="155"/>
      <c r="N82" s="155"/>
      <c r="O82" s="155"/>
      <c r="P82" s="155"/>
    </row>
    <row r="83" spans="1:16" s="167" customFormat="1" ht="13.5" customHeight="1">
      <c r="A83" s="155"/>
      <c r="B83" s="162"/>
      <c r="C83" s="162"/>
      <c r="D83" s="162"/>
      <c r="E83" s="162"/>
      <c r="F83" s="163"/>
      <c r="G83" s="163"/>
      <c r="H83" s="164"/>
      <c r="I83" s="164"/>
      <c r="J83" s="162"/>
      <c r="K83" s="165"/>
      <c r="L83" s="165"/>
      <c r="M83" s="155"/>
      <c r="N83" s="155"/>
      <c r="O83" s="155"/>
      <c r="P83" s="155"/>
    </row>
    <row r="84" spans="1:16" s="167" customFormat="1" ht="13.5" customHeight="1">
      <c r="A84" s="155">
        <v>10</v>
      </c>
      <c r="B84" s="162">
        <v>1</v>
      </c>
      <c r="C84" s="162">
        <v>-22</v>
      </c>
      <c r="D84" s="162" t="s">
        <v>218</v>
      </c>
      <c r="E84" s="162">
        <v>1</v>
      </c>
      <c r="F84" s="160">
        <v>1.7129999999999974</v>
      </c>
      <c r="G84" s="160">
        <v>-6.7389999999999999</v>
      </c>
      <c r="H84" s="164">
        <v>47.51</v>
      </c>
      <c r="I84" s="164">
        <v>55.51</v>
      </c>
      <c r="J84" s="162"/>
      <c r="K84" s="165"/>
      <c r="L84" s="165"/>
      <c r="M84" s="155"/>
      <c r="N84" s="155"/>
      <c r="O84" s="155"/>
      <c r="P84" s="155"/>
    </row>
    <row r="85" spans="1:16" s="167" customFormat="1" ht="13.5" customHeight="1">
      <c r="A85" s="155">
        <v>10</v>
      </c>
      <c r="B85" s="162">
        <v>1</v>
      </c>
      <c r="C85" s="162">
        <v>-22</v>
      </c>
      <c r="D85" s="162" t="s">
        <v>218</v>
      </c>
      <c r="E85" s="162">
        <v>1</v>
      </c>
      <c r="F85" s="160">
        <v>-6.3730000000000002</v>
      </c>
      <c r="G85" s="160">
        <v>-6.4249999999999998</v>
      </c>
      <c r="H85" s="164">
        <v>63.51</v>
      </c>
      <c r="I85" s="164">
        <v>71.510000000000005</v>
      </c>
      <c r="J85" s="162"/>
      <c r="K85" s="165"/>
      <c r="L85" s="165"/>
      <c r="M85" s="155"/>
      <c r="N85" s="155"/>
      <c r="O85" s="155"/>
      <c r="P85" s="155"/>
    </row>
    <row r="86" spans="1:16" s="167" customFormat="1" ht="13.5" customHeight="1">
      <c r="A86" s="155">
        <v>10</v>
      </c>
      <c r="B86" s="162">
        <v>1</v>
      </c>
      <c r="C86" s="162">
        <v>-22</v>
      </c>
      <c r="D86" s="162" t="s">
        <v>218</v>
      </c>
      <c r="E86" s="162">
        <v>1</v>
      </c>
      <c r="F86" s="160">
        <v>-6.4249999999999998</v>
      </c>
      <c r="G86" s="160">
        <v>-6.3730000000000002</v>
      </c>
      <c r="H86" s="164">
        <v>79.52</v>
      </c>
      <c r="I86" s="164">
        <v>87.02</v>
      </c>
      <c r="J86" s="162"/>
      <c r="K86" s="165"/>
      <c r="L86" s="165"/>
      <c r="M86" s="155"/>
      <c r="N86" s="155"/>
      <c r="O86" s="155"/>
      <c r="P86" s="155"/>
    </row>
    <row r="87" spans="1:16" s="167" customFormat="1" ht="13.5" customHeight="1">
      <c r="A87" s="155">
        <v>10</v>
      </c>
      <c r="B87" s="162">
        <v>1</v>
      </c>
      <c r="C87" s="162">
        <v>-22</v>
      </c>
      <c r="D87" s="162" t="s">
        <v>185</v>
      </c>
      <c r="E87" s="162">
        <v>1</v>
      </c>
      <c r="F87" s="160">
        <v>-6.7389999999999999</v>
      </c>
      <c r="G87" s="160"/>
      <c r="H87" s="164">
        <v>95.52</v>
      </c>
      <c r="I87" s="164"/>
      <c r="J87" s="162"/>
      <c r="K87" s="165"/>
      <c r="L87" s="165"/>
      <c r="M87" s="155"/>
      <c r="N87" s="155"/>
      <c r="O87" s="155"/>
      <c r="P87" s="155"/>
    </row>
    <row r="88" spans="1:16" s="167" customFormat="1" ht="13.5" customHeight="1">
      <c r="A88" s="155">
        <v>10</v>
      </c>
      <c r="B88" s="162"/>
      <c r="C88" s="162"/>
      <c r="D88" s="162"/>
      <c r="E88" s="162"/>
      <c r="F88" s="160"/>
      <c r="G88" s="160"/>
      <c r="H88" s="164"/>
      <c r="I88" s="164"/>
      <c r="J88" s="162"/>
      <c r="K88" s="165"/>
      <c r="L88" s="165"/>
      <c r="M88" s="155"/>
      <c r="N88" s="155"/>
      <c r="O88" s="155"/>
      <c r="P88" s="155"/>
    </row>
    <row r="89" spans="1:16" s="167" customFormat="1" ht="13.5" customHeight="1">
      <c r="A89" s="155">
        <v>10</v>
      </c>
      <c r="B89" s="162">
        <v>1</v>
      </c>
      <c r="C89" s="162">
        <v>-22</v>
      </c>
      <c r="D89" s="162" t="s">
        <v>185</v>
      </c>
      <c r="E89" s="162">
        <v>1</v>
      </c>
      <c r="F89" s="160">
        <v>3.1999999999999966</v>
      </c>
      <c r="G89" s="160">
        <v>-11.725</v>
      </c>
      <c r="H89" s="164">
        <v>63.37</v>
      </c>
      <c r="I89" s="164">
        <v>80.099999999999994</v>
      </c>
      <c r="J89" s="162"/>
      <c r="K89" s="165"/>
      <c r="L89" s="165"/>
      <c r="M89" s="155"/>
      <c r="N89" s="155"/>
      <c r="O89" s="155"/>
      <c r="P89" s="155"/>
    </row>
    <row r="90" spans="1:16" s="167" customFormat="1" ht="13.5" customHeight="1">
      <c r="A90" s="155">
        <v>10</v>
      </c>
      <c r="B90" s="162">
        <v>1</v>
      </c>
      <c r="C90" s="162">
        <v>-22</v>
      </c>
      <c r="D90" s="162" t="s">
        <v>218</v>
      </c>
      <c r="E90" s="162">
        <v>1</v>
      </c>
      <c r="F90" s="160">
        <v>-12.65</v>
      </c>
      <c r="G90" s="160">
        <v>-11.725</v>
      </c>
      <c r="H90" s="164">
        <v>97.9</v>
      </c>
      <c r="I90" s="164">
        <v>114.63</v>
      </c>
      <c r="J90" s="162"/>
      <c r="K90" s="165"/>
      <c r="L90" s="165"/>
      <c r="M90" s="155"/>
      <c r="N90" s="155"/>
      <c r="O90" s="155"/>
      <c r="P90" s="155"/>
    </row>
    <row r="91" spans="1:16" s="167" customFormat="1" ht="13.5" customHeight="1">
      <c r="A91" s="155"/>
      <c r="B91" s="162"/>
      <c r="C91" s="162"/>
      <c r="D91" s="162"/>
      <c r="E91" s="162"/>
      <c r="F91" s="160"/>
      <c r="G91" s="160"/>
      <c r="H91" s="164"/>
      <c r="I91" s="164"/>
      <c r="J91" s="162"/>
      <c r="K91" s="165"/>
      <c r="L91" s="165"/>
      <c r="M91" s="155"/>
      <c r="N91" s="155"/>
      <c r="O91" s="155"/>
      <c r="P91" s="155"/>
    </row>
    <row r="92" spans="1:16" s="167" customFormat="1" ht="13.5" customHeight="1">
      <c r="A92" s="155">
        <v>11</v>
      </c>
      <c r="B92" s="162">
        <v>1</v>
      </c>
      <c r="C92" s="162">
        <v>-22</v>
      </c>
      <c r="D92" s="162" t="s">
        <v>185</v>
      </c>
      <c r="E92" s="162">
        <v>1</v>
      </c>
      <c r="F92" s="160">
        <v>1.7129999999999974</v>
      </c>
      <c r="G92" s="160">
        <v>-6.7389999999999999</v>
      </c>
      <c r="H92" s="164">
        <v>-53.51</v>
      </c>
      <c r="I92" s="164">
        <v>-10.5</v>
      </c>
      <c r="J92" s="162"/>
      <c r="K92" s="165"/>
      <c r="L92" s="165"/>
      <c r="M92" s="155"/>
      <c r="N92" s="155"/>
      <c r="O92" s="155"/>
      <c r="P92" s="155"/>
    </row>
    <row r="93" spans="1:16" s="167" customFormat="1" ht="13.5" customHeight="1">
      <c r="A93" s="155">
        <v>11</v>
      </c>
      <c r="B93" s="162">
        <v>1</v>
      </c>
      <c r="C93" s="162">
        <v>-22</v>
      </c>
      <c r="D93" s="162" t="s">
        <v>218</v>
      </c>
      <c r="E93" s="162">
        <v>1</v>
      </c>
      <c r="F93" s="160">
        <v>-6.3730000000000002</v>
      </c>
      <c r="G93" s="160">
        <v>-6.4249999999999998</v>
      </c>
      <c r="H93" s="164">
        <v>30.51</v>
      </c>
      <c r="I93" s="164">
        <v>71.510000000000005</v>
      </c>
      <c r="J93" s="162"/>
      <c r="K93" s="165"/>
      <c r="L93" s="165"/>
      <c r="M93" s="155"/>
      <c r="N93" s="155"/>
      <c r="O93" s="155"/>
      <c r="P93" s="155"/>
    </row>
    <row r="94" spans="1:16" s="167" customFormat="1" ht="13.5" customHeight="1">
      <c r="A94" s="155">
        <v>11</v>
      </c>
      <c r="B94" s="162">
        <v>1</v>
      </c>
      <c r="C94" s="162">
        <v>-22</v>
      </c>
      <c r="D94" s="162" t="s">
        <v>218</v>
      </c>
      <c r="E94" s="162">
        <v>1</v>
      </c>
      <c r="F94" s="160">
        <v>-6.4249999999999998</v>
      </c>
      <c r="G94" s="160">
        <v>-6.3730000000000002</v>
      </c>
      <c r="H94" s="164">
        <v>112.52</v>
      </c>
      <c r="I94" s="164">
        <v>153.03</v>
      </c>
      <c r="J94" s="162"/>
      <c r="K94" s="165"/>
      <c r="L94" s="165"/>
      <c r="M94" s="155"/>
      <c r="N94" s="155"/>
      <c r="O94" s="155"/>
      <c r="P94" s="155"/>
    </row>
    <row r="95" spans="1:16" s="167" customFormat="1" ht="13.5" customHeight="1">
      <c r="A95" s="155">
        <v>11</v>
      </c>
      <c r="B95" s="162">
        <v>1</v>
      </c>
      <c r="C95" s="162">
        <v>-22</v>
      </c>
      <c r="D95" s="162" t="s">
        <v>185</v>
      </c>
      <c r="E95" s="162">
        <v>1</v>
      </c>
      <c r="F95" s="160">
        <v>-6.7389999999999999</v>
      </c>
      <c r="G95" s="160"/>
      <c r="H95" s="164">
        <v>196.54</v>
      </c>
      <c r="I95" s="164"/>
      <c r="J95" s="162"/>
      <c r="K95" s="165"/>
      <c r="L95" s="165"/>
      <c r="M95" s="155"/>
      <c r="N95" s="155"/>
      <c r="O95" s="155"/>
      <c r="P95" s="155"/>
    </row>
    <row r="96" spans="1:16" s="167" customFormat="1" ht="13.5" customHeight="1">
      <c r="A96" s="155">
        <v>11</v>
      </c>
      <c r="B96" s="162"/>
      <c r="C96" s="162"/>
      <c r="D96" s="162"/>
      <c r="E96" s="162"/>
      <c r="F96" s="160"/>
      <c r="G96" s="160"/>
      <c r="H96" s="164"/>
      <c r="I96" s="164"/>
      <c r="J96" s="162"/>
      <c r="K96" s="165"/>
      <c r="L96" s="165"/>
      <c r="M96" s="155"/>
      <c r="N96" s="155"/>
      <c r="O96" s="155"/>
      <c r="P96" s="155"/>
    </row>
    <row r="97" spans="1:17" s="167" customFormat="1" ht="13.5" customHeight="1">
      <c r="A97" s="155">
        <v>11</v>
      </c>
      <c r="B97" s="162">
        <v>1</v>
      </c>
      <c r="C97" s="162">
        <v>-22</v>
      </c>
      <c r="D97" s="162" t="s">
        <v>218</v>
      </c>
      <c r="E97" s="162">
        <v>1</v>
      </c>
      <c r="F97" s="160">
        <v>3.1999999999999966</v>
      </c>
      <c r="G97" s="160">
        <v>-11.725</v>
      </c>
      <c r="H97" s="164">
        <v>-42.72</v>
      </c>
      <c r="I97" s="164">
        <v>42.72</v>
      </c>
      <c r="J97" s="162"/>
      <c r="K97" s="165"/>
      <c r="L97" s="165"/>
      <c r="M97" s="155"/>
      <c r="N97" s="155"/>
      <c r="O97" s="155"/>
      <c r="P97" s="155"/>
    </row>
    <row r="98" spans="1:17" s="167" customFormat="1" ht="13.5" customHeight="1">
      <c r="A98" s="155">
        <v>11</v>
      </c>
      <c r="B98" s="162">
        <v>1</v>
      </c>
      <c r="C98" s="162">
        <v>-22</v>
      </c>
      <c r="D98" s="162" t="s">
        <v>218</v>
      </c>
      <c r="E98" s="162">
        <v>1</v>
      </c>
      <c r="F98" s="160">
        <v>-12.65</v>
      </c>
      <c r="G98" s="160">
        <v>-11.725</v>
      </c>
      <c r="H98" s="164">
        <v>135.28</v>
      </c>
      <c r="I98" s="164">
        <v>220.72</v>
      </c>
      <c r="J98" s="162"/>
      <c r="K98" s="165"/>
      <c r="L98" s="165"/>
      <c r="M98" s="155"/>
      <c r="N98" s="155"/>
      <c r="O98" s="155"/>
      <c r="P98" s="155"/>
    </row>
    <row r="99" spans="1:17" s="167" customFormat="1" ht="13.5" customHeight="1">
      <c r="A99" s="155"/>
      <c r="B99" s="162"/>
      <c r="C99" s="162"/>
      <c r="D99" s="162"/>
      <c r="E99" s="162"/>
      <c r="F99" s="163"/>
      <c r="G99" s="163"/>
      <c r="H99" s="164"/>
      <c r="I99" s="164"/>
      <c r="J99" s="162"/>
      <c r="K99" s="165"/>
      <c r="L99" s="165"/>
      <c r="M99" s="155"/>
      <c r="N99" s="155"/>
      <c r="O99" s="155"/>
      <c r="P99" s="155"/>
    </row>
    <row r="100" spans="1:17" s="167" customFormat="1" ht="13.5" customHeight="1">
      <c r="A100" s="155">
        <v>12</v>
      </c>
      <c r="B100" s="162">
        <v>1</v>
      </c>
      <c r="C100" s="162">
        <v>-22</v>
      </c>
      <c r="D100" s="162" t="s">
        <v>218</v>
      </c>
      <c r="E100" s="162">
        <v>1</v>
      </c>
      <c r="F100" s="160">
        <v>1.7129999999999974</v>
      </c>
      <c r="G100" s="160">
        <v>-6.7389999999999999</v>
      </c>
      <c r="H100" s="164">
        <v>196.54</v>
      </c>
      <c r="I100" s="164">
        <v>153.03</v>
      </c>
      <c r="J100" s="162"/>
      <c r="K100" s="165"/>
      <c r="L100" s="165"/>
      <c r="M100" s="155"/>
      <c r="N100" s="155"/>
      <c r="O100" s="155"/>
      <c r="P100" s="155"/>
    </row>
    <row r="101" spans="1:17" s="167" customFormat="1" ht="13.5" customHeight="1">
      <c r="A101" s="155">
        <v>12</v>
      </c>
      <c r="B101" s="162">
        <v>1</v>
      </c>
      <c r="C101" s="162">
        <v>-22</v>
      </c>
      <c r="D101" s="162" t="s">
        <v>218</v>
      </c>
      <c r="E101" s="162">
        <v>1</v>
      </c>
      <c r="F101" s="160">
        <v>-6.3730000000000002</v>
      </c>
      <c r="G101" s="160">
        <v>-6.4249999999999998</v>
      </c>
      <c r="H101" s="164">
        <v>112.52</v>
      </c>
      <c r="I101" s="164">
        <v>71.510000000000005</v>
      </c>
      <c r="J101" s="162"/>
      <c r="K101" s="165"/>
      <c r="L101" s="165"/>
      <c r="M101" s="155"/>
      <c r="N101" s="155"/>
      <c r="O101" s="155"/>
      <c r="P101" s="155"/>
    </row>
    <row r="102" spans="1:17" s="167" customFormat="1" ht="13.5" customHeight="1">
      <c r="A102" s="155">
        <v>12</v>
      </c>
      <c r="B102" s="162">
        <v>1</v>
      </c>
      <c r="C102" s="162">
        <v>-22</v>
      </c>
      <c r="D102" s="162" t="s">
        <v>185</v>
      </c>
      <c r="E102" s="162">
        <v>1</v>
      </c>
      <c r="F102" s="160">
        <v>-6.4249999999999998</v>
      </c>
      <c r="G102" s="160">
        <v>-6.3730000000000002</v>
      </c>
      <c r="H102" s="164">
        <v>30.51</v>
      </c>
      <c r="I102" s="164">
        <v>-10.5</v>
      </c>
      <c r="J102" s="162"/>
      <c r="K102" s="165"/>
      <c r="L102" s="165"/>
      <c r="M102" s="155"/>
      <c r="N102" s="155"/>
      <c r="O102" s="155"/>
      <c r="P102" s="155"/>
    </row>
    <row r="103" spans="1:17" s="167" customFormat="1" ht="13.5" customHeight="1">
      <c r="A103" s="155">
        <v>12</v>
      </c>
      <c r="B103" s="162">
        <v>1</v>
      </c>
      <c r="C103" s="162">
        <v>-22</v>
      </c>
      <c r="D103" s="162" t="s">
        <v>218</v>
      </c>
      <c r="E103" s="162">
        <v>1</v>
      </c>
      <c r="F103" s="160">
        <v>-6.7389999999999999</v>
      </c>
      <c r="G103" s="160"/>
      <c r="H103" s="164">
        <v>-53.51</v>
      </c>
      <c r="I103" s="164"/>
      <c r="J103" s="162"/>
      <c r="K103" s="165"/>
      <c r="L103" s="165"/>
      <c r="M103" s="155"/>
      <c r="N103" s="155"/>
      <c r="O103" s="155"/>
      <c r="P103" s="155"/>
    </row>
    <row r="104" spans="1:17" s="167" customFormat="1" ht="13.5" customHeight="1">
      <c r="A104" s="155">
        <v>12</v>
      </c>
      <c r="B104" s="162"/>
      <c r="C104" s="162"/>
      <c r="D104" s="162"/>
      <c r="E104" s="162"/>
      <c r="F104" s="160"/>
      <c r="G104" s="160"/>
      <c r="H104" s="164"/>
      <c r="I104" s="164"/>
      <c r="J104" s="162"/>
      <c r="K104" s="165"/>
      <c r="L104" s="165"/>
      <c r="M104" s="155"/>
      <c r="N104" s="155"/>
      <c r="O104" s="155"/>
      <c r="P104" s="155"/>
    </row>
    <row r="105" spans="1:17" s="167" customFormat="1" ht="13.5" customHeight="1">
      <c r="A105" s="155">
        <v>12</v>
      </c>
      <c r="B105" s="162">
        <v>1</v>
      </c>
      <c r="C105" s="162">
        <v>-22</v>
      </c>
      <c r="D105" s="162" t="s">
        <v>185</v>
      </c>
      <c r="E105" s="162">
        <v>1</v>
      </c>
      <c r="F105" s="160">
        <v>3.1999999999999966</v>
      </c>
      <c r="G105" s="160">
        <v>-11.725</v>
      </c>
      <c r="H105" s="164">
        <v>114.7</v>
      </c>
      <c r="I105" s="164">
        <v>70.3</v>
      </c>
      <c r="J105" s="162"/>
      <c r="K105" s="165"/>
      <c r="L105" s="165"/>
      <c r="M105" s="155"/>
      <c r="N105" s="155"/>
      <c r="O105" s="155"/>
      <c r="P105" s="155"/>
    </row>
    <row r="106" spans="1:17" s="167" customFormat="1" ht="13.5" customHeight="1">
      <c r="A106" s="155">
        <v>12</v>
      </c>
      <c r="B106" s="162">
        <v>1</v>
      </c>
      <c r="C106" s="162">
        <v>-22</v>
      </c>
      <c r="D106" s="162" t="s">
        <v>218</v>
      </c>
      <c r="E106" s="162">
        <v>1</v>
      </c>
      <c r="F106" s="160">
        <v>-12.65</v>
      </c>
      <c r="G106" s="160">
        <v>-11.725</v>
      </c>
      <c r="H106" s="164">
        <v>22.2</v>
      </c>
      <c r="I106" s="164">
        <v>-22.2</v>
      </c>
      <c r="J106" s="162"/>
      <c r="K106" s="165"/>
      <c r="L106" s="165"/>
      <c r="M106" s="155"/>
      <c r="N106" s="155"/>
      <c r="O106" s="155"/>
      <c r="P106" s="155"/>
    </row>
    <row r="107" spans="1:17" s="167" customFormat="1" ht="13.5" customHeight="1">
      <c r="A107" s="155"/>
      <c r="B107" s="162"/>
      <c r="C107" s="162"/>
      <c r="D107" s="162"/>
      <c r="E107" s="162"/>
      <c r="F107" s="163"/>
      <c r="G107" s="163"/>
      <c r="H107" s="164"/>
      <c r="I107" s="164"/>
      <c r="J107" s="162"/>
      <c r="K107" s="165"/>
      <c r="L107" s="165"/>
      <c r="M107" s="155"/>
      <c r="N107" s="155"/>
      <c r="O107" s="155"/>
      <c r="P107" s="155"/>
    </row>
    <row r="108" spans="1:17" s="169" customFormat="1" ht="13.5" customHeight="1">
      <c r="A108" s="155">
        <v>13</v>
      </c>
      <c r="B108" s="162">
        <v>1</v>
      </c>
      <c r="C108" s="162">
        <v>-22</v>
      </c>
      <c r="D108" s="162" t="s">
        <v>185</v>
      </c>
      <c r="E108" s="162">
        <v>1</v>
      </c>
      <c r="F108" s="160">
        <v>1.7129999999999974</v>
      </c>
      <c r="G108" s="160">
        <v>-6.7389999999999999</v>
      </c>
      <c r="H108" s="164">
        <v>95.52</v>
      </c>
      <c r="I108" s="164">
        <v>87.02</v>
      </c>
      <c r="J108" s="162"/>
      <c r="K108" s="165"/>
      <c r="L108" s="165"/>
      <c r="M108" s="155"/>
      <c r="N108" s="155"/>
      <c r="O108" s="155"/>
      <c r="P108" s="155"/>
      <c r="Q108" s="167"/>
    </row>
    <row r="109" spans="1:17" s="167" customFormat="1" ht="13.5" customHeight="1">
      <c r="A109" s="155">
        <v>13</v>
      </c>
      <c r="B109" s="162">
        <v>1</v>
      </c>
      <c r="C109" s="162">
        <v>-22</v>
      </c>
      <c r="D109" s="162" t="s">
        <v>218</v>
      </c>
      <c r="E109" s="162">
        <v>1</v>
      </c>
      <c r="F109" s="160">
        <v>-6.3730000000000002</v>
      </c>
      <c r="G109" s="160">
        <v>-6.4249999999999998</v>
      </c>
      <c r="H109" s="164">
        <v>79.52</v>
      </c>
      <c r="I109" s="164">
        <v>71.510000000000005</v>
      </c>
      <c r="J109" s="162"/>
      <c r="K109" s="165"/>
      <c r="L109" s="165"/>
      <c r="M109" s="155"/>
      <c r="N109" s="155"/>
      <c r="O109" s="155"/>
      <c r="P109" s="155"/>
    </row>
    <row r="110" spans="1:17" s="167" customFormat="1" ht="13.5" customHeight="1">
      <c r="A110" s="155">
        <v>13</v>
      </c>
      <c r="B110" s="162">
        <v>1</v>
      </c>
      <c r="C110" s="162">
        <v>-22</v>
      </c>
      <c r="D110" s="162" t="s">
        <v>218</v>
      </c>
      <c r="E110" s="162">
        <v>1</v>
      </c>
      <c r="F110" s="160">
        <v>-6.4249999999999998</v>
      </c>
      <c r="G110" s="160">
        <v>-6.3730000000000002</v>
      </c>
      <c r="H110" s="164">
        <v>63.51</v>
      </c>
      <c r="I110" s="164">
        <v>55.51</v>
      </c>
      <c r="J110" s="162"/>
      <c r="K110" s="165"/>
      <c r="L110" s="165"/>
      <c r="M110" s="155"/>
      <c r="N110" s="155"/>
      <c r="O110" s="155"/>
      <c r="P110" s="155"/>
    </row>
    <row r="111" spans="1:17" s="167" customFormat="1" ht="13.5" customHeight="1">
      <c r="A111" s="155">
        <v>13</v>
      </c>
      <c r="B111" s="162">
        <v>1</v>
      </c>
      <c r="C111" s="162">
        <v>-22</v>
      </c>
      <c r="D111" s="162" t="s">
        <v>218</v>
      </c>
      <c r="E111" s="162">
        <v>1</v>
      </c>
      <c r="F111" s="160">
        <v>-6.7389999999999999</v>
      </c>
      <c r="G111" s="160"/>
      <c r="H111" s="164">
        <v>47.51</v>
      </c>
      <c r="I111" s="164"/>
      <c r="J111" s="162"/>
      <c r="K111" s="165"/>
      <c r="L111" s="165"/>
      <c r="M111" s="155"/>
      <c r="N111" s="155"/>
      <c r="O111" s="155"/>
      <c r="P111" s="155"/>
    </row>
    <row r="112" spans="1:17" s="167" customFormat="1" ht="13.5" customHeight="1">
      <c r="A112" s="155">
        <v>13</v>
      </c>
      <c r="B112" s="162"/>
      <c r="C112" s="162"/>
      <c r="D112" s="162"/>
      <c r="E112" s="162"/>
      <c r="F112" s="160"/>
      <c r="G112" s="160"/>
      <c r="H112" s="164"/>
      <c r="I112" s="164"/>
      <c r="J112" s="162"/>
      <c r="K112" s="165"/>
      <c r="L112" s="165"/>
      <c r="M112" s="155"/>
      <c r="N112" s="155"/>
      <c r="O112" s="155"/>
      <c r="P112" s="155"/>
    </row>
    <row r="113" spans="1:16" s="167" customFormat="1" ht="13.5" customHeight="1">
      <c r="A113" s="155">
        <v>13</v>
      </c>
      <c r="B113" s="162">
        <v>1</v>
      </c>
      <c r="C113" s="162">
        <v>-22</v>
      </c>
      <c r="D113" s="162" t="s">
        <v>185</v>
      </c>
      <c r="E113" s="162">
        <v>1</v>
      </c>
      <c r="F113" s="160">
        <v>3.1999999999999966</v>
      </c>
      <c r="G113" s="160">
        <v>-11.725</v>
      </c>
      <c r="H113" s="164">
        <v>59.57</v>
      </c>
      <c r="I113" s="164">
        <v>50.88</v>
      </c>
      <c r="J113" s="162"/>
      <c r="K113" s="165"/>
      <c r="L113" s="165"/>
      <c r="M113" s="155"/>
      <c r="N113" s="155"/>
      <c r="O113" s="155"/>
      <c r="P113" s="155"/>
    </row>
    <row r="114" spans="1:16" s="167" customFormat="1" ht="13.5" customHeight="1">
      <c r="A114" s="155">
        <v>13</v>
      </c>
      <c r="B114" s="162">
        <v>1</v>
      </c>
      <c r="C114" s="162">
        <v>-22</v>
      </c>
      <c r="D114" s="162" t="s">
        <v>185</v>
      </c>
      <c r="E114" s="162">
        <v>1</v>
      </c>
      <c r="F114" s="160">
        <v>-12.65</v>
      </c>
      <c r="G114" s="160">
        <v>-11.725</v>
      </c>
      <c r="H114" s="164">
        <v>41.63</v>
      </c>
      <c r="I114" s="164">
        <v>32.93</v>
      </c>
      <c r="J114" s="162"/>
      <c r="K114" s="165"/>
      <c r="L114" s="165"/>
      <c r="M114" s="155"/>
      <c r="N114" s="155"/>
      <c r="O114" s="155"/>
      <c r="P114" s="155"/>
    </row>
    <row r="115" spans="1:16" s="167" customFormat="1" ht="13.5" customHeight="1">
      <c r="A115" s="155"/>
      <c r="B115" s="162"/>
      <c r="C115" s="162"/>
      <c r="D115" s="162"/>
      <c r="E115" s="162"/>
      <c r="F115" s="163"/>
      <c r="G115" s="163"/>
      <c r="H115" s="164"/>
      <c r="I115" s="164"/>
      <c r="J115" s="162"/>
      <c r="K115" s="165"/>
      <c r="L115" s="165"/>
      <c r="M115" s="155"/>
      <c r="N115" s="155"/>
      <c r="O115" s="155"/>
      <c r="P115" s="155"/>
    </row>
    <row r="116" spans="1:16" s="167" customFormat="1" ht="13.5" customHeight="1">
      <c r="A116" s="155">
        <v>14</v>
      </c>
      <c r="B116" s="162">
        <v>1</v>
      </c>
      <c r="C116" s="162">
        <v>-22</v>
      </c>
      <c r="D116" s="162" t="s">
        <v>218</v>
      </c>
      <c r="E116" s="162">
        <v>1</v>
      </c>
      <c r="F116" s="160">
        <v>1.7129999999999974</v>
      </c>
      <c r="G116" s="160">
        <v>-6.7389999999999999</v>
      </c>
      <c r="H116" s="164">
        <v>47.51</v>
      </c>
      <c r="I116" s="164">
        <v>55.51</v>
      </c>
      <c r="J116" s="162"/>
      <c r="K116" s="165"/>
      <c r="L116" s="165"/>
      <c r="M116" s="155"/>
      <c r="N116" s="155"/>
      <c r="O116" s="155"/>
      <c r="P116" s="155"/>
    </row>
    <row r="117" spans="1:16" s="167" customFormat="1" ht="13.5" customHeight="1">
      <c r="A117" s="155">
        <v>14</v>
      </c>
      <c r="B117" s="162">
        <v>1</v>
      </c>
      <c r="C117" s="162">
        <v>-22</v>
      </c>
      <c r="D117" s="162" t="s">
        <v>185</v>
      </c>
      <c r="E117" s="162">
        <v>1</v>
      </c>
      <c r="F117" s="160">
        <v>-6.3730000000000002</v>
      </c>
      <c r="G117" s="160">
        <v>-6.4249999999999998</v>
      </c>
      <c r="H117" s="164">
        <v>63.51</v>
      </c>
      <c r="I117" s="164">
        <v>71.510000000000005</v>
      </c>
      <c r="J117" s="162"/>
      <c r="K117" s="165"/>
      <c r="L117" s="165"/>
      <c r="M117" s="155"/>
      <c r="N117" s="155"/>
      <c r="O117" s="155"/>
      <c r="P117" s="155"/>
    </row>
    <row r="118" spans="1:16" s="167" customFormat="1" ht="13.5" customHeight="1">
      <c r="A118" s="155">
        <v>14</v>
      </c>
      <c r="B118" s="162">
        <v>1</v>
      </c>
      <c r="C118" s="162">
        <v>-22</v>
      </c>
      <c r="D118" s="162" t="s">
        <v>218</v>
      </c>
      <c r="E118" s="162">
        <v>1</v>
      </c>
      <c r="F118" s="160">
        <v>-6.4249999999999998</v>
      </c>
      <c r="G118" s="160">
        <v>-6.3730000000000002</v>
      </c>
      <c r="H118" s="164">
        <v>79.52</v>
      </c>
      <c r="I118" s="164">
        <v>87.02</v>
      </c>
      <c r="J118" s="162"/>
      <c r="K118" s="165"/>
      <c r="L118" s="165"/>
      <c r="M118" s="155"/>
      <c r="N118" s="155"/>
      <c r="O118" s="155"/>
      <c r="P118" s="155"/>
    </row>
    <row r="119" spans="1:16" s="167" customFormat="1" ht="13.5" customHeight="1">
      <c r="A119" s="155">
        <v>14</v>
      </c>
      <c r="B119" s="162">
        <v>1</v>
      </c>
      <c r="C119" s="162">
        <v>-22</v>
      </c>
      <c r="D119" s="162" t="s">
        <v>218</v>
      </c>
      <c r="E119" s="162">
        <v>1</v>
      </c>
      <c r="F119" s="160">
        <v>-6.7389999999999999</v>
      </c>
      <c r="G119" s="160"/>
      <c r="H119" s="164">
        <v>95.52</v>
      </c>
      <c r="I119" s="164"/>
      <c r="J119" s="162"/>
      <c r="K119" s="165"/>
      <c r="L119" s="165"/>
      <c r="M119" s="155"/>
      <c r="N119" s="155"/>
      <c r="O119" s="155"/>
      <c r="P119" s="155"/>
    </row>
    <row r="120" spans="1:16" s="167" customFormat="1" ht="13.5" customHeight="1">
      <c r="A120" s="155">
        <v>14</v>
      </c>
      <c r="B120" s="162"/>
      <c r="C120" s="162"/>
      <c r="D120" s="162"/>
      <c r="E120" s="162"/>
      <c r="F120" s="160"/>
      <c r="G120" s="160"/>
      <c r="H120" s="164"/>
      <c r="I120" s="164"/>
      <c r="J120" s="162"/>
      <c r="K120" s="165"/>
      <c r="L120" s="165"/>
      <c r="M120" s="155"/>
      <c r="N120" s="155"/>
      <c r="O120" s="155"/>
      <c r="P120" s="155"/>
    </row>
    <row r="121" spans="1:16" s="167" customFormat="1" ht="13.5" customHeight="1">
      <c r="A121" s="155">
        <v>14</v>
      </c>
      <c r="B121" s="162">
        <v>1</v>
      </c>
      <c r="C121" s="162">
        <v>-22</v>
      </c>
      <c r="D121" s="162" t="s">
        <v>185</v>
      </c>
      <c r="E121" s="162">
        <v>1</v>
      </c>
      <c r="F121" s="160">
        <v>3.1999999999999966</v>
      </c>
      <c r="G121" s="160">
        <v>-11.725</v>
      </c>
      <c r="H121" s="164">
        <v>32.93</v>
      </c>
      <c r="I121" s="164">
        <v>41.63</v>
      </c>
      <c r="J121" s="162"/>
      <c r="K121" s="165"/>
      <c r="L121" s="165"/>
      <c r="M121" s="155"/>
      <c r="N121" s="155"/>
      <c r="O121" s="155"/>
      <c r="P121" s="155"/>
    </row>
    <row r="122" spans="1:16" s="167" customFormat="1" ht="13.5" customHeight="1">
      <c r="A122" s="155">
        <v>14</v>
      </c>
      <c r="B122" s="162">
        <v>1</v>
      </c>
      <c r="C122" s="162">
        <v>-22</v>
      </c>
      <c r="D122" s="162" t="s">
        <v>218</v>
      </c>
      <c r="E122" s="162">
        <v>1</v>
      </c>
      <c r="F122" s="160">
        <v>-12.65</v>
      </c>
      <c r="G122" s="160">
        <v>-11.725</v>
      </c>
      <c r="H122" s="164">
        <v>50.88</v>
      </c>
      <c r="I122" s="164">
        <v>59.57</v>
      </c>
      <c r="J122" s="162"/>
      <c r="K122" s="165"/>
      <c r="L122" s="165"/>
      <c r="M122" s="155"/>
      <c r="N122" s="155"/>
      <c r="O122" s="155"/>
      <c r="P122" s="155"/>
    </row>
    <row r="123" spans="1:16" s="167" customFormat="1" ht="13.5" customHeight="1">
      <c r="A123" s="155"/>
      <c r="B123" s="162"/>
      <c r="C123" s="162"/>
      <c r="D123" s="162"/>
      <c r="E123" s="162"/>
      <c r="F123" s="163"/>
      <c r="G123" s="163"/>
      <c r="H123" s="164"/>
      <c r="I123" s="164"/>
      <c r="J123" s="162"/>
      <c r="K123" s="165"/>
      <c r="L123" s="165"/>
      <c r="M123" s="155"/>
      <c r="N123" s="155"/>
      <c r="O123" s="155"/>
      <c r="P123" s="155"/>
    </row>
    <row r="124" spans="1:16" s="167" customFormat="1" ht="13.5" customHeight="1">
      <c r="A124" s="155">
        <v>15</v>
      </c>
      <c r="B124" s="162">
        <v>1</v>
      </c>
      <c r="C124" s="162">
        <v>-22</v>
      </c>
      <c r="D124" s="162" t="s">
        <v>218</v>
      </c>
      <c r="E124" s="162">
        <v>1</v>
      </c>
      <c r="F124" s="160">
        <v>1.7129999999999974</v>
      </c>
      <c r="G124" s="160">
        <v>-6.7389999999999999</v>
      </c>
      <c r="H124" s="164">
        <v>-53.51</v>
      </c>
      <c r="I124" s="164">
        <v>-10.5</v>
      </c>
      <c r="J124" s="162"/>
      <c r="K124" s="165"/>
      <c r="L124" s="165"/>
      <c r="M124" s="155"/>
      <c r="N124" s="155"/>
      <c r="O124" s="155"/>
      <c r="P124" s="155"/>
    </row>
    <row r="125" spans="1:16" s="167" customFormat="1" ht="13.5" customHeight="1">
      <c r="A125" s="155">
        <v>15</v>
      </c>
      <c r="B125" s="162">
        <v>1</v>
      </c>
      <c r="C125" s="162">
        <v>-22</v>
      </c>
      <c r="D125" s="162" t="s">
        <v>218</v>
      </c>
      <c r="E125" s="162">
        <v>1</v>
      </c>
      <c r="F125" s="160">
        <v>-6.3730000000000002</v>
      </c>
      <c r="G125" s="160">
        <v>-6.4249999999999998</v>
      </c>
      <c r="H125" s="164">
        <v>30.51</v>
      </c>
      <c r="I125" s="164">
        <v>71.510000000000005</v>
      </c>
      <c r="J125" s="162"/>
      <c r="K125" s="165"/>
      <c r="L125" s="165"/>
      <c r="M125" s="155"/>
      <c r="N125" s="155"/>
      <c r="O125" s="155"/>
      <c r="P125" s="155"/>
    </row>
    <row r="126" spans="1:16" s="167" customFormat="1" ht="13.5" customHeight="1">
      <c r="A126" s="155">
        <v>15</v>
      </c>
      <c r="B126" s="162">
        <v>1</v>
      </c>
      <c r="C126" s="162">
        <v>-22</v>
      </c>
      <c r="D126" s="162" t="s">
        <v>185</v>
      </c>
      <c r="E126" s="162">
        <v>1</v>
      </c>
      <c r="F126" s="160">
        <v>-6.4249999999999998</v>
      </c>
      <c r="G126" s="160">
        <v>-6.3730000000000002</v>
      </c>
      <c r="H126" s="164">
        <v>112.52</v>
      </c>
      <c r="I126" s="164">
        <v>153.03</v>
      </c>
      <c r="J126" s="162"/>
      <c r="K126" s="165"/>
      <c r="L126" s="165"/>
      <c r="M126" s="155"/>
      <c r="N126" s="155"/>
      <c r="O126" s="155"/>
      <c r="P126" s="155"/>
    </row>
    <row r="127" spans="1:16" s="167" customFormat="1" ht="13.5" customHeight="1">
      <c r="A127" s="155">
        <v>15</v>
      </c>
      <c r="B127" s="162">
        <v>1</v>
      </c>
      <c r="C127" s="162">
        <v>-22</v>
      </c>
      <c r="D127" s="162" t="s">
        <v>218</v>
      </c>
      <c r="E127" s="162">
        <v>1</v>
      </c>
      <c r="F127" s="160">
        <v>-6.7389999999999999</v>
      </c>
      <c r="G127" s="160"/>
      <c r="H127" s="164">
        <v>196.54</v>
      </c>
      <c r="I127" s="164"/>
      <c r="J127" s="162"/>
      <c r="K127" s="165"/>
      <c r="L127" s="165"/>
      <c r="M127" s="155"/>
      <c r="N127" s="155"/>
      <c r="O127" s="155"/>
      <c r="P127" s="155"/>
    </row>
    <row r="128" spans="1:16" s="167" customFormat="1" ht="13.5" customHeight="1">
      <c r="A128" s="155">
        <v>15</v>
      </c>
      <c r="B128" s="162"/>
      <c r="C128" s="162"/>
      <c r="D128" s="162"/>
      <c r="E128" s="162"/>
      <c r="F128" s="160"/>
      <c r="G128" s="160"/>
      <c r="H128" s="164"/>
      <c r="I128" s="164"/>
      <c r="J128" s="162"/>
      <c r="K128" s="165"/>
      <c r="L128" s="165"/>
      <c r="M128" s="155"/>
      <c r="N128" s="155"/>
      <c r="O128" s="155"/>
      <c r="P128" s="155"/>
    </row>
    <row r="129" spans="1:16" s="167" customFormat="1" ht="13.5" customHeight="1">
      <c r="A129" s="155">
        <v>15</v>
      </c>
      <c r="B129" s="162">
        <v>1</v>
      </c>
      <c r="C129" s="162">
        <v>-22</v>
      </c>
      <c r="D129" s="162" t="s">
        <v>218</v>
      </c>
      <c r="E129" s="162">
        <v>1</v>
      </c>
      <c r="F129" s="160">
        <v>3.1999999999999966</v>
      </c>
      <c r="G129" s="160">
        <v>-11.725</v>
      </c>
      <c r="H129" s="164">
        <v>-22.2</v>
      </c>
      <c r="I129" s="164">
        <v>22.2</v>
      </c>
      <c r="J129" s="162"/>
      <c r="K129" s="165"/>
      <c r="L129" s="165"/>
      <c r="M129" s="155"/>
      <c r="N129" s="155"/>
      <c r="O129" s="155"/>
      <c r="P129" s="155"/>
    </row>
    <row r="130" spans="1:16" s="167" customFormat="1" ht="13.5" customHeight="1">
      <c r="A130" s="155">
        <v>15</v>
      </c>
      <c r="B130" s="162">
        <v>1</v>
      </c>
      <c r="C130" s="162">
        <v>-22</v>
      </c>
      <c r="D130" s="162" t="s">
        <v>185</v>
      </c>
      <c r="E130" s="162">
        <v>1</v>
      </c>
      <c r="F130" s="160">
        <v>-12.65</v>
      </c>
      <c r="G130" s="160">
        <v>-11.725</v>
      </c>
      <c r="H130" s="164">
        <v>70.3</v>
      </c>
      <c r="I130" s="164">
        <v>114.7</v>
      </c>
      <c r="J130" s="162"/>
      <c r="K130" s="165"/>
      <c r="L130" s="165"/>
      <c r="M130" s="155"/>
      <c r="N130" s="155"/>
      <c r="O130" s="155"/>
      <c r="P130" s="155"/>
    </row>
    <row r="131" spans="1:16" s="167" customFormat="1" ht="13.5" customHeight="1">
      <c r="A131" s="155"/>
      <c r="B131" s="162"/>
      <c r="C131" s="162"/>
      <c r="D131" s="162"/>
      <c r="E131" s="162"/>
      <c r="F131" s="163"/>
      <c r="G131" s="163"/>
      <c r="H131" s="164"/>
      <c r="I131" s="164"/>
      <c r="J131" s="162"/>
      <c r="K131" s="165"/>
      <c r="L131" s="165"/>
      <c r="M131" s="155"/>
      <c r="N131" s="155"/>
      <c r="O131" s="155"/>
      <c r="P131" s="155"/>
    </row>
    <row r="132" spans="1:16" s="167" customFormat="1" ht="13.5" customHeight="1">
      <c r="A132" s="155">
        <v>16</v>
      </c>
      <c r="B132" s="162">
        <v>1</v>
      </c>
      <c r="C132" s="162">
        <v>-22</v>
      </c>
      <c r="D132" s="162" t="s">
        <v>218</v>
      </c>
      <c r="E132" s="162">
        <v>1</v>
      </c>
      <c r="F132" s="160">
        <v>1.7129999999999974</v>
      </c>
      <c r="G132" s="160">
        <v>-6.7389999999999999</v>
      </c>
      <c r="H132" s="164">
        <v>-22.3</v>
      </c>
      <c r="I132" s="164">
        <v>-14.61</v>
      </c>
      <c r="J132" s="162">
        <v>3</v>
      </c>
      <c r="K132" s="165">
        <v>30.66</v>
      </c>
      <c r="L132" s="165">
        <v>-6.22</v>
      </c>
      <c r="M132" s="155"/>
      <c r="N132" s="155"/>
      <c r="O132" s="155"/>
      <c r="P132" s="155"/>
    </row>
    <row r="133" spans="1:16" s="167" customFormat="1" ht="13.5" customHeight="1">
      <c r="A133" s="155">
        <v>16</v>
      </c>
      <c r="B133" s="162">
        <v>1</v>
      </c>
      <c r="C133" s="162">
        <v>-22</v>
      </c>
      <c r="D133" s="162" t="s">
        <v>185</v>
      </c>
      <c r="E133" s="162">
        <v>1</v>
      </c>
      <c r="F133" s="160">
        <v>-6.3730000000000002</v>
      </c>
      <c r="G133" s="160">
        <v>-12.85</v>
      </c>
      <c r="H133" s="164">
        <v>-7.33</v>
      </c>
      <c r="I133" s="164">
        <v>7.33</v>
      </c>
      <c r="J133" s="162">
        <v>6</v>
      </c>
      <c r="K133" s="165">
        <v>30.66</v>
      </c>
      <c r="L133" s="165">
        <v>-4.1500000000000004</v>
      </c>
      <c r="M133" s="155"/>
      <c r="N133" s="155"/>
      <c r="O133" s="155"/>
      <c r="P133" s="155"/>
    </row>
    <row r="134" spans="1:16" s="167" customFormat="1" ht="13.5" customHeight="1">
      <c r="A134" s="155">
        <v>16</v>
      </c>
      <c r="B134" s="162">
        <v>1</v>
      </c>
      <c r="C134" s="162">
        <v>-22</v>
      </c>
      <c r="D134" s="162" t="s">
        <v>218</v>
      </c>
      <c r="E134" s="162">
        <v>1</v>
      </c>
      <c r="F134" s="160">
        <v>-6.3730000000000002</v>
      </c>
      <c r="G134" s="160">
        <v>-6.7389999999999999</v>
      </c>
      <c r="H134" s="164">
        <v>14.61</v>
      </c>
      <c r="I134" s="164">
        <v>22.3</v>
      </c>
      <c r="J134" s="162">
        <v>9</v>
      </c>
      <c r="K134" s="165">
        <v>30.66</v>
      </c>
      <c r="L134" s="165">
        <v>-2.0699999999999998</v>
      </c>
      <c r="M134" s="155"/>
      <c r="N134" s="155"/>
      <c r="O134" s="155"/>
      <c r="P134" s="155"/>
    </row>
    <row r="135" spans="1:16" s="167" customFormat="1" ht="13.5" customHeight="1">
      <c r="A135" s="155">
        <v>16</v>
      </c>
      <c r="B135" s="162"/>
      <c r="C135" s="162"/>
      <c r="D135" s="162"/>
      <c r="E135" s="162"/>
      <c r="G135" s="160"/>
      <c r="H135" s="164"/>
      <c r="I135" s="164"/>
      <c r="J135" s="162">
        <v>12</v>
      </c>
      <c r="K135" s="165">
        <v>30.66</v>
      </c>
      <c r="L135" s="165"/>
      <c r="M135" s="155"/>
      <c r="N135" s="155"/>
      <c r="O135" s="155"/>
      <c r="P135" s="155"/>
    </row>
    <row r="136" spans="1:16" s="167" customFormat="1" ht="13.5" customHeight="1">
      <c r="A136" s="155">
        <v>16</v>
      </c>
      <c r="B136" s="162"/>
      <c r="C136" s="162"/>
      <c r="D136" s="162"/>
      <c r="E136" s="162"/>
      <c r="F136" s="160"/>
      <c r="G136" s="160"/>
      <c r="H136" s="164"/>
      <c r="I136" s="164"/>
      <c r="J136" s="162">
        <v>15</v>
      </c>
      <c r="K136" s="165">
        <v>30.66</v>
      </c>
      <c r="L136" s="165">
        <v>2.0699999999999998</v>
      </c>
      <c r="M136" s="155"/>
      <c r="N136" s="155"/>
      <c r="O136" s="155"/>
      <c r="P136" s="155"/>
    </row>
    <row r="137" spans="1:16" s="167" customFormat="1" ht="13.5" customHeight="1">
      <c r="A137" s="155">
        <v>16</v>
      </c>
      <c r="B137" s="162"/>
      <c r="C137" s="162"/>
      <c r="D137" s="162"/>
      <c r="E137" s="162"/>
      <c r="F137" s="160"/>
      <c r="G137" s="160"/>
      <c r="H137" s="164"/>
      <c r="I137" s="164"/>
      <c r="J137" s="162">
        <v>18</v>
      </c>
      <c r="K137" s="165">
        <v>30.66</v>
      </c>
      <c r="L137" s="165">
        <v>4.1500000000000004</v>
      </c>
      <c r="M137" s="155"/>
      <c r="N137" s="155"/>
      <c r="O137" s="155"/>
      <c r="P137" s="155"/>
    </row>
    <row r="138" spans="1:16" s="167" customFormat="1" ht="13.5" customHeight="1">
      <c r="A138" s="155">
        <v>16</v>
      </c>
      <c r="B138" s="162"/>
      <c r="C138" s="162"/>
      <c r="D138" s="162"/>
      <c r="E138" s="162"/>
      <c r="F138" s="160"/>
      <c r="G138" s="160"/>
      <c r="H138" s="164"/>
      <c r="I138" s="164"/>
      <c r="J138" s="162">
        <v>21</v>
      </c>
      <c r="K138" s="165">
        <v>30.66</v>
      </c>
      <c r="L138" s="165">
        <v>6.22</v>
      </c>
      <c r="M138" s="155"/>
      <c r="N138" s="155"/>
      <c r="O138" s="155"/>
      <c r="P138" s="155"/>
    </row>
    <row r="139" spans="1:16" s="167" customFormat="1" ht="13.5" customHeight="1">
      <c r="A139" s="155"/>
      <c r="B139" s="162"/>
      <c r="C139" s="162"/>
      <c r="D139" s="162"/>
      <c r="E139" s="162"/>
      <c r="F139" s="163"/>
      <c r="G139" s="163"/>
      <c r="H139" s="164"/>
      <c r="I139" s="164"/>
      <c r="J139" s="162"/>
      <c r="K139" s="165"/>
      <c r="L139" s="165"/>
      <c r="M139" s="155"/>
      <c r="N139" s="155"/>
      <c r="O139" s="155"/>
      <c r="P139" s="155"/>
    </row>
    <row r="140" spans="1:16" s="167" customFormat="1" ht="13.5" customHeight="1">
      <c r="A140" s="155">
        <v>17</v>
      </c>
      <c r="B140" s="162">
        <v>1</v>
      </c>
      <c r="C140" s="162">
        <v>-22</v>
      </c>
      <c r="D140" s="162" t="s">
        <v>218</v>
      </c>
      <c r="E140" s="162">
        <v>1</v>
      </c>
      <c r="F140" s="160">
        <v>1.7129999999999974</v>
      </c>
      <c r="G140" s="160">
        <v>-6.7389999999999999</v>
      </c>
      <c r="H140" s="164">
        <v>-10.95</v>
      </c>
      <c r="I140" s="164">
        <v>-7.17</v>
      </c>
      <c r="J140" s="162">
        <v>3</v>
      </c>
      <c r="K140" s="165">
        <v>16.78</v>
      </c>
      <c r="L140" s="165">
        <v>-3.4</v>
      </c>
      <c r="M140" s="155"/>
      <c r="N140" s="155"/>
      <c r="O140" s="155"/>
      <c r="P140" s="155"/>
    </row>
    <row r="141" spans="1:16" s="167" customFormat="1" ht="13.5" customHeight="1">
      <c r="A141" s="155">
        <v>17</v>
      </c>
      <c r="B141" s="162">
        <v>1</v>
      </c>
      <c r="C141" s="162">
        <v>-22</v>
      </c>
      <c r="D141" s="162" t="s">
        <v>218</v>
      </c>
      <c r="E141" s="162">
        <v>1</v>
      </c>
      <c r="F141" s="160">
        <v>-6.3730000000000002</v>
      </c>
      <c r="G141" s="160">
        <v>-12.85</v>
      </c>
      <c r="H141" s="164">
        <v>-3.6</v>
      </c>
      <c r="I141" s="164">
        <v>3.6</v>
      </c>
      <c r="J141" s="162">
        <v>6</v>
      </c>
      <c r="K141" s="165">
        <v>16.78</v>
      </c>
      <c r="L141" s="165">
        <v>-2.27</v>
      </c>
      <c r="M141" s="155"/>
      <c r="N141" s="155"/>
      <c r="O141" s="155"/>
      <c r="P141" s="155"/>
    </row>
    <row r="142" spans="1:16" s="167" customFormat="1" ht="13.5" customHeight="1">
      <c r="A142" s="155">
        <v>17</v>
      </c>
      <c r="B142" s="162">
        <v>1</v>
      </c>
      <c r="C142" s="162">
        <v>-22</v>
      </c>
      <c r="D142" s="162" t="s">
        <v>185</v>
      </c>
      <c r="E142" s="162">
        <v>1</v>
      </c>
      <c r="F142" s="160">
        <v>-6.3730000000000002</v>
      </c>
      <c r="G142" s="160">
        <v>-6.7389999999999999</v>
      </c>
      <c r="H142" s="164">
        <v>7.17</v>
      </c>
      <c r="I142" s="164">
        <v>10.95</v>
      </c>
      <c r="J142" s="162">
        <v>9</v>
      </c>
      <c r="K142" s="165">
        <v>16.78</v>
      </c>
      <c r="L142" s="165">
        <v>-1.1299999999999999</v>
      </c>
      <c r="M142" s="155"/>
      <c r="N142" s="155"/>
      <c r="O142" s="155"/>
      <c r="P142" s="155"/>
    </row>
    <row r="143" spans="1:16" s="167" customFormat="1" ht="13.5" customHeight="1">
      <c r="A143" s="155">
        <v>17</v>
      </c>
      <c r="B143" s="162"/>
      <c r="C143" s="162"/>
      <c r="D143" s="162"/>
      <c r="E143" s="162"/>
      <c r="G143" s="160"/>
      <c r="H143" s="164"/>
      <c r="I143" s="164"/>
      <c r="J143" s="162">
        <v>12</v>
      </c>
      <c r="K143" s="165">
        <v>16.78</v>
      </c>
      <c r="L143" s="165"/>
      <c r="M143" s="155"/>
      <c r="N143" s="155"/>
      <c r="O143" s="155"/>
      <c r="P143" s="155"/>
    </row>
    <row r="144" spans="1:16" s="167" customFormat="1" ht="13.5" customHeight="1">
      <c r="A144" s="155">
        <v>17</v>
      </c>
      <c r="B144" s="162"/>
      <c r="C144" s="162"/>
      <c r="D144" s="162"/>
      <c r="E144" s="162"/>
      <c r="F144" s="160"/>
      <c r="G144" s="160"/>
      <c r="H144" s="164"/>
      <c r="I144" s="164"/>
      <c r="J144" s="162">
        <v>15</v>
      </c>
      <c r="K144" s="165">
        <v>16.78</v>
      </c>
      <c r="L144" s="165">
        <v>1.1299999999999999</v>
      </c>
      <c r="M144" s="155"/>
      <c r="N144" s="155"/>
      <c r="O144" s="155"/>
      <c r="P144" s="155"/>
    </row>
    <row r="145" spans="1:16" s="167" customFormat="1" ht="13.5" customHeight="1">
      <c r="A145" s="155">
        <v>17</v>
      </c>
      <c r="B145" s="162"/>
      <c r="C145" s="162"/>
      <c r="D145" s="162"/>
      <c r="E145" s="162"/>
      <c r="F145" s="160"/>
      <c r="G145" s="160"/>
      <c r="H145" s="164"/>
      <c r="I145" s="164"/>
      <c r="J145" s="162">
        <v>18</v>
      </c>
      <c r="K145" s="165">
        <v>16.78</v>
      </c>
      <c r="L145" s="165">
        <v>2.27</v>
      </c>
      <c r="M145" s="155"/>
      <c r="N145" s="155"/>
      <c r="O145" s="155"/>
      <c r="P145" s="155"/>
    </row>
    <row r="146" spans="1:16" s="167" customFormat="1" ht="13.5" customHeight="1">
      <c r="A146" s="155">
        <v>17</v>
      </c>
      <c r="B146" s="162"/>
      <c r="C146" s="162"/>
      <c r="D146" s="162"/>
      <c r="E146" s="162"/>
      <c r="F146" s="160"/>
      <c r="G146" s="160"/>
      <c r="H146" s="164"/>
      <c r="I146" s="164"/>
      <c r="J146" s="162">
        <v>21</v>
      </c>
      <c r="K146" s="165">
        <v>16.78</v>
      </c>
      <c r="L146" s="165">
        <v>3.4</v>
      </c>
      <c r="M146" s="155"/>
      <c r="N146" s="155"/>
      <c r="O146" s="155"/>
      <c r="P146" s="155"/>
    </row>
    <row r="147" spans="1:16" s="167" customFormat="1" ht="13.5" customHeight="1">
      <c r="A147" s="155"/>
      <c r="B147" s="162"/>
      <c r="C147" s="162"/>
      <c r="D147" s="162"/>
      <c r="E147" s="162"/>
      <c r="F147" s="163"/>
      <c r="G147" s="163"/>
      <c r="H147" s="164"/>
      <c r="I147" s="164"/>
      <c r="J147" s="162"/>
      <c r="K147" s="165"/>
      <c r="L147" s="165"/>
      <c r="M147" s="155"/>
      <c r="N147" s="155"/>
      <c r="O147" s="155"/>
      <c r="P147" s="155"/>
    </row>
    <row r="148" spans="1:16" s="167" customFormat="1" ht="13.5" customHeight="1">
      <c r="A148" s="155">
        <v>18</v>
      </c>
      <c r="B148" s="162">
        <v>1</v>
      </c>
      <c r="C148" s="162">
        <v>-22</v>
      </c>
      <c r="D148" s="162" t="s">
        <v>218</v>
      </c>
      <c r="E148" s="162">
        <v>1</v>
      </c>
      <c r="F148" s="160">
        <v>1.7129999999999974</v>
      </c>
      <c r="G148" s="160">
        <v>-6.7389999999999999</v>
      </c>
      <c r="H148" s="164">
        <v>-37.26</v>
      </c>
      <c r="I148" s="164">
        <v>-24.41</v>
      </c>
      <c r="J148" s="162">
        <v>3</v>
      </c>
      <c r="K148" s="165">
        <v>102.60000000000001</v>
      </c>
      <c r="L148" s="165">
        <v>-20.83</v>
      </c>
      <c r="M148" s="155"/>
      <c r="N148" s="155"/>
      <c r="O148" s="155"/>
      <c r="P148" s="155"/>
    </row>
    <row r="149" spans="1:16" s="167" customFormat="1" ht="13.5" customHeight="1">
      <c r="A149" s="155">
        <v>18</v>
      </c>
      <c r="B149" s="162">
        <v>1</v>
      </c>
      <c r="C149" s="162">
        <v>-22</v>
      </c>
      <c r="D149" s="162" t="s">
        <v>218</v>
      </c>
      <c r="E149" s="162">
        <v>1</v>
      </c>
      <c r="F149" s="160">
        <v>-6.3730000000000002</v>
      </c>
      <c r="G149" s="160">
        <v>-12.85</v>
      </c>
      <c r="H149" s="164">
        <v>-12.25</v>
      </c>
      <c r="I149" s="164">
        <v>12.25</v>
      </c>
      <c r="J149" s="162">
        <v>6</v>
      </c>
      <c r="K149" s="165">
        <v>102.60000000000001</v>
      </c>
      <c r="L149" s="165">
        <v>-13.86</v>
      </c>
      <c r="M149" s="155"/>
      <c r="N149" s="155"/>
      <c r="O149" s="155"/>
      <c r="P149" s="155"/>
    </row>
    <row r="150" spans="1:16" s="167" customFormat="1" ht="13.5" customHeight="1">
      <c r="A150" s="155">
        <v>18</v>
      </c>
      <c r="B150" s="162">
        <v>1</v>
      </c>
      <c r="C150" s="162">
        <v>-22</v>
      </c>
      <c r="D150" s="162" t="s">
        <v>218</v>
      </c>
      <c r="E150" s="162">
        <v>1</v>
      </c>
      <c r="F150" s="160">
        <v>-6.3730000000000002</v>
      </c>
      <c r="G150" s="160">
        <v>-6.7389999999999999</v>
      </c>
      <c r="H150" s="164">
        <v>24.41</v>
      </c>
      <c r="I150" s="164">
        <v>37.26</v>
      </c>
      <c r="J150" s="162">
        <v>9</v>
      </c>
      <c r="K150" s="165">
        <v>102.60000000000001</v>
      </c>
      <c r="L150" s="165">
        <v>-6.93</v>
      </c>
      <c r="M150" s="155"/>
      <c r="N150" s="155"/>
      <c r="O150" s="155"/>
      <c r="P150" s="155"/>
    </row>
    <row r="151" spans="1:16" s="167" customFormat="1" ht="13.5" customHeight="1">
      <c r="A151" s="155">
        <v>18</v>
      </c>
      <c r="B151" s="162"/>
      <c r="C151" s="162"/>
      <c r="D151" s="162"/>
      <c r="E151" s="162"/>
      <c r="F151" s="163"/>
      <c r="G151" s="166"/>
      <c r="H151" s="164"/>
      <c r="I151" s="164"/>
      <c r="J151" s="162">
        <v>12</v>
      </c>
      <c r="K151" s="165">
        <v>102.60000000000001</v>
      </c>
      <c r="L151" s="165"/>
      <c r="M151" s="155"/>
      <c r="N151" s="155"/>
      <c r="O151" s="155"/>
      <c r="P151" s="155"/>
    </row>
    <row r="152" spans="1:16" s="167" customFormat="1" ht="13.5" customHeight="1">
      <c r="A152" s="155">
        <v>18</v>
      </c>
      <c r="B152" s="162">
        <v>1</v>
      </c>
      <c r="C152" s="162">
        <v>-22</v>
      </c>
      <c r="D152" s="162" t="s">
        <v>218</v>
      </c>
      <c r="E152" s="162">
        <v>1</v>
      </c>
      <c r="F152" s="160">
        <v>3.1999999999999966</v>
      </c>
      <c r="G152" s="160">
        <v>-11.725</v>
      </c>
      <c r="H152" s="164">
        <v>-13.91</v>
      </c>
      <c r="I152" s="164">
        <v>-4.87</v>
      </c>
      <c r="J152" s="162">
        <v>15</v>
      </c>
      <c r="K152" s="165">
        <v>102.60000000000001</v>
      </c>
      <c r="L152" s="165">
        <v>6.93</v>
      </c>
      <c r="M152" s="155"/>
      <c r="N152" s="155"/>
      <c r="O152" s="155"/>
      <c r="P152" s="155"/>
    </row>
    <row r="153" spans="1:16" s="167" customFormat="1" ht="13.5" customHeight="1">
      <c r="A153" s="155">
        <v>18</v>
      </c>
      <c r="B153" s="162">
        <v>1</v>
      </c>
      <c r="C153" s="162">
        <v>-22</v>
      </c>
      <c r="D153" s="162" t="s">
        <v>218</v>
      </c>
      <c r="E153" s="162">
        <v>1</v>
      </c>
      <c r="F153" s="160">
        <v>-12.65</v>
      </c>
      <c r="G153" s="160">
        <v>-11.725</v>
      </c>
      <c r="H153" s="164">
        <v>4.87</v>
      </c>
      <c r="I153" s="164">
        <v>13.91</v>
      </c>
      <c r="J153" s="162">
        <v>18</v>
      </c>
      <c r="K153" s="165">
        <v>102.60000000000001</v>
      </c>
      <c r="L153" s="165">
        <v>13.86</v>
      </c>
      <c r="M153" s="155"/>
      <c r="N153" s="155"/>
      <c r="O153" s="155"/>
      <c r="P153" s="155"/>
    </row>
    <row r="154" spans="1:16" s="167" customFormat="1" ht="13.5" customHeight="1">
      <c r="A154" s="155">
        <v>18</v>
      </c>
      <c r="B154" s="162"/>
      <c r="C154" s="162"/>
      <c r="D154" s="162"/>
      <c r="E154" s="162"/>
      <c r="F154" s="163"/>
      <c r="G154" s="163"/>
      <c r="H154" s="164"/>
      <c r="I154" s="164"/>
      <c r="J154" s="162">
        <v>21</v>
      </c>
      <c r="K154" s="165">
        <v>102.60000000000001</v>
      </c>
      <c r="L154" s="165">
        <v>20.83</v>
      </c>
      <c r="M154" s="155"/>
      <c r="N154" s="155"/>
      <c r="O154" s="155"/>
      <c r="P154" s="155"/>
    </row>
    <row r="155" spans="1:16" s="167" customFormat="1" ht="13.5" customHeight="1">
      <c r="A155" s="155"/>
      <c r="B155" s="162"/>
      <c r="C155" s="162"/>
      <c r="D155" s="162"/>
      <c r="E155" s="162"/>
      <c r="F155" s="163"/>
      <c r="G155" s="163"/>
      <c r="H155" s="164"/>
      <c r="I155" s="164"/>
      <c r="J155" s="162"/>
      <c r="K155" s="165"/>
      <c r="L155" s="165"/>
      <c r="M155" s="155"/>
      <c r="N155" s="155"/>
      <c r="O155" s="155"/>
      <c r="P155" s="155"/>
    </row>
    <row r="156" spans="1:16" s="167" customFormat="1" ht="13.5" customHeight="1">
      <c r="A156" s="155">
        <v>19</v>
      </c>
      <c r="B156" s="162">
        <v>1</v>
      </c>
      <c r="C156" s="162">
        <v>-22</v>
      </c>
      <c r="D156" s="162" t="s">
        <v>185</v>
      </c>
      <c r="E156" s="162">
        <v>1</v>
      </c>
      <c r="F156" s="160">
        <v>1.7129999999999974</v>
      </c>
      <c r="G156" s="160">
        <v>-6.7389999999999999</v>
      </c>
      <c r="H156" s="164">
        <v>-74.53</v>
      </c>
      <c r="I156" s="164">
        <v>-48.82</v>
      </c>
      <c r="J156" s="162">
        <v>3</v>
      </c>
      <c r="K156" s="165">
        <v>205.19</v>
      </c>
      <c r="L156" s="165">
        <v>-41.66</v>
      </c>
      <c r="M156" s="155"/>
      <c r="N156" s="155"/>
      <c r="O156" s="155"/>
      <c r="P156" s="155"/>
    </row>
    <row r="157" spans="1:16" s="167" customFormat="1" ht="13.5" customHeight="1">
      <c r="A157" s="155">
        <v>19</v>
      </c>
      <c r="B157" s="162">
        <v>1</v>
      </c>
      <c r="C157" s="162">
        <v>-22</v>
      </c>
      <c r="D157" s="162" t="s">
        <v>218</v>
      </c>
      <c r="E157" s="162">
        <v>1</v>
      </c>
      <c r="F157" s="160">
        <v>-6.3730000000000002</v>
      </c>
      <c r="G157" s="160">
        <v>-12.85</v>
      </c>
      <c r="H157" s="164">
        <v>-24.51</v>
      </c>
      <c r="I157" s="164">
        <v>24.51</v>
      </c>
      <c r="J157" s="162">
        <v>6</v>
      </c>
      <c r="K157" s="165">
        <v>205.19</v>
      </c>
      <c r="L157" s="165">
        <v>-27.71</v>
      </c>
      <c r="M157" s="155"/>
      <c r="N157" s="155"/>
      <c r="O157" s="155"/>
      <c r="P157" s="155"/>
    </row>
    <row r="158" spans="1:16" s="167" customFormat="1" ht="13.5" customHeight="1">
      <c r="A158" s="155">
        <v>19</v>
      </c>
      <c r="B158" s="162">
        <v>1</v>
      </c>
      <c r="C158" s="162">
        <v>-22</v>
      </c>
      <c r="D158" s="162" t="s">
        <v>218</v>
      </c>
      <c r="E158" s="162">
        <v>1</v>
      </c>
      <c r="F158" s="160">
        <v>-6.3730000000000002</v>
      </c>
      <c r="G158" s="160">
        <v>-6.7389999999999999</v>
      </c>
      <c r="H158" s="164">
        <v>48.82</v>
      </c>
      <c r="I158" s="164">
        <v>74.53</v>
      </c>
      <c r="J158" s="162">
        <v>9</v>
      </c>
      <c r="K158" s="165">
        <v>205.19</v>
      </c>
      <c r="L158" s="165">
        <v>-13.87</v>
      </c>
      <c r="M158" s="155"/>
      <c r="N158" s="155"/>
      <c r="O158" s="155"/>
      <c r="P158" s="155"/>
    </row>
    <row r="159" spans="1:16" s="167" customFormat="1" ht="13.5" customHeight="1">
      <c r="A159" s="155">
        <v>19</v>
      </c>
      <c r="B159" s="162"/>
      <c r="C159" s="162"/>
      <c r="D159" s="162"/>
      <c r="E159" s="162"/>
      <c r="F159" s="160"/>
      <c r="G159" s="160"/>
      <c r="H159" s="164"/>
      <c r="I159" s="164"/>
      <c r="J159" s="162">
        <v>12</v>
      </c>
      <c r="K159" s="165">
        <v>205.19</v>
      </c>
      <c r="L159" s="165"/>
      <c r="M159" s="155"/>
      <c r="N159" s="155"/>
      <c r="O159" s="155"/>
      <c r="P159" s="155"/>
    </row>
    <row r="160" spans="1:16" s="167" customFormat="1" ht="13.5" customHeight="1">
      <c r="A160" s="155">
        <v>19</v>
      </c>
      <c r="B160" s="162">
        <v>1</v>
      </c>
      <c r="C160" s="162">
        <v>-22</v>
      </c>
      <c r="D160" s="162" t="s">
        <v>218</v>
      </c>
      <c r="E160" s="162">
        <v>1</v>
      </c>
      <c r="F160" s="160">
        <v>3.1999999999999966</v>
      </c>
      <c r="G160" s="160">
        <v>-11.725</v>
      </c>
      <c r="H160" s="164">
        <v>-27.82</v>
      </c>
      <c r="I160" s="164">
        <v>-9.75</v>
      </c>
      <c r="J160" s="162">
        <v>15</v>
      </c>
      <c r="K160" s="165">
        <v>205.19</v>
      </c>
      <c r="L160" s="165">
        <v>13.87</v>
      </c>
      <c r="M160" s="155"/>
      <c r="N160" s="155"/>
      <c r="O160" s="155"/>
      <c r="P160" s="155"/>
    </row>
    <row r="161" spans="1:16" s="167" customFormat="1" ht="13.5" customHeight="1">
      <c r="A161" s="155">
        <v>19</v>
      </c>
      <c r="B161" s="162">
        <v>1</v>
      </c>
      <c r="C161" s="162">
        <v>-22</v>
      </c>
      <c r="D161" s="162" t="s">
        <v>218</v>
      </c>
      <c r="E161" s="162">
        <v>1</v>
      </c>
      <c r="F161" s="160">
        <v>-12.65</v>
      </c>
      <c r="G161" s="160">
        <v>-11.725</v>
      </c>
      <c r="H161" s="164">
        <v>9.75</v>
      </c>
      <c r="I161" s="164">
        <v>27.82</v>
      </c>
      <c r="J161" s="162">
        <v>18</v>
      </c>
      <c r="K161" s="165">
        <v>205.19</v>
      </c>
      <c r="L161" s="165">
        <v>27.71</v>
      </c>
      <c r="M161" s="155"/>
      <c r="N161" s="155"/>
      <c r="O161" s="155"/>
      <c r="P161" s="155"/>
    </row>
    <row r="162" spans="1:16" s="167" customFormat="1" ht="13.5" customHeight="1">
      <c r="A162" s="155">
        <v>19</v>
      </c>
      <c r="B162" s="162"/>
      <c r="C162" s="162"/>
      <c r="D162" s="162"/>
      <c r="E162" s="162"/>
      <c r="F162" s="163"/>
      <c r="G162" s="163"/>
      <c r="H162" s="164"/>
      <c r="I162" s="164"/>
      <c r="J162" s="162">
        <v>21</v>
      </c>
      <c r="K162" s="165">
        <v>205.19</v>
      </c>
      <c r="L162" s="165">
        <v>41.66</v>
      </c>
      <c r="M162" s="155"/>
      <c r="N162" s="155"/>
      <c r="O162" s="155"/>
      <c r="P162" s="155"/>
    </row>
    <row r="163" spans="1:16" ht="13.5" customHeight="1">
      <c r="A163" s="155"/>
      <c r="B163" s="162"/>
      <c r="C163" s="162"/>
      <c r="D163" s="162"/>
      <c r="E163" s="162"/>
      <c r="F163" s="163"/>
      <c r="G163" s="163"/>
      <c r="H163" s="164"/>
      <c r="I163" s="164"/>
      <c r="J163" s="162"/>
      <c r="K163" s="165"/>
      <c r="L163" s="165"/>
    </row>
  </sheetData>
  <mergeCells count="14">
    <mergeCell ref="J4:P4"/>
    <mergeCell ref="A4:A6"/>
    <mergeCell ref="B4:I4"/>
    <mergeCell ref="J5:J6"/>
    <mergeCell ref="B5:B6"/>
    <mergeCell ref="C5:C6"/>
    <mergeCell ref="D5:D6"/>
    <mergeCell ref="E5:E6"/>
    <mergeCell ref="F5:F6"/>
    <mergeCell ref="K5:M5"/>
    <mergeCell ref="N5:P5"/>
    <mergeCell ref="G5:G6"/>
    <mergeCell ref="H5:H6"/>
    <mergeCell ref="I5:I6"/>
  </mergeCells>
  <phoneticPr fontId="2"/>
  <pageMargins left="0.7" right="0.7" top="0.75" bottom="0.75" header="0.3" footer="0.3"/>
  <pageSetup paperSize="9" scale="92" orientation="portrait" horizontalDpi="4294967294" r:id="rId1"/>
  <headerFooter alignWithMargins="0"/>
  <colBreaks count="1" manualBreakCount="1">
    <brk id="12" max="162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1"/>
  <dimension ref="B2:AK32"/>
  <sheetViews>
    <sheetView topLeftCell="A4" zoomScaleNormal="100" workbookViewId="0">
      <selection activeCell="C17" sqref="C17"/>
    </sheetView>
  </sheetViews>
  <sheetFormatPr defaultColWidth="8.875" defaultRowHeight="14.25" customHeight="1"/>
  <cols>
    <col min="1" max="4" width="8.875" style="48"/>
    <col min="5" max="8" width="2.75" style="48" customWidth="1"/>
    <col min="9" max="37" width="2.875" style="48" customWidth="1"/>
    <col min="38" max="16384" width="8.875" style="48"/>
  </cols>
  <sheetData>
    <row r="2" spans="2:37" ht="14.25" customHeight="1">
      <c r="B2" s="77" t="s">
        <v>38</v>
      </c>
    </row>
    <row r="4" spans="2:37" ht="14.25" customHeight="1">
      <c r="B4" s="215" t="s">
        <v>39</v>
      </c>
      <c r="C4" s="216"/>
      <c r="D4" s="90" t="s">
        <v>75</v>
      </c>
    </row>
    <row r="5" spans="2:37" ht="14.25" customHeight="1">
      <c r="B5" s="78"/>
      <c r="C5" s="79" t="s">
        <v>40</v>
      </c>
      <c r="D5" s="90" t="s">
        <v>121</v>
      </c>
    </row>
    <row r="6" spans="2:37" ht="14.25" customHeight="1">
      <c r="B6" s="80"/>
      <c r="C6" s="81" t="s">
        <v>41</v>
      </c>
      <c r="D6" s="91">
        <v>2</v>
      </c>
    </row>
    <row r="7" spans="2:37" ht="14.25" customHeight="1">
      <c r="B7" s="215" t="s">
        <v>42</v>
      </c>
      <c r="C7" s="216"/>
      <c r="D7" s="90" t="s">
        <v>75</v>
      </c>
    </row>
    <row r="8" spans="2:37" ht="14.25" customHeight="1">
      <c r="B8" s="78"/>
      <c r="C8" s="79" t="s">
        <v>40</v>
      </c>
      <c r="D8" s="90" t="s">
        <v>121</v>
      </c>
    </row>
    <row r="9" spans="2:37" ht="14.25" customHeight="1">
      <c r="B9" s="80"/>
      <c r="C9" s="81" t="s">
        <v>41</v>
      </c>
      <c r="D9" s="92">
        <v>2</v>
      </c>
      <c r="I9" s="217"/>
      <c r="J9" s="217"/>
      <c r="K9" s="217"/>
      <c r="L9" s="217"/>
      <c r="M9" s="217"/>
      <c r="N9" s="217"/>
      <c r="O9" s="217"/>
      <c r="P9" s="217"/>
      <c r="Q9" s="217"/>
      <c r="R9" s="217"/>
      <c r="S9" s="217"/>
      <c r="T9" s="217"/>
      <c r="U9" s="217"/>
      <c r="V9" s="217"/>
      <c r="W9" s="217"/>
      <c r="X9" s="217"/>
      <c r="Y9" s="217"/>
      <c r="Z9" s="217"/>
      <c r="AA9" s="217"/>
      <c r="AB9" s="217"/>
      <c r="AC9" s="217"/>
      <c r="AD9" s="217"/>
      <c r="AE9" s="217"/>
      <c r="AF9" s="217"/>
      <c r="AG9" s="217"/>
      <c r="AH9" s="217"/>
      <c r="AI9" s="217"/>
      <c r="AJ9" s="217"/>
      <c r="AK9" s="217"/>
    </row>
    <row r="10" spans="2:37" ht="14.25" customHeight="1">
      <c r="B10" s="215" t="s">
        <v>81</v>
      </c>
      <c r="C10" s="216"/>
      <c r="D10" s="90" t="s">
        <v>75</v>
      </c>
      <c r="I10" s="217"/>
      <c r="J10" s="217"/>
      <c r="K10" s="217"/>
      <c r="L10" s="217"/>
      <c r="M10" s="217"/>
      <c r="N10" s="217"/>
      <c r="O10" s="217"/>
      <c r="P10" s="217"/>
      <c r="Q10" s="217"/>
      <c r="R10" s="217"/>
      <c r="S10" s="217"/>
      <c r="T10" s="217"/>
      <c r="U10" s="217"/>
      <c r="V10" s="217"/>
      <c r="W10" s="217"/>
      <c r="X10" s="217"/>
      <c r="Y10" s="217"/>
      <c r="Z10" s="217"/>
      <c r="AA10" s="217"/>
      <c r="AB10" s="217"/>
      <c r="AC10" s="217"/>
      <c r="AD10" s="217"/>
      <c r="AE10" s="217"/>
      <c r="AF10" s="217"/>
      <c r="AG10" s="217"/>
      <c r="AH10" s="217"/>
      <c r="AI10" s="217"/>
      <c r="AJ10" s="217"/>
      <c r="AK10" s="217"/>
    </row>
    <row r="11" spans="2:37" ht="14.25" customHeight="1">
      <c r="B11" s="80"/>
      <c r="C11" s="82" t="s">
        <v>43</v>
      </c>
      <c r="D11" s="90">
        <v>30</v>
      </c>
      <c r="I11" s="217"/>
      <c r="J11" s="217"/>
      <c r="K11" s="217"/>
      <c r="L11" s="217"/>
      <c r="M11" s="217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217"/>
      <c r="Z11" s="217"/>
      <c r="AA11" s="217"/>
      <c r="AB11" s="217"/>
      <c r="AC11" s="217"/>
      <c r="AD11" s="217"/>
      <c r="AE11" s="217"/>
      <c r="AF11" s="217"/>
      <c r="AG11" s="217"/>
      <c r="AH11" s="217"/>
      <c r="AI11" s="217"/>
      <c r="AJ11" s="217"/>
      <c r="AK11" s="217"/>
    </row>
    <row r="12" spans="2:37" ht="14.25" customHeight="1">
      <c r="D12" s="83"/>
      <c r="I12" s="217"/>
      <c r="J12" s="217"/>
      <c r="K12" s="217"/>
      <c r="L12" s="217"/>
      <c r="M12" s="217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217"/>
      <c r="Z12" s="217"/>
      <c r="AA12" s="217"/>
      <c r="AB12" s="217"/>
      <c r="AC12" s="217"/>
      <c r="AD12" s="217"/>
      <c r="AE12" s="217"/>
      <c r="AF12" s="217"/>
      <c r="AG12" s="217"/>
      <c r="AH12" s="217"/>
      <c r="AI12" s="217"/>
      <c r="AJ12" s="217"/>
      <c r="AK12" s="217"/>
    </row>
    <row r="13" spans="2:37" ht="14.25" customHeight="1">
      <c r="B13" s="84" t="s">
        <v>44</v>
      </c>
      <c r="C13" s="85"/>
      <c r="D13" s="86"/>
      <c r="I13" s="217"/>
      <c r="J13" s="217"/>
      <c r="K13" s="217"/>
      <c r="L13" s="217"/>
      <c r="M13" s="217"/>
      <c r="N13" s="217"/>
      <c r="O13" s="217"/>
      <c r="P13" s="217"/>
      <c r="Q13" s="217"/>
      <c r="R13" s="217"/>
      <c r="S13" s="217"/>
      <c r="T13" s="217"/>
      <c r="U13" s="217"/>
      <c r="V13" s="217"/>
      <c r="W13" s="217"/>
      <c r="X13" s="217"/>
      <c r="Y13" s="217"/>
      <c r="Z13" s="217"/>
      <c r="AA13" s="217"/>
      <c r="AB13" s="217"/>
      <c r="AC13" s="217"/>
      <c r="AD13" s="217"/>
      <c r="AE13" s="217"/>
      <c r="AF13" s="217"/>
      <c r="AG13" s="217"/>
      <c r="AH13" s="217"/>
      <c r="AI13" s="217"/>
      <c r="AJ13" s="217"/>
      <c r="AK13" s="217"/>
    </row>
    <row r="14" spans="2:37" ht="14.25" customHeight="1">
      <c r="B14" s="87"/>
      <c r="C14" s="88" t="s">
        <v>20</v>
      </c>
      <c r="D14" s="90">
        <v>180</v>
      </c>
      <c r="I14" s="217"/>
      <c r="J14" s="217"/>
      <c r="K14" s="217"/>
      <c r="L14" s="217"/>
      <c r="M14" s="217"/>
      <c r="N14" s="217"/>
      <c r="O14" s="217"/>
      <c r="P14" s="217"/>
      <c r="Q14" s="217"/>
      <c r="R14" s="217"/>
      <c r="S14" s="217"/>
      <c r="T14" s="217"/>
      <c r="U14" s="217"/>
      <c r="V14" s="217"/>
      <c r="W14" s="217"/>
      <c r="X14" s="217"/>
      <c r="Y14" s="217"/>
      <c r="Z14" s="217"/>
      <c r="AA14" s="217"/>
      <c r="AB14" s="217"/>
      <c r="AC14" s="217"/>
      <c r="AD14" s="217"/>
      <c r="AE14" s="217"/>
      <c r="AF14" s="217"/>
      <c r="AG14" s="217"/>
      <c r="AH14" s="217"/>
      <c r="AI14" s="217"/>
      <c r="AJ14" s="217"/>
      <c r="AK14" s="217"/>
    </row>
    <row r="15" spans="2:37" ht="14.25" customHeight="1">
      <c r="B15" s="87"/>
      <c r="C15" s="88" t="s">
        <v>21</v>
      </c>
      <c r="D15" s="90">
        <v>0</v>
      </c>
      <c r="I15" s="217"/>
      <c r="J15" s="217"/>
      <c r="K15" s="217"/>
      <c r="L15" s="217"/>
      <c r="M15" s="217"/>
      <c r="N15" s="217"/>
      <c r="O15" s="217"/>
      <c r="P15" s="217"/>
      <c r="Q15" s="217"/>
      <c r="R15" s="217"/>
      <c r="S15" s="217"/>
      <c r="T15" s="217"/>
      <c r="U15" s="217"/>
      <c r="V15" s="217"/>
      <c r="W15" s="217"/>
      <c r="X15" s="217"/>
      <c r="Y15" s="217"/>
      <c r="Z15" s="217"/>
      <c r="AA15" s="217"/>
      <c r="AB15" s="217"/>
      <c r="AC15" s="217"/>
      <c r="AD15" s="217"/>
      <c r="AE15" s="217"/>
      <c r="AF15" s="217"/>
      <c r="AG15" s="217"/>
      <c r="AH15" s="217"/>
      <c r="AI15" s="217"/>
      <c r="AJ15" s="217"/>
      <c r="AK15" s="217"/>
    </row>
    <row r="16" spans="2:37" ht="14.25" customHeight="1">
      <c r="B16" s="89"/>
      <c r="C16" s="88" t="s">
        <v>22</v>
      </c>
      <c r="D16" s="90">
        <v>0</v>
      </c>
      <c r="I16" s="217"/>
      <c r="J16" s="217"/>
      <c r="K16" s="217"/>
      <c r="L16" s="217"/>
      <c r="M16" s="217"/>
      <c r="N16" s="217"/>
      <c r="O16" s="217"/>
      <c r="P16" s="217"/>
      <c r="Q16" s="217"/>
      <c r="R16" s="217"/>
      <c r="S16" s="217"/>
      <c r="T16" s="217"/>
      <c r="U16" s="217"/>
      <c r="V16" s="217"/>
      <c r="W16" s="217"/>
      <c r="X16" s="217"/>
      <c r="Y16" s="217"/>
      <c r="Z16" s="217"/>
      <c r="AA16" s="217"/>
      <c r="AB16" s="217"/>
      <c r="AC16" s="217"/>
      <c r="AD16" s="217"/>
      <c r="AE16" s="217"/>
      <c r="AF16" s="217"/>
      <c r="AG16" s="217"/>
      <c r="AH16" s="217"/>
      <c r="AI16" s="217"/>
      <c r="AJ16" s="217"/>
      <c r="AK16" s="217"/>
    </row>
    <row r="17" spans="3:37" ht="14.25" customHeight="1">
      <c r="I17" s="217"/>
      <c r="J17" s="217"/>
      <c r="K17" s="217"/>
      <c r="L17" s="217"/>
      <c r="M17" s="217"/>
      <c r="N17" s="217"/>
      <c r="O17" s="217"/>
      <c r="P17" s="217"/>
      <c r="Q17" s="217"/>
      <c r="R17" s="217"/>
      <c r="S17" s="217"/>
      <c r="T17" s="217"/>
      <c r="U17" s="217"/>
      <c r="V17" s="217"/>
      <c r="W17" s="217"/>
      <c r="X17" s="217"/>
      <c r="Y17" s="217"/>
      <c r="Z17" s="217"/>
      <c r="AA17" s="217"/>
      <c r="AB17" s="217"/>
      <c r="AC17" s="217"/>
      <c r="AD17" s="217"/>
      <c r="AE17" s="217"/>
      <c r="AF17" s="217"/>
      <c r="AG17" s="217"/>
      <c r="AH17" s="217"/>
      <c r="AI17" s="217"/>
      <c r="AJ17" s="217"/>
      <c r="AK17" s="217"/>
    </row>
    <row r="18" spans="3:37" ht="14.25" customHeight="1">
      <c r="I18" s="217"/>
      <c r="J18" s="217"/>
      <c r="K18" s="217"/>
      <c r="L18" s="217"/>
      <c r="M18" s="217"/>
      <c r="N18" s="217"/>
      <c r="O18" s="217"/>
      <c r="P18" s="217"/>
      <c r="Q18" s="217"/>
      <c r="R18" s="217"/>
      <c r="S18" s="217"/>
      <c r="T18" s="217"/>
      <c r="U18" s="217"/>
      <c r="V18" s="217"/>
      <c r="W18" s="217"/>
      <c r="X18" s="217"/>
      <c r="Y18" s="217"/>
      <c r="Z18" s="217"/>
      <c r="AA18" s="217"/>
      <c r="AB18" s="217"/>
      <c r="AC18" s="217"/>
      <c r="AD18" s="217"/>
      <c r="AE18" s="217"/>
      <c r="AF18" s="217"/>
      <c r="AG18" s="217"/>
      <c r="AH18" s="217"/>
      <c r="AI18" s="217"/>
      <c r="AJ18" s="217"/>
      <c r="AK18" s="217"/>
    </row>
    <row r="19" spans="3:37" ht="14.25" customHeight="1">
      <c r="I19" s="217"/>
      <c r="J19" s="217"/>
      <c r="K19" s="217"/>
      <c r="L19" s="217"/>
      <c r="M19" s="217"/>
      <c r="N19" s="217"/>
      <c r="O19" s="217"/>
      <c r="P19" s="217"/>
      <c r="Q19" s="217"/>
      <c r="R19" s="217"/>
      <c r="S19" s="217"/>
      <c r="T19" s="217"/>
      <c r="U19" s="217"/>
      <c r="V19" s="217"/>
      <c r="W19" s="217"/>
      <c r="X19" s="217"/>
      <c r="Y19" s="217"/>
      <c r="Z19" s="217"/>
      <c r="AA19" s="217"/>
      <c r="AB19" s="217"/>
      <c r="AC19" s="217"/>
      <c r="AD19" s="217"/>
      <c r="AE19" s="217"/>
      <c r="AF19" s="217"/>
      <c r="AG19" s="217"/>
      <c r="AH19" s="217"/>
      <c r="AI19" s="217"/>
      <c r="AJ19" s="217"/>
      <c r="AK19" s="217"/>
    </row>
    <row r="20" spans="3:37" ht="14.25" customHeight="1">
      <c r="I20" s="217"/>
      <c r="J20" s="217"/>
      <c r="K20" s="217"/>
      <c r="L20" s="217"/>
      <c r="M20" s="217"/>
      <c r="N20" s="217"/>
      <c r="O20" s="217"/>
      <c r="P20" s="217"/>
      <c r="Q20" s="217"/>
      <c r="R20" s="217"/>
      <c r="S20" s="217"/>
      <c r="T20" s="217"/>
      <c r="U20" s="217"/>
      <c r="V20" s="217"/>
      <c r="W20" s="217"/>
      <c r="X20" s="217"/>
      <c r="Y20" s="217"/>
      <c r="Z20" s="217"/>
      <c r="AA20" s="217"/>
      <c r="AB20" s="217"/>
      <c r="AC20" s="217"/>
      <c r="AD20" s="217"/>
      <c r="AE20" s="217"/>
      <c r="AF20" s="217"/>
      <c r="AG20" s="217"/>
      <c r="AH20" s="217"/>
      <c r="AI20" s="217"/>
      <c r="AJ20" s="217"/>
      <c r="AK20" s="217"/>
    </row>
    <row r="21" spans="3:37" ht="14.25" customHeight="1">
      <c r="I21" s="217"/>
      <c r="J21" s="217"/>
      <c r="K21" s="217"/>
      <c r="L21" s="217"/>
      <c r="M21" s="217"/>
      <c r="N21" s="217"/>
      <c r="O21" s="217"/>
      <c r="P21" s="217"/>
      <c r="Q21" s="217"/>
      <c r="R21" s="217"/>
      <c r="S21" s="217"/>
      <c r="T21" s="217"/>
      <c r="U21" s="217"/>
      <c r="V21" s="217"/>
      <c r="W21" s="217"/>
      <c r="X21" s="217"/>
      <c r="Y21" s="217"/>
      <c r="Z21" s="217"/>
      <c r="AA21" s="217"/>
      <c r="AB21" s="217"/>
      <c r="AC21" s="217"/>
      <c r="AD21" s="217"/>
      <c r="AE21" s="217"/>
      <c r="AF21" s="217"/>
      <c r="AG21" s="217"/>
      <c r="AH21" s="217"/>
      <c r="AI21" s="217"/>
      <c r="AJ21" s="217"/>
      <c r="AK21" s="217"/>
    </row>
    <row r="22" spans="3:37" ht="14.25" customHeight="1">
      <c r="I22" s="217"/>
      <c r="J22" s="217"/>
      <c r="K22" s="217"/>
      <c r="L22" s="217"/>
      <c r="M22" s="217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7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7"/>
    </row>
    <row r="23" spans="3:37" ht="14.25" customHeight="1">
      <c r="I23" s="217"/>
      <c r="J23" s="217"/>
      <c r="K23" s="217"/>
      <c r="L23" s="217"/>
      <c r="M23" s="217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7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7"/>
    </row>
    <row r="24" spans="3:37" ht="14.25" customHeight="1">
      <c r="C24" s="88" t="s">
        <v>59</v>
      </c>
      <c r="D24" s="90">
        <v>1</v>
      </c>
      <c r="I24" s="217"/>
      <c r="J24" s="217"/>
      <c r="K24" s="217"/>
      <c r="L24" s="217"/>
      <c r="M24" s="217"/>
      <c r="N24" s="217"/>
      <c r="O24" s="217"/>
      <c r="P24" s="217"/>
      <c r="Q24" s="217"/>
      <c r="R24" s="217"/>
      <c r="S24" s="217"/>
      <c r="T24" s="217"/>
      <c r="U24" s="217"/>
      <c r="V24" s="217"/>
      <c r="W24" s="217"/>
      <c r="X24" s="217"/>
      <c r="Y24" s="217"/>
      <c r="Z24" s="217"/>
      <c r="AA24" s="217"/>
      <c r="AB24" s="217"/>
      <c r="AC24" s="217"/>
      <c r="AD24" s="217"/>
      <c r="AE24" s="217"/>
      <c r="AF24" s="217"/>
      <c r="AG24" s="217"/>
      <c r="AH24" s="217"/>
      <c r="AI24" s="217"/>
      <c r="AJ24" s="217"/>
      <c r="AK24" s="217"/>
    </row>
    <row r="25" spans="3:37" ht="14.25" customHeight="1">
      <c r="I25" s="217"/>
      <c r="J25" s="217"/>
      <c r="K25" s="217"/>
      <c r="L25" s="217"/>
      <c r="M25" s="217"/>
      <c r="N25" s="217"/>
      <c r="O25" s="217"/>
      <c r="P25" s="217"/>
      <c r="Q25" s="217"/>
      <c r="R25" s="217"/>
      <c r="S25" s="217"/>
      <c r="T25" s="217"/>
      <c r="U25" s="217"/>
      <c r="V25" s="217"/>
      <c r="W25" s="217"/>
      <c r="X25" s="217"/>
      <c r="Y25" s="217"/>
      <c r="Z25" s="217"/>
      <c r="AA25" s="217"/>
      <c r="AB25" s="217"/>
      <c r="AC25" s="217"/>
      <c r="AD25" s="217"/>
      <c r="AE25" s="217"/>
      <c r="AF25" s="217"/>
      <c r="AG25" s="217"/>
      <c r="AH25" s="217"/>
      <c r="AI25" s="217"/>
      <c r="AJ25" s="217"/>
      <c r="AK25" s="217"/>
    </row>
    <row r="26" spans="3:37" ht="14.25" customHeight="1">
      <c r="I26" s="217"/>
      <c r="J26" s="217"/>
      <c r="K26" s="217"/>
      <c r="L26" s="217"/>
      <c r="M26" s="217"/>
      <c r="N26" s="217"/>
      <c r="O26" s="217"/>
      <c r="P26" s="217"/>
      <c r="Q26" s="217"/>
      <c r="R26" s="217"/>
      <c r="S26" s="217"/>
      <c r="T26" s="217"/>
      <c r="U26" s="217"/>
      <c r="V26" s="217"/>
      <c r="W26" s="217"/>
      <c r="X26" s="217"/>
      <c r="Y26" s="217"/>
      <c r="Z26" s="217"/>
      <c r="AA26" s="217"/>
      <c r="AB26" s="217"/>
      <c r="AC26" s="217"/>
      <c r="AD26" s="217"/>
      <c r="AE26" s="217"/>
      <c r="AF26" s="217"/>
      <c r="AG26" s="217"/>
      <c r="AH26" s="217"/>
      <c r="AI26" s="217"/>
      <c r="AJ26" s="217"/>
      <c r="AK26" s="217"/>
    </row>
    <row r="27" spans="3:37" ht="14.25" customHeight="1">
      <c r="I27" s="217"/>
      <c r="J27" s="217"/>
      <c r="K27" s="217"/>
      <c r="L27" s="217"/>
      <c r="M27" s="217"/>
      <c r="N27" s="217"/>
      <c r="O27" s="217"/>
      <c r="P27" s="217"/>
      <c r="Q27" s="217"/>
      <c r="R27" s="217"/>
      <c r="S27" s="217"/>
      <c r="T27" s="217"/>
      <c r="U27" s="217"/>
      <c r="V27" s="217"/>
      <c r="W27" s="217"/>
      <c r="X27" s="217"/>
      <c r="Y27" s="217"/>
      <c r="Z27" s="217"/>
      <c r="AA27" s="217"/>
      <c r="AB27" s="217"/>
      <c r="AC27" s="217"/>
      <c r="AD27" s="217"/>
      <c r="AE27" s="217"/>
      <c r="AF27" s="217"/>
      <c r="AG27" s="217"/>
      <c r="AH27" s="217"/>
      <c r="AI27" s="217"/>
      <c r="AJ27" s="217"/>
      <c r="AK27" s="217"/>
    </row>
    <row r="28" spans="3:37" ht="14.25" customHeight="1">
      <c r="I28" s="217"/>
      <c r="J28" s="217"/>
      <c r="K28" s="217"/>
      <c r="L28" s="217"/>
      <c r="M28" s="217"/>
      <c r="N28" s="217"/>
      <c r="O28" s="217"/>
      <c r="P28" s="217"/>
      <c r="Q28" s="217"/>
      <c r="R28" s="217"/>
      <c r="S28" s="217"/>
      <c r="T28" s="217"/>
      <c r="U28" s="217"/>
      <c r="V28" s="217"/>
      <c r="W28" s="217"/>
      <c r="X28" s="217"/>
      <c r="Y28" s="217"/>
      <c r="Z28" s="217"/>
      <c r="AA28" s="217"/>
      <c r="AB28" s="217"/>
      <c r="AC28" s="217"/>
      <c r="AD28" s="217"/>
      <c r="AE28" s="217"/>
      <c r="AF28" s="217"/>
      <c r="AG28" s="217"/>
      <c r="AH28" s="217"/>
      <c r="AI28" s="217"/>
      <c r="AJ28" s="217"/>
      <c r="AK28" s="217"/>
    </row>
    <row r="29" spans="3:37" ht="14.25" customHeight="1">
      <c r="I29" s="217"/>
      <c r="J29" s="217"/>
      <c r="K29" s="217"/>
      <c r="L29" s="217"/>
      <c r="M29" s="217"/>
      <c r="N29" s="217"/>
      <c r="O29" s="217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17"/>
      <c r="AH29" s="217"/>
      <c r="AI29" s="217"/>
      <c r="AJ29" s="217"/>
      <c r="AK29" s="217"/>
    </row>
    <row r="30" spans="3:37" ht="14.25" customHeight="1">
      <c r="I30" s="217"/>
      <c r="J30" s="217"/>
      <c r="K30" s="217"/>
      <c r="L30" s="217"/>
      <c r="M30" s="217"/>
      <c r="N30" s="217"/>
      <c r="O30" s="217"/>
      <c r="P30" s="217"/>
      <c r="Q30" s="217"/>
      <c r="R30" s="217"/>
      <c r="S30" s="217"/>
      <c r="T30" s="217"/>
      <c r="U30" s="217"/>
      <c r="V30" s="217"/>
      <c r="W30" s="217"/>
      <c r="X30" s="217"/>
      <c r="Y30" s="217"/>
      <c r="Z30" s="217"/>
      <c r="AA30" s="217"/>
      <c r="AB30" s="217"/>
      <c r="AC30" s="217"/>
      <c r="AD30" s="217"/>
      <c r="AE30" s="217"/>
      <c r="AF30" s="217"/>
      <c r="AG30" s="217"/>
      <c r="AH30" s="217"/>
      <c r="AI30" s="217"/>
      <c r="AJ30" s="217"/>
      <c r="AK30" s="217"/>
    </row>
    <row r="31" spans="3:37" ht="14.25" customHeight="1">
      <c r="I31" s="217"/>
      <c r="J31" s="217"/>
      <c r="K31" s="217"/>
      <c r="L31" s="217"/>
      <c r="M31" s="217"/>
      <c r="N31" s="217"/>
      <c r="O31" s="217"/>
      <c r="P31" s="217"/>
      <c r="Q31" s="217"/>
      <c r="R31" s="217"/>
      <c r="S31" s="217"/>
      <c r="T31" s="217"/>
      <c r="U31" s="217"/>
      <c r="V31" s="217"/>
      <c r="W31" s="217"/>
      <c r="X31" s="217"/>
      <c r="Y31" s="217"/>
      <c r="Z31" s="217"/>
      <c r="AA31" s="217"/>
      <c r="AB31" s="217"/>
      <c r="AC31" s="217"/>
      <c r="AD31" s="217"/>
      <c r="AE31" s="217"/>
      <c r="AF31" s="217"/>
      <c r="AG31" s="217"/>
      <c r="AH31" s="217"/>
      <c r="AI31" s="217"/>
      <c r="AJ31" s="217"/>
      <c r="AK31" s="217"/>
    </row>
    <row r="32" spans="3:37" ht="14.25" customHeight="1">
      <c r="I32" s="217"/>
      <c r="J32" s="217"/>
      <c r="K32" s="217"/>
      <c r="L32" s="217"/>
      <c r="M32" s="217"/>
      <c r="N32" s="217"/>
      <c r="O32" s="217"/>
      <c r="P32" s="217"/>
      <c r="Q32" s="217"/>
      <c r="R32" s="217"/>
      <c r="S32" s="217"/>
      <c r="T32" s="217"/>
      <c r="U32" s="217"/>
      <c r="V32" s="217"/>
      <c r="W32" s="217"/>
      <c r="X32" s="217"/>
      <c r="Y32" s="217"/>
      <c r="Z32" s="217"/>
      <c r="AA32" s="217"/>
      <c r="AB32" s="217"/>
      <c r="AC32" s="217"/>
      <c r="AD32" s="217"/>
      <c r="AE32" s="217"/>
      <c r="AF32" s="217"/>
      <c r="AG32" s="217"/>
      <c r="AH32" s="217"/>
      <c r="AI32" s="217"/>
      <c r="AJ32" s="217"/>
      <c r="AK32" s="217"/>
    </row>
  </sheetData>
  <mergeCells count="4">
    <mergeCell ref="B4:C4"/>
    <mergeCell ref="I9:AK32"/>
    <mergeCell ref="B7:C7"/>
    <mergeCell ref="B10:C10"/>
  </mergeCells>
  <phoneticPr fontId="2"/>
  <pageMargins left="0.75" right="0.75" top="1" bottom="1" header="0.51200000000000001" footer="0.51200000000000001"/>
  <pageSetup paperSize="9" orientation="landscape" horizontalDpi="4294967294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702" r:id="rId4" name="Button 5238">
              <controlPr defaultSize="0" print="0" autoFill="0" autoPict="0" macro="[0]!荷重図描画_Click">
                <anchor moveWithCells="1" sizeWithCells="1">
                  <from>
                    <xdr:col>1</xdr:col>
                    <xdr:colOff>666750</xdr:colOff>
                    <xdr:row>17</xdr:row>
                    <xdr:rowOff>9525</xdr:rowOff>
                  </from>
                  <to>
                    <xdr:col>3</xdr:col>
                    <xdr:colOff>666750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3" r:id="rId5" name="Button 5239">
              <controlPr defaultSize="0" print="0" autoFill="0" autoPict="0" macro="[0]!荷重図消去_Click">
                <anchor moveWithCells="1" sizeWithCells="1">
                  <from>
                    <xdr:col>2</xdr:col>
                    <xdr:colOff>9525</xdr:colOff>
                    <xdr:row>20</xdr:row>
                    <xdr:rowOff>38100</xdr:rowOff>
                  </from>
                  <to>
                    <xdr:col>4</xdr:col>
                    <xdr:colOff>9525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FINESheet"/>
  <dimension ref="A1:Q26"/>
  <sheetViews>
    <sheetView zoomScale="85" zoomScaleNormal="85" workbookViewId="0">
      <selection activeCell="B5" sqref="B5:G25"/>
    </sheetView>
  </sheetViews>
  <sheetFormatPr defaultRowHeight="16.5" customHeight="1"/>
  <cols>
    <col min="1" max="1" width="9" style="141"/>
    <col min="2" max="16384" width="9" style="142"/>
  </cols>
  <sheetData>
    <row r="1" spans="1:17" s="136" customFormat="1" ht="16.5" customHeight="1">
      <c r="A1" s="135"/>
    </row>
    <row r="2" spans="1:17" s="136" customFormat="1" ht="16.5" customHeight="1">
      <c r="A2" s="137" t="s">
        <v>117</v>
      </c>
    </row>
    <row r="3" spans="1:17" s="139" customFormat="1" ht="16.5" customHeight="1">
      <c r="A3" s="138"/>
    </row>
    <row r="4" spans="1:17" s="95" customFormat="1" ht="16.5" customHeight="1">
      <c r="A4" s="99" t="s">
        <v>148</v>
      </c>
      <c r="B4" s="102" t="s">
        <v>149</v>
      </c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01"/>
      <c r="O4" s="101"/>
      <c r="P4" s="101"/>
    </row>
    <row r="5" spans="1:17" s="98" customFormat="1" ht="22.5" customHeight="1">
      <c r="A5" s="96">
        <v>1</v>
      </c>
      <c r="B5" s="94">
        <v>1</v>
      </c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100"/>
      <c r="O5" s="100"/>
      <c r="P5" s="100"/>
      <c r="Q5" s="97"/>
    </row>
    <row r="6" spans="1:17" s="98" customFormat="1" ht="22.5" customHeight="1">
      <c r="A6" s="96">
        <v>2</v>
      </c>
      <c r="B6" s="94">
        <v>2</v>
      </c>
      <c r="C6" s="94"/>
      <c r="D6" s="94"/>
      <c r="E6" s="94"/>
      <c r="F6" s="94"/>
      <c r="G6" s="94"/>
      <c r="H6" s="94"/>
      <c r="I6" s="94"/>
      <c r="J6" s="94"/>
      <c r="K6" s="94"/>
      <c r="L6" s="94"/>
      <c r="M6" s="94"/>
      <c r="N6" s="100"/>
      <c r="O6" s="100"/>
      <c r="P6" s="100"/>
      <c r="Q6" s="97"/>
    </row>
    <row r="7" spans="1:17" s="98" customFormat="1" ht="22.5" customHeight="1">
      <c r="A7" s="96">
        <v>3</v>
      </c>
      <c r="B7" s="94">
        <v>3</v>
      </c>
      <c r="C7" s="94"/>
      <c r="D7" s="94"/>
      <c r="E7" s="94"/>
      <c r="F7" s="94"/>
      <c r="G7" s="94"/>
      <c r="H7" s="94"/>
      <c r="I7" s="94"/>
      <c r="J7" s="94"/>
      <c r="K7" s="94"/>
      <c r="L7" s="94"/>
      <c r="M7" s="94"/>
      <c r="N7" s="100"/>
      <c r="O7" s="100"/>
      <c r="P7" s="100"/>
      <c r="Q7" s="97"/>
    </row>
    <row r="8" spans="1:17" s="98" customFormat="1" ht="22.5" customHeight="1">
      <c r="A8" s="96">
        <v>4</v>
      </c>
      <c r="B8" s="94">
        <v>4</v>
      </c>
      <c r="C8" s="94">
        <v>-4</v>
      </c>
      <c r="D8" s="94"/>
      <c r="E8" s="94"/>
      <c r="F8" s="94"/>
      <c r="G8" s="94"/>
      <c r="H8" s="94"/>
      <c r="I8" s="94"/>
      <c r="J8" s="94"/>
      <c r="K8" s="94"/>
      <c r="L8" s="94"/>
      <c r="M8" s="94"/>
      <c r="N8" s="100"/>
      <c r="O8" s="100"/>
      <c r="P8" s="100"/>
      <c r="Q8" s="97"/>
    </row>
    <row r="9" spans="1:17" ht="22.5" customHeight="1">
      <c r="A9" s="141">
        <v>5</v>
      </c>
      <c r="B9" s="142">
        <v>5</v>
      </c>
    </row>
    <row r="10" spans="1:17" ht="22.5" customHeight="1">
      <c r="A10" s="141">
        <v>6</v>
      </c>
      <c r="B10" s="142">
        <v>6</v>
      </c>
    </row>
    <row r="11" spans="1:17" ht="22.5" customHeight="1">
      <c r="A11" s="141">
        <v>7</v>
      </c>
      <c r="B11" s="142">
        <v>7</v>
      </c>
    </row>
    <row r="12" spans="1:17" ht="22.5" customHeight="1">
      <c r="A12" s="141">
        <v>8</v>
      </c>
      <c r="B12" s="142">
        <v>8</v>
      </c>
      <c r="C12" s="142">
        <v>9</v>
      </c>
      <c r="D12" s="142">
        <v>10</v>
      </c>
      <c r="E12" s="142">
        <v>11</v>
      </c>
    </row>
    <row r="13" spans="1:17" ht="22.5" customHeight="1">
      <c r="A13" s="141">
        <v>9</v>
      </c>
      <c r="B13" s="142">
        <v>8</v>
      </c>
    </row>
    <row r="14" spans="1:17" ht="22.5" customHeight="1">
      <c r="A14" s="141">
        <v>10</v>
      </c>
      <c r="B14" s="142">
        <v>9</v>
      </c>
    </row>
    <row r="15" spans="1:17" ht="22.5" customHeight="1">
      <c r="A15" s="141">
        <v>11</v>
      </c>
      <c r="B15" s="142">
        <v>10</v>
      </c>
    </row>
    <row r="16" spans="1:17" ht="22.5" customHeight="1">
      <c r="A16" s="141">
        <v>12</v>
      </c>
      <c r="B16" s="142">
        <v>11</v>
      </c>
    </row>
    <row r="17" spans="1:5" ht="22.5" customHeight="1">
      <c r="A17" s="141">
        <v>13</v>
      </c>
      <c r="B17" s="142">
        <v>12</v>
      </c>
      <c r="C17" s="142">
        <v>13</v>
      </c>
      <c r="D17" s="142">
        <v>14</v>
      </c>
      <c r="E17" s="142">
        <v>15</v>
      </c>
    </row>
    <row r="18" spans="1:5" ht="22.5" customHeight="1">
      <c r="A18" s="141">
        <v>14</v>
      </c>
      <c r="B18" s="142">
        <v>12</v>
      </c>
    </row>
    <row r="19" spans="1:5" ht="22.5" customHeight="1">
      <c r="A19" s="141">
        <v>15</v>
      </c>
      <c r="B19" s="142">
        <v>13</v>
      </c>
    </row>
    <row r="20" spans="1:5" ht="22.5" customHeight="1">
      <c r="A20" s="141">
        <v>16</v>
      </c>
      <c r="B20" s="142">
        <v>14</v>
      </c>
    </row>
    <row r="21" spans="1:5" ht="22.5" customHeight="1">
      <c r="A21" s="141">
        <v>17</v>
      </c>
      <c r="B21" s="142">
        <v>15</v>
      </c>
    </row>
    <row r="22" spans="1:5" ht="22.5" customHeight="1">
      <c r="A22" s="141">
        <v>18</v>
      </c>
      <c r="B22" s="142">
        <v>16</v>
      </c>
      <c r="C22" s="142">
        <v>-16</v>
      </c>
    </row>
    <row r="23" spans="1:5" ht="22.5" customHeight="1">
      <c r="A23" s="141">
        <v>19</v>
      </c>
      <c r="B23" s="142">
        <v>17</v>
      </c>
      <c r="C23" s="142">
        <v>-17</v>
      </c>
    </row>
    <row r="24" spans="1:5" ht="22.5" customHeight="1">
      <c r="A24" s="141">
        <v>20</v>
      </c>
      <c r="B24" s="142">
        <v>18</v>
      </c>
      <c r="C24" s="142">
        <v>-18</v>
      </c>
    </row>
    <row r="25" spans="1:5" ht="22.5" customHeight="1">
      <c r="A25" s="141">
        <v>21</v>
      </c>
      <c r="B25" s="142">
        <v>19</v>
      </c>
      <c r="C25" s="142">
        <v>-19</v>
      </c>
    </row>
    <row r="26" spans="1:5" ht="22.5" customHeight="1"/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BINESheet"/>
  <dimension ref="A1:V42"/>
  <sheetViews>
    <sheetView view="pageBreakPreview" zoomScale="60" zoomScaleNormal="85" workbookViewId="0">
      <selection activeCell="B6" sqref="B6:V42"/>
    </sheetView>
  </sheetViews>
  <sheetFormatPr defaultRowHeight="15.75" customHeight="1"/>
  <cols>
    <col min="1" max="1" width="5.25" style="104" customWidth="1"/>
    <col min="2" max="22" width="5.875" style="106" customWidth="1"/>
    <col min="23" max="16384" width="9" style="106"/>
  </cols>
  <sheetData>
    <row r="1" spans="1:22" s="105" customFormat="1" ht="15.75" customHeight="1">
      <c r="A1" s="103"/>
    </row>
    <row r="2" spans="1:22" s="105" customFormat="1" ht="15.75" customHeight="1">
      <c r="A2" s="109" t="s">
        <v>118</v>
      </c>
    </row>
    <row r="3" spans="1:22" s="105" customFormat="1" ht="15.75" customHeight="1">
      <c r="A3" s="103"/>
    </row>
    <row r="4" spans="1:22" s="108" customFormat="1" ht="15.75" customHeight="1">
      <c r="A4" s="218" t="s">
        <v>150</v>
      </c>
      <c r="B4" s="107" t="s">
        <v>221</v>
      </c>
    </row>
    <row r="5" spans="1:22" s="104" customFormat="1" ht="15.75" customHeight="1">
      <c r="A5" s="219"/>
      <c r="B5" s="104">
        <v>1</v>
      </c>
      <c r="C5" s="104">
        <v>2</v>
      </c>
      <c r="D5" s="104">
        <v>3</v>
      </c>
      <c r="E5" s="104">
        <v>4</v>
      </c>
      <c r="F5" s="104">
        <v>5</v>
      </c>
      <c r="G5" s="104">
        <v>6</v>
      </c>
      <c r="H5" s="104">
        <v>7</v>
      </c>
      <c r="I5" s="104">
        <v>8</v>
      </c>
      <c r="J5" s="104">
        <v>9</v>
      </c>
      <c r="K5" s="104">
        <v>10</v>
      </c>
      <c r="L5" s="104">
        <v>11</v>
      </c>
      <c r="M5" s="104">
        <v>12</v>
      </c>
      <c r="N5" s="104">
        <v>13</v>
      </c>
      <c r="O5" s="104">
        <v>14</v>
      </c>
      <c r="P5" s="104">
        <v>15</v>
      </c>
      <c r="Q5" s="104">
        <v>16</v>
      </c>
      <c r="R5" s="104">
        <v>17</v>
      </c>
      <c r="S5" s="104">
        <v>18</v>
      </c>
      <c r="T5" s="104">
        <v>19</v>
      </c>
      <c r="U5" s="104">
        <v>20</v>
      </c>
      <c r="V5" s="104">
        <v>21</v>
      </c>
    </row>
    <row r="6" spans="1:22" s="145" customFormat="1" ht="15.75" customHeight="1">
      <c r="A6" s="104">
        <v>1</v>
      </c>
      <c r="B6" s="146">
        <v>1.1000000000000001</v>
      </c>
      <c r="C6" s="146">
        <v>1.2</v>
      </c>
      <c r="D6" s="146">
        <v>1</v>
      </c>
      <c r="E6" s="146">
        <v>1</v>
      </c>
      <c r="F6" s="143"/>
      <c r="G6" s="143">
        <v>1</v>
      </c>
      <c r="H6" s="143"/>
      <c r="I6" s="143">
        <v>2.2847</v>
      </c>
      <c r="J6" s="143"/>
      <c r="K6" s="143"/>
      <c r="L6" s="143"/>
      <c r="M6" s="143"/>
      <c r="N6" s="143"/>
      <c r="O6" s="143"/>
      <c r="P6" s="143"/>
      <c r="Q6" s="143"/>
      <c r="R6" s="143"/>
      <c r="S6" s="143">
        <v>1</v>
      </c>
      <c r="T6" s="143"/>
      <c r="U6" s="143">
        <v>1</v>
      </c>
      <c r="V6" s="143"/>
    </row>
    <row r="7" spans="1:22" s="145" customFormat="1" ht="15.75" customHeight="1">
      <c r="A7" s="104">
        <v>2</v>
      </c>
      <c r="B7" s="146">
        <v>1.1000000000000001</v>
      </c>
      <c r="C7" s="146">
        <v>1.2</v>
      </c>
      <c r="D7" s="146">
        <v>1</v>
      </c>
      <c r="E7" s="146">
        <v>1</v>
      </c>
      <c r="F7" s="143"/>
      <c r="G7" s="143">
        <v>1</v>
      </c>
      <c r="H7" s="143"/>
      <c r="I7" s="143"/>
      <c r="J7" s="143">
        <v>1.9382000000000001</v>
      </c>
      <c r="K7" s="143">
        <v>1.9382000000000001</v>
      </c>
      <c r="L7" s="143"/>
      <c r="M7" s="143"/>
      <c r="N7" s="143"/>
      <c r="O7" s="143"/>
      <c r="P7" s="143"/>
      <c r="Q7" s="143"/>
      <c r="R7" s="143"/>
      <c r="S7" s="143">
        <v>2</v>
      </c>
      <c r="T7" s="143"/>
      <c r="U7" s="143">
        <v>1</v>
      </c>
      <c r="V7" s="143"/>
    </row>
    <row r="8" spans="1:22" s="145" customFormat="1" ht="15.75" customHeight="1">
      <c r="A8" s="104">
        <v>3</v>
      </c>
      <c r="B8" s="146">
        <v>1.1000000000000001</v>
      </c>
      <c r="C8" s="146">
        <v>1.2</v>
      </c>
      <c r="D8" s="146">
        <v>1</v>
      </c>
      <c r="E8" s="146">
        <v>1</v>
      </c>
      <c r="F8" s="143"/>
      <c r="G8" s="143">
        <v>1</v>
      </c>
      <c r="H8" s="143"/>
      <c r="I8" s="143"/>
      <c r="J8" s="143"/>
      <c r="K8" s="143">
        <v>1.9382000000000001</v>
      </c>
      <c r="L8" s="143">
        <v>1.9382000000000001</v>
      </c>
      <c r="M8" s="143"/>
      <c r="N8" s="143"/>
      <c r="O8" s="143"/>
      <c r="P8" s="143"/>
      <c r="Q8" s="143"/>
      <c r="R8" s="143"/>
      <c r="S8" s="143">
        <v>2</v>
      </c>
      <c r="T8" s="143"/>
      <c r="U8" s="143">
        <v>1</v>
      </c>
      <c r="V8" s="143"/>
    </row>
    <row r="9" spans="1:22" s="145" customFormat="1" ht="15.75" customHeight="1">
      <c r="A9" s="104">
        <v>4</v>
      </c>
      <c r="B9" s="146">
        <v>1.1000000000000001</v>
      </c>
      <c r="C9" s="146">
        <v>1.2</v>
      </c>
      <c r="D9" s="146">
        <v>1</v>
      </c>
      <c r="E9" s="146">
        <v>1</v>
      </c>
      <c r="F9" s="143"/>
      <c r="G9" s="143">
        <v>1</v>
      </c>
      <c r="H9" s="143"/>
      <c r="I9" s="143"/>
      <c r="J9" s="143"/>
      <c r="K9" s="143"/>
      <c r="L9" s="143">
        <v>1.9382000000000001</v>
      </c>
      <c r="M9" s="143">
        <v>1.9382000000000001</v>
      </c>
      <c r="N9" s="143"/>
      <c r="O9" s="143"/>
      <c r="P9" s="143"/>
      <c r="Q9" s="143"/>
      <c r="R9" s="143"/>
      <c r="S9" s="143">
        <v>2</v>
      </c>
      <c r="T9" s="143"/>
      <c r="U9" s="143">
        <v>1</v>
      </c>
      <c r="V9" s="143"/>
    </row>
    <row r="10" spans="1:22" s="145" customFormat="1" ht="15.75" customHeight="1">
      <c r="A10" s="104">
        <v>5</v>
      </c>
      <c r="B10" s="146">
        <v>1.1000000000000001</v>
      </c>
      <c r="C10" s="146">
        <v>1.2</v>
      </c>
      <c r="D10" s="146">
        <v>1</v>
      </c>
      <c r="E10" s="146">
        <v>1</v>
      </c>
      <c r="F10" s="143"/>
      <c r="G10" s="143">
        <v>1</v>
      </c>
      <c r="H10" s="143"/>
      <c r="I10" s="143"/>
      <c r="J10" s="143">
        <v>1.9382000000000001</v>
      </c>
      <c r="K10" s="143"/>
      <c r="L10" s="143"/>
      <c r="M10" s="143">
        <v>1.9382000000000001</v>
      </c>
      <c r="N10" s="143"/>
      <c r="O10" s="143"/>
      <c r="P10" s="143"/>
      <c r="Q10" s="143"/>
      <c r="R10" s="143"/>
      <c r="S10" s="143">
        <v>2</v>
      </c>
      <c r="T10" s="143"/>
      <c r="U10" s="143">
        <v>1</v>
      </c>
      <c r="V10" s="143"/>
    </row>
    <row r="11" spans="1:22" s="145" customFormat="1" ht="15.75" customHeight="1">
      <c r="A11" s="104">
        <v>6</v>
      </c>
      <c r="B11" s="146">
        <v>1.1000000000000001</v>
      </c>
      <c r="C11" s="146">
        <v>1.2</v>
      </c>
      <c r="D11" s="146">
        <v>1</v>
      </c>
      <c r="E11" s="146">
        <v>1</v>
      </c>
      <c r="F11" s="143"/>
      <c r="G11" s="143">
        <v>1</v>
      </c>
      <c r="H11" s="143"/>
      <c r="I11" s="143"/>
      <c r="J11" s="143">
        <v>1.9382000000000001</v>
      </c>
      <c r="K11" s="143"/>
      <c r="L11" s="143">
        <v>1.9382000000000001</v>
      </c>
      <c r="M11" s="143"/>
      <c r="N11" s="143"/>
      <c r="O11" s="143"/>
      <c r="P11" s="143"/>
      <c r="Q11" s="143"/>
      <c r="R11" s="143"/>
      <c r="S11" s="143">
        <v>2</v>
      </c>
      <c r="T11" s="143"/>
      <c r="U11" s="143">
        <v>1</v>
      </c>
      <c r="V11" s="143"/>
    </row>
    <row r="12" spans="1:22" s="145" customFormat="1" ht="15.75" customHeight="1">
      <c r="A12" s="104">
        <v>7</v>
      </c>
      <c r="B12" s="146">
        <v>1.1000000000000001</v>
      </c>
      <c r="C12" s="146">
        <v>1.2</v>
      </c>
      <c r="D12" s="146">
        <v>1</v>
      </c>
      <c r="E12" s="146">
        <v>1</v>
      </c>
      <c r="F12" s="143"/>
      <c r="G12" s="143">
        <v>1</v>
      </c>
      <c r="H12" s="143"/>
      <c r="I12" s="143"/>
      <c r="J12" s="143"/>
      <c r="K12" s="143">
        <v>1.9382000000000001</v>
      </c>
      <c r="L12" s="143"/>
      <c r="M12" s="143">
        <v>1.9382000000000001</v>
      </c>
      <c r="N12" s="143"/>
      <c r="O12" s="143"/>
      <c r="P12" s="143"/>
      <c r="Q12" s="143"/>
      <c r="R12" s="143"/>
      <c r="S12" s="143">
        <v>2</v>
      </c>
      <c r="T12" s="143"/>
      <c r="U12" s="143">
        <v>1</v>
      </c>
      <c r="V12" s="143"/>
    </row>
    <row r="13" spans="1:22" s="145" customFormat="1" ht="15.75" customHeight="1">
      <c r="A13" s="104">
        <v>8</v>
      </c>
      <c r="B13" s="143">
        <v>1.1000000000000001</v>
      </c>
      <c r="C13" s="143">
        <v>1.2</v>
      </c>
      <c r="D13" s="143">
        <v>1</v>
      </c>
      <c r="E13" s="143">
        <v>1</v>
      </c>
      <c r="F13" s="143"/>
      <c r="G13" s="143">
        <v>1</v>
      </c>
      <c r="H13" s="143"/>
      <c r="I13" s="143">
        <v>2.077</v>
      </c>
      <c r="J13" s="143"/>
      <c r="K13" s="143"/>
      <c r="L13" s="143"/>
      <c r="M13" s="143"/>
      <c r="N13" s="143"/>
      <c r="O13" s="143"/>
      <c r="P13" s="143"/>
      <c r="Q13" s="143"/>
      <c r="R13" s="143"/>
      <c r="S13" s="143">
        <v>1.1000000000000001</v>
      </c>
      <c r="T13" s="143"/>
      <c r="U13" s="143">
        <v>1</v>
      </c>
      <c r="V13" s="143"/>
    </row>
    <row r="14" spans="1:22" s="145" customFormat="1" ht="15.75" customHeight="1">
      <c r="A14" s="104">
        <v>9</v>
      </c>
      <c r="B14" s="143">
        <v>1.1000000000000001</v>
      </c>
      <c r="C14" s="143">
        <v>1.2</v>
      </c>
      <c r="D14" s="143">
        <v>1</v>
      </c>
      <c r="E14" s="143">
        <v>1</v>
      </c>
      <c r="F14" s="143"/>
      <c r="G14" s="143">
        <v>1</v>
      </c>
      <c r="H14" s="143"/>
      <c r="I14" s="143"/>
      <c r="J14" s="143">
        <v>1.762</v>
      </c>
      <c r="K14" s="143">
        <v>1.762</v>
      </c>
      <c r="L14" s="143"/>
      <c r="M14" s="143"/>
      <c r="N14" s="143"/>
      <c r="O14" s="143"/>
      <c r="P14" s="143"/>
      <c r="Q14" s="143"/>
      <c r="R14" s="143"/>
      <c r="S14" s="143">
        <v>2.2000000000000002</v>
      </c>
      <c r="T14" s="143"/>
      <c r="U14" s="143">
        <v>1</v>
      </c>
      <c r="V14" s="143"/>
    </row>
    <row r="15" spans="1:22" s="145" customFormat="1" ht="15.75" customHeight="1">
      <c r="A15" s="104">
        <v>10</v>
      </c>
      <c r="B15" s="143">
        <v>1.1000000000000001</v>
      </c>
      <c r="C15" s="143">
        <v>1.2</v>
      </c>
      <c r="D15" s="143">
        <v>1</v>
      </c>
      <c r="E15" s="143">
        <v>1</v>
      </c>
      <c r="F15" s="143"/>
      <c r="G15" s="143">
        <v>1</v>
      </c>
      <c r="H15" s="143"/>
      <c r="I15" s="143"/>
      <c r="J15" s="143"/>
      <c r="K15" s="143">
        <v>1.762</v>
      </c>
      <c r="L15" s="143">
        <v>1.762</v>
      </c>
      <c r="M15" s="143"/>
      <c r="N15" s="143"/>
      <c r="O15" s="143"/>
      <c r="P15" s="143"/>
      <c r="Q15" s="143"/>
      <c r="R15" s="143"/>
      <c r="S15" s="143">
        <v>2.2000000000000002</v>
      </c>
      <c r="T15" s="143"/>
      <c r="U15" s="143">
        <v>1</v>
      </c>
      <c r="V15" s="143"/>
    </row>
    <row r="16" spans="1:22" s="145" customFormat="1" ht="15.75" customHeight="1">
      <c r="A16" s="104">
        <v>11</v>
      </c>
      <c r="B16" s="143">
        <v>1.1000000000000001</v>
      </c>
      <c r="C16" s="143">
        <v>1.2</v>
      </c>
      <c r="D16" s="143">
        <v>1</v>
      </c>
      <c r="E16" s="143">
        <v>1</v>
      </c>
      <c r="F16" s="143"/>
      <c r="G16" s="143">
        <v>1</v>
      </c>
      <c r="H16" s="143"/>
      <c r="I16" s="143"/>
      <c r="J16" s="143"/>
      <c r="K16" s="143"/>
      <c r="L16" s="143">
        <v>1.762</v>
      </c>
      <c r="M16" s="143">
        <v>1.762</v>
      </c>
      <c r="N16" s="143"/>
      <c r="O16" s="143"/>
      <c r="P16" s="143"/>
      <c r="Q16" s="143"/>
      <c r="R16" s="143"/>
      <c r="S16" s="143">
        <v>2.2000000000000002</v>
      </c>
      <c r="T16" s="143"/>
      <c r="U16" s="143">
        <v>1</v>
      </c>
      <c r="V16" s="143"/>
    </row>
    <row r="17" spans="1:22" s="145" customFormat="1" ht="15.75" customHeight="1">
      <c r="A17" s="104">
        <v>12</v>
      </c>
      <c r="B17" s="143">
        <v>1.1000000000000001</v>
      </c>
      <c r="C17" s="143">
        <v>1.2</v>
      </c>
      <c r="D17" s="143">
        <v>1</v>
      </c>
      <c r="E17" s="143">
        <v>1</v>
      </c>
      <c r="F17" s="143"/>
      <c r="G17" s="143">
        <v>1</v>
      </c>
      <c r="H17" s="143"/>
      <c r="I17" s="143"/>
      <c r="J17" s="143">
        <v>1.762</v>
      </c>
      <c r="K17" s="143"/>
      <c r="L17" s="143"/>
      <c r="M17" s="143">
        <v>1.762</v>
      </c>
      <c r="N17" s="143"/>
      <c r="O17" s="143"/>
      <c r="P17" s="143"/>
      <c r="Q17" s="143"/>
      <c r="R17" s="143"/>
      <c r="S17" s="143">
        <v>2.2000000000000002</v>
      </c>
      <c r="T17" s="143"/>
      <c r="U17" s="143">
        <v>1</v>
      </c>
      <c r="V17" s="143"/>
    </row>
    <row r="18" spans="1:22" s="145" customFormat="1" ht="15.75" customHeight="1">
      <c r="A18" s="104">
        <v>13</v>
      </c>
      <c r="B18" s="143">
        <v>1.1000000000000001</v>
      </c>
      <c r="C18" s="143">
        <v>1.2</v>
      </c>
      <c r="D18" s="143">
        <v>1</v>
      </c>
      <c r="E18" s="143">
        <v>1</v>
      </c>
      <c r="F18" s="143"/>
      <c r="G18" s="143">
        <v>1</v>
      </c>
      <c r="H18" s="143"/>
      <c r="I18" s="143"/>
      <c r="J18" s="143">
        <v>1.762</v>
      </c>
      <c r="K18" s="143"/>
      <c r="L18" s="143">
        <v>1.762</v>
      </c>
      <c r="M18" s="143"/>
      <c r="N18" s="143"/>
      <c r="O18" s="143"/>
      <c r="P18" s="143"/>
      <c r="Q18" s="143"/>
      <c r="R18" s="143"/>
      <c r="S18" s="143">
        <v>2.2000000000000002</v>
      </c>
      <c r="T18" s="143"/>
      <c r="U18" s="143">
        <v>1</v>
      </c>
      <c r="V18" s="143"/>
    </row>
    <row r="19" spans="1:22" s="145" customFormat="1" ht="15.75" customHeight="1">
      <c r="A19" s="104">
        <v>14</v>
      </c>
      <c r="B19" s="143">
        <v>1.1000000000000001</v>
      </c>
      <c r="C19" s="143">
        <v>1.2</v>
      </c>
      <c r="D19" s="143">
        <v>1</v>
      </c>
      <c r="E19" s="143">
        <v>1</v>
      </c>
      <c r="F19" s="143"/>
      <c r="G19" s="143">
        <v>1</v>
      </c>
      <c r="H19" s="143"/>
      <c r="I19" s="143"/>
      <c r="J19" s="143"/>
      <c r="K19" s="143">
        <v>1.762</v>
      </c>
      <c r="L19" s="143"/>
      <c r="M19" s="143">
        <v>1.762</v>
      </c>
      <c r="N19" s="143"/>
      <c r="O19" s="143"/>
      <c r="P19" s="143"/>
      <c r="Q19" s="143"/>
      <c r="R19" s="143"/>
      <c r="S19" s="143">
        <v>2.2000000000000002</v>
      </c>
      <c r="T19" s="143"/>
      <c r="U19" s="143">
        <v>1</v>
      </c>
      <c r="V19" s="143"/>
    </row>
    <row r="20" spans="1:22" s="145" customFormat="1" ht="15.75" customHeight="1">
      <c r="A20" s="104">
        <v>15</v>
      </c>
      <c r="B20" s="146">
        <v>1.1000000000000001</v>
      </c>
      <c r="C20" s="146">
        <v>1.2</v>
      </c>
      <c r="D20" s="143">
        <v>1</v>
      </c>
      <c r="E20" s="143">
        <v>1</v>
      </c>
      <c r="F20" s="143"/>
      <c r="G20" s="143"/>
      <c r="H20" s="143">
        <v>1</v>
      </c>
      <c r="I20" s="143">
        <v>2.077</v>
      </c>
      <c r="J20" s="143"/>
      <c r="K20" s="143"/>
      <c r="L20" s="143"/>
      <c r="M20" s="143"/>
      <c r="N20" s="143"/>
      <c r="O20" s="143"/>
      <c r="P20" s="143"/>
      <c r="Q20" s="143"/>
      <c r="R20" s="143"/>
      <c r="S20" s="143">
        <v>1</v>
      </c>
      <c r="T20" s="143"/>
      <c r="U20" s="143">
        <v>1</v>
      </c>
      <c r="V20" s="143"/>
    </row>
    <row r="21" spans="1:22" s="145" customFormat="1" ht="15.75" customHeight="1">
      <c r="A21" s="104">
        <v>16</v>
      </c>
      <c r="B21" s="146">
        <v>1.1000000000000001</v>
      </c>
      <c r="C21" s="146">
        <v>1.2</v>
      </c>
      <c r="D21" s="143">
        <v>1</v>
      </c>
      <c r="E21" s="143">
        <v>1</v>
      </c>
      <c r="F21" s="143"/>
      <c r="G21" s="143"/>
      <c r="H21" s="143">
        <v>1</v>
      </c>
      <c r="I21" s="143"/>
      <c r="J21" s="143">
        <v>1.762</v>
      </c>
      <c r="K21" s="143">
        <v>1.762</v>
      </c>
      <c r="L21" s="143"/>
      <c r="M21" s="143"/>
      <c r="N21" s="143"/>
      <c r="O21" s="143"/>
      <c r="P21" s="143"/>
      <c r="Q21" s="143"/>
      <c r="R21" s="143"/>
      <c r="S21" s="143">
        <v>2</v>
      </c>
      <c r="T21" s="143"/>
      <c r="U21" s="143">
        <v>1</v>
      </c>
      <c r="V21" s="143"/>
    </row>
    <row r="22" spans="1:22" s="145" customFormat="1" ht="15.75" customHeight="1">
      <c r="A22" s="104">
        <v>17</v>
      </c>
      <c r="B22" s="146">
        <v>1.1000000000000001</v>
      </c>
      <c r="C22" s="146">
        <v>1.2</v>
      </c>
      <c r="D22" s="143">
        <v>1</v>
      </c>
      <c r="E22" s="143">
        <v>1</v>
      </c>
      <c r="F22" s="143"/>
      <c r="G22" s="143"/>
      <c r="H22" s="143">
        <v>1</v>
      </c>
      <c r="I22" s="143"/>
      <c r="J22" s="143"/>
      <c r="K22" s="143">
        <v>1.762</v>
      </c>
      <c r="L22" s="143">
        <v>1.762</v>
      </c>
      <c r="M22" s="143"/>
      <c r="N22" s="143"/>
      <c r="O22" s="143"/>
      <c r="P22" s="143"/>
      <c r="Q22" s="143"/>
      <c r="R22" s="143"/>
      <c r="S22" s="143">
        <v>2</v>
      </c>
      <c r="T22" s="143"/>
      <c r="U22" s="143">
        <v>1</v>
      </c>
      <c r="V22" s="143"/>
    </row>
    <row r="23" spans="1:22" s="145" customFormat="1" ht="15.75" customHeight="1">
      <c r="A23" s="104">
        <v>18</v>
      </c>
      <c r="B23" s="146">
        <v>1.1000000000000001</v>
      </c>
      <c r="C23" s="146">
        <v>1.2</v>
      </c>
      <c r="D23" s="143">
        <v>1</v>
      </c>
      <c r="E23" s="143">
        <v>1</v>
      </c>
      <c r="F23" s="143"/>
      <c r="G23" s="143"/>
      <c r="H23" s="143">
        <v>1</v>
      </c>
      <c r="I23" s="143"/>
      <c r="J23" s="143"/>
      <c r="K23" s="143"/>
      <c r="L23" s="143">
        <v>1.762</v>
      </c>
      <c r="M23" s="143">
        <v>1.762</v>
      </c>
      <c r="S23" s="143">
        <v>2</v>
      </c>
      <c r="T23" s="143"/>
      <c r="U23" s="143">
        <v>1</v>
      </c>
    </row>
    <row r="24" spans="1:22" s="145" customFormat="1" ht="15.75" customHeight="1">
      <c r="A24" s="104">
        <v>19</v>
      </c>
      <c r="B24" s="146">
        <v>1.1000000000000001</v>
      </c>
      <c r="C24" s="146">
        <v>1.2</v>
      </c>
      <c r="D24" s="143">
        <v>1</v>
      </c>
      <c r="E24" s="143">
        <v>1</v>
      </c>
      <c r="F24" s="143"/>
      <c r="G24" s="143"/>
      <c r="H24" s="143">
        <v>1</v>
      </c>
      <c r="I24" s="143"/>
      <c r="J24" s="143">
        <v>1.762</v>
      </c>
      <c r="K24" s="143"/>
      <c r="L24" s="143"/>
      <c r="M24" s="143">
        <v>1.762</v>
      </c>
      <c r="S24" s="143">
        <v>2</v>
      </c>
      <c r="T24" s="143"/>
      <c r="U24" s="143">
        <v>1</v>
      </c>
    </row>
    <row r="25" spans="1:22" s="145" customFormat="1" ht="15.75" customHeight="1">
      <c r="A25" s="104">
        <v>20</v>
      </c>
      <c r="B25" s="146">
        <v>1.1000000000000001</v>
      </c>
      <c r="C25" s="146">
        <v>1.2</v>
      </c>
      <c r="D25" s="143">
        <v>1</v>
      </c>
      <c r="E25" s="143">
        <v>1</v>
      </c>
      <c r="F25" s="143"/>
      <c r="G25" s="143"/>
      <c r="H25" s="143">
        <v>1</v>
      </c>
      <c r="I25" s="143"/>
      <c r="J25" s="143">
        <v>1.762</v>
      </c>
      <c r="K25" s="143"/>
      <c r="L25" s="143">
        <v>1.762</v>
      </c>
      <c r="M25" s="143"/>
      <c r="S25" s="143">
        <v>2</v>
      </c>
      <c r="T25" s="143"/>
      <c r="U25" s="143">
        <v>1</v>
      </c>
    </row>
    <row r="26" spans="1:22" s="145" customFormat="1" ht="15.75" customHeight="1">
      <c r="A26" s="104">
        <v>21</v>
      </c>
      <c r="B26" s="146">
        <v>1.1000000000000001</v>
      </c>
      <c r="C26" s="146">
        <v>1.2</v>
      </c>
      <c r="D26" s="143">
        <v>1</v>
      </c>
      <c r="E26" s="143">
        <v>1</v>
      </c>
      <c r="F26" s="143"/>
      <c r="G26" s="143"/>
      <c r="H26" s="143">
        <v>1</v>
      </c>
      <c r="I26" s="143"/>
      <c r="J26" s="143"/>
      <c r="K26" s="143">
        <v>1.762</v>
      </c>
      <c r="L26" s="143"/>
      <c r="M26" s="143">
        <v>1.762</v>
      </c>
      <c r="S26" s="143">
        <v>2</v>
      </c>
      <c r="T26" s="143"/>
      <c r="U26" s="143">
        <v>1</v>
      </c>
    </row>
    <row r="27" spans="1:22" s="145" customFormat="1" ht="15.75" customHeight="1">
      <c r="A27" s="104">
        <v>22</v>
      </c>
      <c r="B27" s="146">
        <v>1.1000000000000001</v>
      </c>
      <c r="C27" s="146">
        <v>1.2</v>
      </c>
      <c r="D27" s="143">
        <v>1</v>
      </c>
      <c r="E27" s="143">
        <v>1</v>
      </c>
      <c r="V27" s="143">
        <v>1.2</v>
      </c>
    </row>
    <row r="28" spans="1:22" s="145" customFormat="1" ht="15.75" customHeight="1">
      <c r="A28" s="104">
        <v>23</v>
      </c>
      <c r="B28" s="143">
        <v>1</v>
      </c>
      <c r="C28" s="143">
        <v>1</v>
      </c>
      <c r="D28" s="143">
        <v>1</v>
      </c>
      <c r="E28" s="143">
        <v>1</v>
      </c>
      <c r="F28" s="143">
        <v>1</v>
      </c>
    </row>
    <row r="29" spans="1:22" s="145" customFormat="1" ht="15.75" customHeight="1">
      <c r="A29" s="104">
        <v>24</v>
      </c>
      <c r="B29" s="143">
        <v>1</v>
      </c>
      <c r="C29" s="143">
        <v>1</v>
      </c>
      <c r="D29" s="143">
        <v>1</v>
      </c>
      <c r="E29" s="143">
        <v>1</v>
      </c>
      <c r="F29" s="143">
        <v>1</v>
      </c>
      <c r="N29" s="143">
        <v>1.8069999999999999</v>
      </c>
      <c r="T29" s="143">
        <v>1</v>
      </c>
    </row>
    <row r="30" spans="1:22" s="145" customFormat="1" ht="15.75" customHeight="1">
      <c r="A30" s="104">
        <v>25</v>
      </c>
      <c r="B30" s="143">
        <v>1</v>
      </c>
      <c r="C30" s="143">
        <v>1</v>
      </c>
      <c r="D30" s="143">
        <v>1</v>
      </c>
      <c r="E30" s="143">
        <v>1</v>
      </c>
      <c r="F30" s="143">
        <v>1</v>
      </c>
      <c r="O30" s="143">
        <v>1.571</v>
      </c>
      <c r="P30" s="143">
        <v>1.571</v>
      </c>
      <c r="Q30" s="143"/>
      <c r="R30" s="143"/>
      <c r="T30" s="143">
        <v>2</v>
      </c>
    </row>
    <row r="31" spans="1:22" s="145" customFormat="1" ht="15.75" customHeight="1">
      <c r="A31" s="104">
        <v>26</v>
      </c>
      <c r="B31" s="143">
        <v>1</v>
      </c>
      <c r="C31" s="143">
        <v>1</v>
      </c>
      <c r="D31" s="143">
        <v>1</v>
      </c>
      <c r="E31" s="143">
        <v>1</v>
      </c>
      <c r="F31" s="143">
        <v>1</v>
      </c>
      <c r="O31" s="143"/>
      <c r="P31" s="143">
        <v>1.571</v>
      </c>
      <c r="Q31" s="143">
        <v>1.571</v>
      </c>
      <c r="R31" s="143"/>
      <c r="T31" s="143">
        <v>2</v>
      </c>
    </row>
    <row r="32" spans="1:22" s="145" customFormat="1" ht="15.75" customHeight="1">
      <c r="A32" s="104">
        <v>27</v>
      </c>
      <c r="B32" s="143">
        <v>1</v>
      </c>
      <c r="C32" s="143">
        <v>1</v>
      </c>
      <c r="D32" s="143">
        <v>1</v>
      </c>
      <c r="E32" s="143">
        <v>1</v>
      </c>
      <c r="F32" s="143">
        <v>1</v>
      </c>
      <c r="O32" s="143"/>
      <c r="P32" s="143"/>
      <c r="Q32" s="143">
        <v>1.571</v>
      </c>
      <c r="R32" s="143">
        <v>1.571</v>
      </c>
      <c r="T32" s="143">
        <v>2</v>
      </c>
    </row>
    <row r="33" spans="1:21" s="145" customFormat="1" ht="15.75" customHeight="1">
      <c r="A33" s="104">
        <v>28</v>
      </c>
      <c r="B33" s="143">
        <v>1</v>
      </c>
      <c r="C33" s="143">
        <v>1</v>
      </c>
      <c r="D33" s="143">
        <v>1</v>
      </c>
      <c r="E33" s="143">
        <v>1</v>
      </c>
      <c r="F33" s="143">
        <v>1</v>
      </c>
      <c r="O33" s="143">
        <v>1.571</v>
      </c>
      <c r="P33" s="143"/>
      <c r="Q33" s="143"/>
      <c r="R33" s="143">
        <v>1.571</v>
      </c>
      <c r="T33" s="143">
        <v>2</v>
      </c>
    </row>
    <row r="34" spans="1:21" s="145" customFormat="1" ht="15.75" customHeight="1">
      <c r="A34" s="104">
        <v>29</v>
      </c>
      <c r="B34" s="143">
        <v>1</v>
      </c>
      <c r="C34" s="143">
        <v>1</v>
      </c>
      <c r="D34" s="143">
        <v>1</v>
      </c>
      <c r="E34" s="143">
        <v>1</v>
      </c>
      <c r="F34" s="143">
        <v>1</v>
      </c>
      <c r="O34" s="143">
        <v>1.571</v>
      </c>
      <c r="P34" s="143"/>
      <c r="Q34" s="143">
        <v>1.571</v>
      </c>
      <c r="R34" s="143"/>
      <c r="T34" s="143">
        <v>2</v>
      </c>
    </row>
    <row r="35" spans="1:21" s="145" customFormat="1" ht="15.75" customHeight="1">
      <c r="A35" s="104">
        <v>30</v>
      </c>
      <c r="B35" s="143">
        <v>1</v>
      </c>
      <c r="C35" s="143">
        <v>1</v>
      </c>
      <c r="D35" s="143">
        <v>1</v>
      </c>
      <c r="E35" s="143">
        <v>1</v>
      </c>
      <c r="F35" s="143">
        <v>1</v>
      </c>
      <c r="O35" s="143"/>
      <c r="P35" s="143">
        <v>1.571</v>
      </c>
      <c r="Q35" s="143"/>
      <c r="R35" s="143">
        <v>1.571</v>
      </c>
      <c r="T35" s="143">
        <v>2</v>
      </c>
    </row>
    <row r="36" spans="1:21" s="145" customFormat="1" ht="15.75" customHeight="1">
      <c r="A36" s="104">
        <v>31</v>
      </c>
      <c r="B36" s="143">
        <v>1</v>
      </c>
      <c r="C36" s="143">
        <v>1</v>
      </c>
      <c r="D36" s="143">
        <v>1</v>
      </c>
      <c r="E36" s="143">
        <v>1</v>
      </c>
      <c r="F36" s="143"/>
      <c r="G36" s="143">
        <v>1</v>
      </c>
      <c r="H36" s="143"/>
      <c r="I36" s="143">
        <v>2.077</v>
      </c>
      <c r="J36" s="143"/>
      <c r="K36" s="143"/>
      <c r="L36" s="143"/>
      <c r="M36" s="143"/>
      <c r="N36" s="143"/>
      <c r="O36" s="143"/>
      <c r="P36" s="143"/>
      <c r="Q36" s="143"/>
      <c r="R36" s="143"/>
      <c r="S36" s="143">
        <v>1</v>
      </c>
      <c r="T36" s="143"/>
      <c r="U36" s="143">
        <v>1</v>
      </c>
    </row>
    <row r="37" spans="1:21" s="145" customFormat="1" ht="15.75" customHeight="1">
      <c r="A37" s="104">
        <v>32</v>
      </c>
      <c r="B37" s="143">
        <v>1</v>
      </c>
      <c r="C37" s="143">
        <v>1</v>
      </c>
      <c r="D37" s="143">
        <v>1</v>
      </c>
      <c r="E37" s="143">
        <v>1</v>
      </c>
      <c r="F37" s="143"/>
      <c r="G37" s="143">
        <v>1</v>
      </c>
      <c r="H37" s="143"/>
      <c r="I37" s="143"/>
      <c r="J37" s="143">
        <v>1.762</v>
      </c>
      <c r="K37" s="143">
        <v>1.762</v>
      </c>
      <c r="L37" s="143"/>
      <c r="M37" s="143"/>
      <c r="N37" s="143"/>
      <c r="O37" s="143"/>
      <c r="P37" s="143"/>
      <c r="Q37" s="143"/>
      <c r="R37" s="143"/>
      <c r="S37" s="143">
        <v>2</v>
      </c>
      <c r="T37" s="143"/>
      <c r="U37" s="143">
        <v>1</v>
      </c>
    </row>
    <row r="38" spans="1:21" s="145" customFormat="1" ht="15.75" customHeight="1">
      <c r="A38" s="104">
        <v>33</v>
      </c>
      <c r="B38" s="143">
        <v>1</v>
      </c>
      <c r="C38" s="143">
        <v>1</v>
      </c>
      <c r="D38" s="143">
        <v>1</v>
      </c>
      <c r="E38" s="143">
        <v>1</v>
      </c>
      <c r="F38" s="143"/>
      <c r="G38" s="143">
        <v>1</v>
      </c>
      <c r="H38" s="143"/>
      <c r="I38" s="143"/>
      <c r="J38" s="143"/>
      <c r="K38" s="143">
        <v>1.762</v>
      </c>
      <c r="L38" s="143">
        <v>1.762</v>
      </c>
      <c r="M38" s="143"/>
      <c r="N38" s="143"/>
      <c r="O38" s="143"/>
      <c r="P38" s="143"/>
      <c r="Q38" s="143"/>
      <c r="R38" s="143"/>
      <c r="S38" s="143">
        <v>2</v>
      </c>
      <c r="T38" s="143"/>
      <c r="U38" s="143">
        <v>1</v>
      </c>
    </row>
    <row r="39" spans="1:21" s="145" customFormat="1" ht="15.75" customHeight="1">
      <c r="A39" s="104">
        <v>34</v>
      </c>
      <c r="B39" s="143">
        <v>1</v>
      </c>
      <c r="C39" s="143">
        <v>1</v>
      </c>
      <c r="D39" s="143">
        <v>1</v>
      </c>
      <c r="E39" s="143">
        <v>1</v>
      </c>
      <c r="F39" s="143"/>
      <c r="G39" s="143">
        <v>1</v>
      </c>
      <c r="H39" s="143"/>
      <c r="I39" s="143"/>
      <c r="J39" s="143"/>
      <c r="K39" s="143"/>
      <c r="L39" s="143">
        <v>1.762</v>
      </c>
      <c r="M39" s="143">
        <v>1.762</v>
      </c>
      <c r="N39" s="143"/>
      <c r="O39" s="143"/>
      <c r="P39" s="143"/>
      <c r="Q39" s="143"/>
      <c r="R39" s="143"/>
      <c r="S39" s="143">
        <v>2</v>
      </c>
      <c r="T39" s="143"/>
      <c r="U39" s="143">
        <v>1</v>
      </c>
    </row>
    <row r="40" spans="1:21" s="145" customFormat="1" ht="15.75" customHeight="1">
      <c r="A40" s="104">
        <v>35</v>
      </c>
      <c r="B40" s="143">
        <v>1</v>
      </c>
      <c r="C40" s="143">
        <v>1</v>
      </c>
      <c r="D40" s="143">
        <v>1</v>
      </c>
      <c r="E40" s="143">
        <v>1</v>
      </c>
      <c r="F40" s="143"/>
      <c r="G40" s="143">
        <v>1</v>
      </c>
      <c r="H40" s="143"/>
      <c r="I40" s="143"/>
      <c r="J40" s="143">
        <v>1.762</v>
      </c>
      <c r="K40" s="143"/>
      <c r="L40" s="143"/>
      <c r="M40" s="143">
        <v>1.762</v>
      </c>
      <c r="N40" s="143"/>
      <c r="O40" s="143"/>
      <c r="P40" s="143"/>
      <c r="Q40" s="143"/>
      <c r="R40" s="143"/>
      <c r="S40" s="143">
        <v>2</v>
      </c>
      <c r="T40" s="143"/>
      <c r="U40" s="143">
        <v>1</v>
      </c>
    </row>
    <row r="41" spans="1:21" s="145" customFormat="1" ht="15.75" customHeight="1">
      <c r="A41" s="104">
        <v>36</v>
      </c>
      <c r="B41" s="143">
        <v>1</v>
      </c>
      <c r="C41" s="143">
        <v>1</v>
      </c>
      <c r="D41" s="143">
        <v>1</v>
      </c>
      <c r="E41" s="143">
        <v>1</v>
      </c>
      <c r="F41" s="143"/>
      <c r="G41" s="143">
        <v>1</v>
      </c>
      <c r="H41" s="143"/>
      <c r="I41" s="143"/>
      <c r="J41" s="143">
        <v>1.762</v>
      </c>
      <c r="K41" s="143"/>
      <c r="L41" s="143">
        <v>1.762</v>
      </c>
      <c r="M41" s="143"/>
      <c r="N41" s="143"/>
      <c r="O41" s="143"/>
      <c r="P41" s="143"/>
      <c r="Q41" s="143"/>
      <c r="R41" s="143"/>
      <c r="S41" s="143">
        <v>2</v>
      </c>
      <c r="T41" s="143"/>
      <c r="U41" s="143">
        <v>1</v>
      </c>
    </row>
    <row r="42" spans="1:21" s="145" customFormat="1" ht="15.75" customHeight="1">
      <c r="A42" s="104">
        <v>37</v>
      </c>
      <c r="B42" s="143">
        <v>1</v>
      </c>
      <c r="C42" s="143">
        <v>1</v>
      </c>
      <c r="D42" s="143">
        <v>1</v>
      </c>
      <c r="E42" s="143">
        <v>1</v>
      </c>
      <c r="F42" s="143"/>
      <c r="G42" s="143">
        <v>1</v>
      </c>
      <c r="H42" s="143"/>
      <c r="I42" s="143"/>
      <c r="J42" s="143"/>
      <c r="K42" s="143">
        <v>1.762</v>
      </c>
      <c r="L42" s="143"/>
      <c r="M42" s="143">
        <v>1.762</v>
      </c>
      <c r="N42" s="143"/>
      <c r="O42" s="143"/>
      <c r="P42" s="143"/>
      <c r="Q42" s="143"/>
      <c r="R42" s="143"/>
      <c r="S42" s="143">
        <v>2</v>
      </c>
      <c r="T42" s="143"/>
      <c r="U42" s="143">
        <v>1</v>
      </c>
    </row>
  </sheetData>
  <mergeCells count="1">
    <mergeCell ref="A4:A5"/>
  </mergeCells>
  <phoneticPr fontId="2"/>
  <pageMargins left="0.7" right="0.7" top="0.75" bottom="0.75" header="0.3" footer="0.3"/>
  <pageSetup paperSize="9" orientation="portrait" horizontalDpi="400" verticalDpi="4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CKUPSheet"/>
  <dimension ref="A1:AN8"/>
  <sheetViews>
    <sheetView workbookViewId="0">
      <selection activeCell="J15" sqref="J15"/>
    </sheetView>
  </sheetViews>
  <sheetFormatPr defaultRowHeight="16.5" customHeight="1"/>
  <cols>
    <col min="1" max="1" width="9" style="141"/>
    <col min="2" max="16384" width="9" style="142"/>
  </cols>
  <sheetData>
    <row r="1" spans="1:40" s="136" customFormat="1" ht="16.5" customHeight="1">
      <c r="A1" s="135"/>
    </row>
    <row r="2" spans="1:40" s="136" customFormat="1" ht="16.5" customHeight="1">
      <c r="A2" s="137" t="s">
        <v>119</v>
      </c>
    </row>
    <row r="3" spans="1:40" s="139" customFormat="1" ht="16.5" customHeight="1">
      <c r="A3" s="138"/>
    </row>
    <row r="4" spans="1:40" s="95" customFormat="1" ht="16.5" customHeight="1">
      <c r="A4" s="99" t="s">
        <v>151</v>
      </c>
      <c r="B4" s="102" t="s">
        <v>149</v>
      </c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01"/>
      <c r="O4" s="101"/>
      <c r="P4" s="101"/>
    </row>
    <row r="5" spans="1:40" s="98" customFormat="1" ht="22.5" customHeight="1">
      <c r="A5" s="96">
        <v>1</v>
      </c>
      <c r="B5" s="142">
        <v>1</v>
      </c>
      <c r="C5" s="142">
        <v>2</v>
      </c>
      <c r="D5" s="142">
        <v>3</v>
      </c>
      <c r="E5" s="142">
        <v>4</v>
      </c>
      <c r="F5" s="142">
        <v>5</v>
      </c>
      <c r="G5" s="142">
        <v>6</v>
      </c>
      <c r="H5" s="142">
        <v>7</v>
      </c>
      <c r="I5" s="142">
        <v>8</v>
      </c>
      <c r="J5" s="142">
        <v>9</v>
      </c>
      <c r="K5" s="142">
        <v>10</v>
      </c>
      <c r="L5" s="142">
        <v>11</v>
      </c>
      <c r="M5" s="142">
        <v>12</v>
      </c>
      <c r="N5" s="142">
        <v>13</v>
      </c>
      <c r="O5" s="142">
        <v>14</v>
      </c>
      <c r="P5" s="142">
        <v>15</v>
      </c>
      <c r="Q5" s="142">
        <v>16</v>
      </c>
      <c r="R5" s="142">
        <v>17</v>
      </c>
      <c r="S5" s="142">
        <v>18</v>
      </c>
      <c r="T5" s="142">
        <v>19</v>
      </c>
      <c r="U5" s="142">
        <v>20</v>
      </c>
      <c r="V5" s="142">
        <v>21</v>
      </c>
      <c r="W5" s="142">
        <v>22</v>
      </c>
      <c r="X5" s="142"/>
      <c r="Y5" s="142"/>
      <c r="Z5" s="142"/>
      <c r="AA5" s="142"/>
      <c r="AB5" s="142"/>
      <c r="AC5" s="142"/>
      <c r="AD5" s="142"/>
      <c r="AE5" s="142"/>
      <c r="AF5" s="142"/>
      <c r="AG5" s="142"/>
      <c r="AH5" s="142"/>
      <c r="AI5" s="142"/>
      <c r="AJ5" s="142"/>
      <c r="AK5" s="142"/>
      <c r="AL5" s="142"/>
      <c r="AM5" s="142"/>
      <c r="AN5" s="142"/>
    </row>
    <row r="6" spans="1:40" s="98" customFormat="1" ht="22.5" customHeight="1">
      <c r="A6" s="96">
        <v>2</v>
      </c>
      <c r="B6" s="94">
        <v>23</v>
      </c>
      <c r="C6" s="94"/>
      <c r="D6" s="94"/>
      <c r="E6" s="94"/>
      <c r="F6" s="94"/>
      <c r="G6" s="94"/>
      <c r="H6" s="94"/>
      <c r="I6" s="94"/>
      <c r="J6" s="94"/>
      <c r="K6" s="94"/>
      <c r="L6" s="94"/>
      <c r="M6" s="94"/>
      <c r="N6" s="100"/>
      <c r="O6" s="100"/>
      <c r="P6" s="100"/>
      <c r="Q6" s="97"/>
    </row>
    <row r="7" spans="1:40" s="98" customFormat="1" ht="22.5" customHeight="1">
      <c r="A7" s="96">
        <v>3</v>
      </c>
      <c r="B7" s="94">
        <v>24</v>
      </c>
      <c r="C7" s="94">
        <v>25</v>
      </c>
      <c r="D7" s="94">
        <v>26</v>
      </c>
      <c r="E7" s="94">
        <v>27</v>
      </c>
      <c r="F7" s="94">
        <v>28</v>
      </c>
      <c r="G7" s="94">
        <v>29</v>
      </c>
      <c r="H7" s="94">
        <v>30</v>
      </c>
      <c r="I7" s="94"/>
      <c r="J7" s="94"/>
      <c r="K7" s="94"/>
      <c r="L7" s="94"/>
      <c r="M7" s="94"/>
      <c r="N7" s="100"/>
      <c r="O7" s="100"/>
      <c r="P7" s="100"/>
      <c r="Q7" s="97"/>
    </row>
    <row r="8" spans="1:40" ht="22.5" customHeight="1">
      <c r="A8" s="141">
        <v>4</v>
      </c>
      <c r="B8" s="142">
        <v>31</v>
      </c>
      <c r="C8" s="142">
        <v>32</v>
      </c>
      <c r="D8" s="142">
        <v>33</v>
      </c>
      <c r="E8" s="142">
        <v>34</v>
      </c>
      <c r="F8" s="142">
        <v>35</v>
      </c>
      <c r="G8" s="142">
        <v>36</v>
      </c>
      <c r="H8" s="142">
        <v>37</v>
      </c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結果Sheet"/>
  <dimension ref="A1"/>
  <sheetViews>
    <sheetView zoomScale="85" zoomScaleNormal="85" workbookViewId="0">
      <selection activeCell="H27" sqref="H27"/>
    </sheetView>
  </sheetViews>
  <sheetFormatPr defaultRowHeight="13.5"/>
  <cols>
    <col min="1" max="2" width="9" style="25" customWidth="1"/>
    <col min="3" max="4" width="10.625" style="25" customWidth="1"/>
    <col min="5" max="10" width="12.375" style="25" customWidth="1"/>
    <col min="11" max="13" width="9" style="25" customWidth="1"/>
    <col min="14" max="14" width="12.75" style="25" bestFit="1" customWidth="1"/>
    <col min="15" max="16" width="11.625" style="25" bestFit="1" customWidth="1"/>
    <col min="17" max="17" width="9.25" style="25" bestFit="1" customWidth="1"/>
    <col min="18" max="18" width="14" style="25" bestFit="1" customWidth="1"/>
    <col min="19" max="19" width="9.125" style="25" bestFit="1" customWidth="1"/>
    <col min="20" max="20" width="10.5" style="25" bestFit="1" customWidth="1"/>
    <col min="21" max="16384" width="9" style="25"/>
  </cols>
  <sheetData/>
  <phoneticPr fontId="2"/>
  <pageMargins left="0.75" right="0.75" top="1" bottom="1" header="0.51200000000000001" footer="0.51200000000000001"/>
  <pageSetup paperSize="9" orientation="portrait" horizontalDpi="400" verticalDpi="4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cmd計算_Click">
                <anchor moveWithCells="1">
                  <from>
                    <xdr:col>0</xdr:col>
                    <xdr:colOff>266700</xdr:colOff>
                    <xdr:row>0</xdr:row>
                    <xdr:rowOff>104775</xdr:rowOff>
                  </from>
                  <to>
                    <xdr:col>2</xdr:col>
                    <xdr:colOff>295275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ickUpPrintSheet"/>
  <dimension ref="A1:M1081"/>
  <sheetViews>
    <sheetView zoomScaleNormal="100" workbookViewId="0">
      <selection activeCell="J2" sqref="J2"/>
    </sheetView>
  </sheetViews>
  <sheetFormatPr defaultRowHeight="13.5"/>
  <cols>
    <col min="1" max="1" width="9.25" bestFit="1" customWidth="1"/>
    <col min="2" max="2" width="11" bestFit="1" customWidth="1"/>
    <col min="3" max="3" width="7.5" bestFit="1" customWidth="1"/>
    <col min="4" max="5" width="11.625" bestFit="1" customWidth="1"/>
    <col min="6" max="6" width="7.125" bestFit="1" customWidth="1"/>
    <col min="7" max="7" width="11" bestFit="1" customWidth="1"/>
    <col min="8" max="13" width="9" customWidth="1"/>
  </cols>
  <sheetData>
    <row r="1" spans="1:13">
      <c r="A1" t="s">
        <v>188</v>
      </c>
      <c r="B1" t="s">
        <v>189</v>
      </c>
      <c r="C1" t="s">
        <v>190</v>
      </c>
      <c r="D1" t="s">
        <v>191</v>
      </c>
      <c r="E1" t="s">
        <v>192</v>
      </c>
      <c r="F1" t="s">
        <v>115</v>
      </c>
      <c r="G1" t="s">
        <v>193</v>
      </c>
      <c r="H1" t="s">
        <v>194</v>
      </c>
      <c r="I1" t="s">
        <v>195</v>
      </c>
      <c r="J1" t="s">
        <v>196</v>
      </c>
      <c r="K1" t="s">
        <v>197</v>
      </c>
      <c r="L1" t="s">
        <v>198</v>
      </c>
      <c r="M1" t="s">
        <v>199</v>
      </c>
    </row>
    <row r="2" spans="1:13">
      <c r="A2">
        <v>1</v>
      </c>
      <c r="B2" t="s">
        <v>200</v>
      </c>
      <c r="C2">
        <v>1</v>
      </c>
      <c r="D2">
        <v>17</v>
      </c>
      <c r="E2">
        <v>0</v>
      </c>
      <c r="F2" t="s">
        <v>201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1:13">
      <c r="A3">
        <v>1</v>
      </c>
      <c r="B3" t="s">
        <v>200</v>
      </c>
      <c r="C3">
        <v>1</v>
      </c>
      <c r="D3">
        <v>0</v>
      </c>
      <c r="E3">
        <v>1</v>
      </c>
      <c r="F3" t="s">
        <v>202</v>
      </c>
      <c r="G3">
        <v>1.5649999999999999</v>
      </c>
      <c r="H3">
        <v>0</v>
      </c>
      <c r="I3">
        <v>0</v>
      </c>
      <c r="J3">
        <v>0</v>
      </c>
      <c r="K3">
        <v>-766.15</v>
      </c>
      <c r="L3">
        <v>-979.1</v>
      </c>
      <c r="M3">
        <v>0</v>
      </c>
    </row>
    <row r="4" spans="1:13">
      <c r="A4">
        <v>1</v>
      </c>
      <c r="B4" t="s">
        <v>200</v>
      </c>
      <c r="C4">
        <v>2</v>
      </c>
      <c r="D4">
        <v>0</v>
      </c>
      <c r="E4">
        <v>1</v>
      </c>
      <c r="F4" t="s">
        <v>201</v>
      </c>
      <c r="G4">
        <v>0</v>
      </c>
      <c r="H4">
        <v>0</v>
      </c>
      <c r="I4">
        <v>0</v>
      </c>
      <c r="J4">
        <v>0</v>
      </c>
      <c r="K4">
        <v>-766.15</v>
      </c>
      <c r="L4">
        <v>-979.1</v>
      </c>
      <c r="M4">
        <v>0</v>
      </c>
    </row>
    <row r="5" spans="1:13">
      <c r="A5">
        <v>1</v>
      </c>
      <c r="B5" t="s">
        <v>200</v>
      </c>
      <c r="C5">
        <v>2</v>
      </c>
      <c r="D5">
        <v>0</v>
      </c>
      <c r="E5">
        <v>16</v>
      </c>
      <c r="F5" t="s">
        <v>202</v>
      </c>
      <c r="G5">
        <v>0.27500000000000002</v>
      </c>
      <c r="H5">
        <v>0</v>
      </c>
      <c r="I5">
        <v>0</v>
      </c>
      <c r="J5">
        <v>0</v>
      </c>
      <c r="K5">
        <v>-3841.13</v>
      </c>
      <c r="L5">
        <v>-23111.200000000001</v>
      </c>
      <c r="M5">
        <v>0</v>
      </c>
    </row>
    <row r="6" spans="1:13">
      <c r="A6">
        <v>1</v>
      </c>
      <c r="B6" t="s">
        <v>200</v>
      </c>
      <c r="C6">
        <v>3</v>
      </c>
      <c r="D6">
        <v>22</v>
      </c>
      <c r="E6">
        <v>0</v>
      </c>
      <c r="F6" t="s">
        <v>201</v>
      </c>
      <c r="G6">
        <v>0</v>
      </c>
      <c r="H6">
        <v>71450.23</v>
      </c>
      <c r="I6">
        <v>-12180.89</v>
      </c>
      <c r="J6">
        <v>18245.47</v>
      </c>
      <c r="K6">
        <v>0</v>
      </c>
      <c r="L6">
        <v>0</v>
      </c>
      <c r="M6">
        <v>0</v>
      </c>
    </row>
    <row r="7" spans="1:13">
      <c r="A7">
        <v>1</v>
      </c>
      <c r="B7" t="s">
        <v>200</v>
      </c>
      <c r="C7">
        <v>3</v>
      </c>
      <c r="D7">
        <v>22</v>
      </c>
      <c r="E7">
        <v>0</v>
      </c>
      <c r="F7" t="s">
        <v>202</v>
      </c>
      <c r="G7">
        <v>0.27500000000000002</v>
      </c>
      <c r="H7">
        <v>68076.83</v>
      </c>
      <c r="I7">
        <v>-12352.94</v>
      </c>
      <c r="J7">
        <v>18245.47</v>
      </c>
      <c r="K7">
        <v>0</v>
      </c>
      <c r="L7">
        <v>0</v>
      </c>
      <c r="M7">
        <v>0</v>
      </c>
    </row>
    <row r="8" spans="1:13">
      <c r="A8">
        <v>1</v>
      </c>
      <c r="B8" t="s">
        <v>200</v>
      </c>
      <c r="C8">
        <v>4</v>
      </c>
      <c r="D8">
        <v>22</v>
      </c>
      <c r="E8">
        <v>0</v>
      </c>
      <c r="F8" t="s">
        <v>201</v>
      </c>
      <c r="G8">
        <v>0</v>
      </c>
      <c r="H8">
        <v>68076.83</v>
      </c>
      <c r="I8">
        <v>-12352.94</v>
      </c>
      <c r="J8">
        <v>18245.47</v>
      </c>
      <c r="K8">
        <v>0</v>
      </c>
      <c r="L8">
        <v>0</v>
      </c>
      <c r="M8">
        <v>0</v>
      </c>
    </row>
    <row r="9" spans="1:13">
      <c r="A9">
        <v>1</v>
      </c>
      <c r="B9" t="s">
        <v>200</v>
      </c>
      <c r="C9">
        <v>4</v>
      </c>
      <c r="D9">
        <v>16</v>
      </c>
      <c r="E9">
        <v>0</v>
      </c>
      <c r="F9">
        <v>1</v>
      </c>
      <c r="G9">
        <v>0.875</v>
      </c>
      <c r="H9">
        <v>57566.52</v>
      </c>
      <c r="I9">
        <v>-11716.52</v>
      </c>
      <c r="J9">
        <v>18253.810000000001</v>
      </c>
      <c r="K9">
        <v>0</v>
      </c>
      <c r="L9">
        <v>0</v>
      </c>
      <c r="M9">
        <v>0</v>
      </c>
    </row>
    <row r="10" spans="1:13">
      <c r="A10">
        <v>1</v>
      </c>
      <c r="B10" t="s">
        <v>200</v>
      </c>
      <c r="C10">
        <v>4</v>
      </c>
      <c r="D10">
        <v>16</v>
      </c>
      <c r="E10">
        <v>0</v>
      </c>
      <c r="F10">
        <v>2</v>
      </c>
      <c r="G10">
        <v>2.9609999999999999</v>
      </c>
      <c r="H10">
        <v>22099.51</v>
      </c>
      <c r="I10">
        <v>-18180.97</v>
      </c>
      <c r="J10">
        <v>18253.810000000001</v>
      </c>
      <c r="K10">
        <v>0</v>
      </c>
      <c r="L10">
        <v>0</v>
      </c>
      <c r="M10">
        <v>0</v>
      </c>
    </row>
    <row r="11" spans="1:13">
      <c r="A11">
        <v>1</v>
      </c>
      <c r="B11" t="s">
        <v>200</v>
      </c>
      <c r="C11">
        <v>4</v>
      </c>
      <c r="D11">
        <v>0</v>
      </c>
      <c r="E11">
        <v>16</v>
      </c>
      <c r="F11">
        <v>3</v>
      </c>
      <c r="G11">
        <v>5.0460000000000003</v>
      </c>
      <c r="H11">
        <v>0</v>
      </c>
      <c r="I11">
        <v>0</v>
      </c>
      <c r="J11">
        <v>0</v>
      </c>
      <c r="K11">
        <v>-17167.689999999999</v>
      </c>
      <c r="L11">
        <v>-19485.400000000001</v>
      </c>
      <c r="M11">
        <v>18253.810000000001</v>
      </c>
    </row>
    <row r="12" spans="1:13">
      <c r="A12">
        <v>1</v>
      </c>
      <c r="B12" t="s">
        <v>200</v>
      </c>
      <c r="C12">
        <v>4</v>
      </c>
      <c r="D12">
        <v>0</v>
      </c>
      <c r="E12">
        <v>16</v>
      </c>
      <c r="F12" t="s">
        <v>202</v>
      </c>
      <c r="G12">
        <v>5.92</v>
      </c>
      <c r="H12">
        <v>0</v>
      </c>
      <c r="I12">
        <v>0</v>
      </c>
      <c r="J12">
        <v>0</v>
      </c>
      <c r="K12">
        <v>-34436.93</v>
      </c>
      <c r="L12">
        <v>-20032.2</v>
      </c>
      <c r="M12">
        <v>18253.810000000001</v>
      </c>
    </row>
    <row r="13" spans="1:13">
      <c r="A13">
        <v>1</v>
      </c>
      <c r="B13" t="s">
        <v>200</v>
      </c>
      <c r="C13">
        <v>5</v>
      </c>
      <c r="D13">
        <v>0</v>
      </c>
      <c r="E13">
        <v>16</v>
      </c>
      <c r="F13" t="s">
        <v>201</v>
      </c>
      <c r="G13">
        <v>0</v>
      </c>
      <c r="H13">
        <v>0</v>
      </c>
      <c r="I13">
        <v>0</v>
      </c>
      <c r="J13">
        <v>0</v>
      </c>
      <c r="K13">
        <v>-34436.93</v>
      </c>
      <c r="L13">
        <v>-20032.2</v>
      </c>
      <c r="M13">
        <v>18253.810000000001</v>
      </c>
    </row>
    <row r="14" spans="1:13">
      <c r="A14">
        <v>1</v>
      </c>
      <c r="B14" t="s">
        <v>200</v>
      </c>
      <c r="C14">
        <v>5</v>
      </c>
      <c r="D14">
        <v>0</v>
      </c>
      <c r="E14">
        <v>16</v>
      </c>
      <c r="F14" t="s">
        <v>202</v>
      </c>
      <c r="G14">
        <v>0.27500000000000002</v>
      </c>
      <c r="H14">
        <v>0</v>
      </c>
      <c r="I14">
        <v>0</v>
      </c>
      <c r="J14">
        <v>0</v>
      </c>
      <c r="K14">
        <v>-39969.449999999997</v>
      </c>
      <c r="L14">
        <v>-20204.25</v>
      </c>
      <c r="M14">
        <v>18253.810000000001</v>
      </c>
    </row>
    <row r="15" spans="1:13">
      <c r="A15">
        <v>1</v>
      </c>
      <c r="B15" t="s">
        <v>200</v>
      </c>
      <c r="C15">
        <v>6</v>
      </c>
      <c r="D15">
        <v>22</v>
      </c>
      <c r="E15">
        <v>16</v>
      </c>
      <c r="F15" t="s">
        <v>201</v>
      </c>
      <c r="G15">
        <v>0</v>
      </c>
      <c r="H15">
        <v>23515.279999999999</v>
      </c>
      <c r="I15">
        <v>9071.81</v>
      </c>
      <c r="J15">
        <v>32956.300000000003</v>
      </c>
      <c r="K15">
        <v>-2537.81</v>
      </c>
      <c r="L15">
        <v>16937.96</v>
      </c>
      <c r="M15">
        <v>6897.7</v>
      </c>
    </row>
    <row r="16" spans="1:13">
      <c r="A16">
        <v>1</v>
      </c>
      <c r="B16" t="s">
        <v>200</v>
      </c>
      <c r="C16">
        <v>6</v>
      </c>
      <c r="D16">
        <v>22</v>
      </c>
      <c r="E16">
        <v>0</v>
      </c>
      <c r="F16" t="s">
        <v>202</v>
      </c>
      <c r="G16">
        <v>0.27500000000000002</v>
      </c>
      <c r="H16">
        <v>24061.119999999999</v>
      </c>
      <c r="I16">
        <v>-5623.18</v>
      </c>
      <c r="J16">
        <v>32956.300000000003</v>
      </c>
      <c r="K16">
        <v>0</v>
      </c>
      <c r="L16">
        <v>0</v>
      </c>
      <c r="M16">
        <v>0</v>
      </c>
    </row>
    <row r="17" spans="1:13">
      <c r="A17">
        <v>1</v>
      </c>
      <c r="B17" t="s">
        <v>200</v>
      </c>
      <c r="C17">
        <v>7</v>
      </c>
      <c r="D17">
        <v>22</v>
      </c>
      <c r="E17">
        <v>0</v>
      </c>
      <c r="F17" t="s">
        <v>201</v>
      </c>
      <c r="G17">
        <v>0</v>
      </c>
      <c r="H17">
        <v>24061.119999999999</v>
      </c>
      <c r="I17">
        <v>-5623.18</v>
      </c>
      <c r="J17">
        <v>32956.300000000003</v>
      </c>
      <c r="K17">
        <v>0</v>
      </c>
      <c r="L17">
        <v>0</v>
      </c>
      <c r="M17">
        <v>0</v>
      </c>
    </row>
    <row r="18" spans="1:13">
      <c r="A18">
        <v>1</v>
      </c>
      <c r="B18" t="s">
        <v>200</v>
      </c>
      <c r="C18">
        <v>7</v>
      </c>
      <c r="D18">
        <v>22</v>
      </c>
      <c r="E18">
        <v>0</v>
      </c>
      <c r="F18">
        <v>1</v>
      </c>
      <c r="G18">
        <v>0.875</v>
      </c>
      <c r="H18">
        <v>18901.349999999999</v>
      </c>
      <c r="I18">
        <v>-6170.6</v>
      </c>
      <c r="J18">
        <v>32956.300000000003</v>
      </c>
      <c r="K18">
        <v>0</v>
      </c>
      <c r="L18">
        <v>0</v>
      </c>
      <c r="M18">
        <v>0</v>
      </c>
    </row>
    <row r="19" spans="1:13">
      <c r="A19">
        <v>1</v>
      </c>
      <c r="B19" t="s">
        <v>200</v>
      </c>
      <c r="C19">
        <v>7</v>
      </c>
      <c r="D19">
        <v>22</v>
      </c>
      <c r="E19">
        <v>0</v>
      </c>
      <c r="F19">
        <v>2</v>
      </c>
      <c r="G19">
        <v>2.96</v>
      </c>
      <c r="H19">
        <v>4675.78</v>
      </c>
      <c r="I19">
        <v>-7475.03</v>
      </c>
      <c r="J19">
        <v>32956.300000000003</v>
      </c>
      <c r="K19">
        <v>0</v>
      </c>
      <c r="L19">
        <v>0</v>
      </c>
      <c r="M19">
        <v>0</v>
      </c>
    </row>
    <row r="20" spans="1:13">
      <c r="A20">
        <v>1</v>
      </c>
      <c r="B20" t="s">
        <v>200</v>
      </c>
      <c r="C20">
        <v>7</v>
      </c>
      <c r="D20">
        <v>0</v>
      </c>
      <c r="E20">
        <v>22</v>
      </c>
      <c r="F20">
        <v>3</v>
      </c>
      <c r="G20">
        <v>5.0449999999999999</v>
      </c>
      <c r="H20">
        <v>0</v>
      </c>
      <c r="I20">
        <v>0</v>
      </c>
      <c r="J20">
        <v>0</v>
      </c>
      <c r="K20">
        <v>-12269.51</v>
      </c>
      <c r="L20">
        <v>-8779.4500000000007</v>
      </c>
      <c r="M20">
        <v>32956.300000000003</v>
      </c>
    </row>
    <row r="21" spans="1:13">
      <c r="A21">
        <v>1</v>
      </c>
      <c r="B21" t="s">
        <v>200</v>
      </c>
      <c r="C21">
        <v>7</v>
      </c>
      <c r="D21">
        <v>0</v>
      </c>
      <c r="E21">
        <v>22</v>
      </c>
      <c r="F21" t="s">
        <v>202</v>
      </c>
      <c r="G21">
        <v>5.92</v>
      </c>
      <c r="H21">
        <v>0</v>
      </c>
      <c r="I21">
        <v>0</v>
      </c>
      <c r="J21">
        <v>0</v>
      </c>
      <c r="K21">
        <v>-20191.03</v>
      </c>
      <c r="L21">
        <v>-9326.8799999999992</v>
      </c>
      <c r="M21">
        <v>32956.300000000003</v>
      </c>
    </row>
    <row r="22" spans="1:13">
      <c r="A22">
        <v>1</v>
      </c>
      <c r="B22" t="s">
        <v>200</v>
      </c>
      <c r="C22">
        <v>8</v>
      </c>
      <c r="D22">
        <v>0</v>
      </c>
      <c r="E22">
        <v>22</v>
      </c>
      <c r="F22" t="s">
        <v>201</v>
      </c>
      <c r="G22">
        <v>0</v>
      </c>
      <c r="H22">
        <v>0</v>
      </c>
      <c r="I22">
        <v>0</v>
      </c>
      <c r="J22">
        <v>0</v>
      </c>
      <c r="K22">
        <v>-20191.03</v>
      </c>
      <c r="L22">
        <v>-9326.8799999999992</v>
      </c>
      <c r="M22">
        <v>32956.300000000003</v>
      </c>
    </row>
    <row r="23" spans="1:13">
      <c r="A23">
        <v>1</v>
      </c>
      <c r="B23" t="s">
        <v>200</v>
      </c>
      <c r="C23">
        <v>8</v>
      </c>
      <c r="D23">
        <v>0</v>
      </c>
      <c r="E23">
        <v>22</v>
      </c>
      <c r="F23" t="s">
        <v>202</v>
      </c>
      <c r="G23">
        <v>0.27500000000000002</v>
      </c>
      <c r="H23">
        <v>0</v>
      </c>
      <c r="I23">
        <v>0</v>
      </c>
      <c r="J23">
        <v>0</v>
      </c>
      <c r="K23">
        <v>-22779.58</v>
      </c>
      <c r="L23">
        <v>-9498.92</v>
      </c>
      <c r="M23">
        <v>32956.300000000003</v>
      </c>
    </row>
    <row r="24" spans="1:13">
      <c r="A24">
        <v>1</v>
      </c>
      <c r="B24" t="s">
        <v>200</v>
      </c>
      <c r="C24">
        <v>9</v>
      </c>
      <c r="D24">
        <v>16</v>
      </c>
      <c r="E24">
        <v>0</v>
      </c>
      <c r="F24" t="s">
        <v>201</v>
      </c>
      <c r="G24">
        <v>0</v>
      </c>
      <c r="H24">
        <v>8521.68</v>
      </c>
      <c r="I24">
        <v>18691.96</v>
      </c>
      <c r="J24">
        <v>40100.97</v>
      </c>
      <c r="K24">
        <v>0</v>
      </c>
      <c r="L24">
        <v>0</v>
      </c>
      <c r="M24">
        <v>0</v>
      </c>
    </row>
    <row r="25" spans="1:13">
      <c r="A25">
        <v>1</v>
      </c>
      <c r="B25" t="s">
        <v>200</v>
      </c>
      <c r="C25">
        <v>9</v>
      </c>
      <c r="D25">
        <v>16</v>
      </c>
      <c r="E25">
        <v>0</v>
      </c>
      <c r="F25" t="s">
        <v>202</v>
      </c>
      <c r="G25">
        <v>0.27500000000000002</v>
      </c>
      <c r="H25">
        <v>9683.91</v>
      </c>
      <c r="I25">
        <v>-1725.82</v>
      </c>
      <c r="J25">
        <v>40100.97</v>
      </c>
      <c r="K25">
        <v>0</v>
      </c>
      <c r="L25">
        <v>0</v>
      </c>
      <c r="M25">
        <v>0</v>
      </c>
    </row>
    <row r="26" spans="1:13">
      <c r="A26">
        <v>1</v>
      </c>
      <c r="B26" t="s">
        <v>200</v>
      </c>
      <c r="C26">
        <v>10</v>
      </c>
      <c r="D26">
        <v>16</v>
      </c>
      <c r="E26">
        <v>0</v>
      </c>
      <c r="F26" t="s">
        <v>201</v>
      </c>
      <c r="G26">
        <v>0</v>
      </c>
      <c r="H26">
        <v>9683.91</v>
      </c>
      <c r="I26">
        <v>-1725.82</v>
      </c>
      <c r="J26">
        <v>40100.97</v>
      </c>
      <c r="K26">
        <v>0</v>
      </c>
      <c r="L26">
        <v>0</v>
      </c>
      <c r="M26">
        <v>0</v>
      </c>
    </row>
    <row r="27" spans="1:13">
      <c r="A27">
        <v>1</v>
      </c>
      <c r="B27" t="s">
        <v>200</v>
      </c>
      <c r="C27">
        <v>10</v>
      </c>
      <c r="D27">
        <v>2</v>
      </c>
      <c r="E27">
        <v>0</v>
      </c>
      <c r="F27">
        <v>1</v>
      </c>
      <c r="G27">
        <v>0.875</v>
      </c>
      <c r="H27">
        <v>7938.03</v>
      </c>
      <c r="I27">
        <v>-2262.71</v>
      </c>
      <c r="J27">
        <v>40087.879999999997</v>
      </c>
      <c r="K27">
        <v>0</v>
      </c>
      <c r="L27">
        <v>0</v>
      </c>
      <c r="M27">
        <v>0</v>
      </c>
    </row>
    <row r="28" spans="1:13">
      <c r="A28">
        <v>1</v>
      </c>
      <c r="B28" t="s">
        <v>200</v>
      </c>
      <c r="C28">
        <v>10</v>
      </c>
      <c r="D28">
        <v>2</v>
      </c>
      <c r="E28">
        <v>0</v>
      </c>
      <c r="F28">
        <v>2</v>
      </c>
      <c r="G28">
        <v>2.96</v>
      </c>
      <c r="H28">
        <v>1872.75</v>
      </c>
      <c r="I28">
        <v>-3348.7</v>
      </c>
      <c r="J28">
        <v>40094.9</v>
      </c>
      <c r="K28">
        <v>0</v>
      </c>
      <c r="L28">
        <v>0</v>
      </c>
      <c r="M28">
        <v>0</v>
      </c>
    </row>
    <row r="29" spans="1:13">
      <c r="A29">
        <v>1</v>
      </c>
      <c r="B29" t="s">
        <v>200</v>
      </c>
      <c r="C29">
        <v>10</v>
      </c>
      <c r="D29">
        <v>0</v>
      </c>
      <c r="E29">
        <v>18</v>
      </c>
      <c r="F29">
        <v>3</v>
      </c>
      <c r="G29">
        <v>5.0449999999999999</v>
      </c>
      <c r="H29">
        <v>0</v>
      </c>
      <c r="I29">
        <v>0</v>
      </c>
      <c r="J29">
        <v>0</v>
      </c>
      <c r="K29">
        <v>-6987.86</v>
      </c>
      <c r="L29">
        <v>-4861.08</v>
      </c>
      <c r="M29">
        <v>40103.83</v>
      </c>
    </row>
    <row r="30" spans="1:13">
      <c r="A30">
        <v>1</v>
      </c>
      <c r="B30" t="s">
        <v>200</v>
      </c>
      <c r="C30">
        <v>10</v>
      </c>
      <c r="D30">
        <v>0</v>
      </c>
      <c r="E30">
        <v>16</v>
      </c>
      <c r="F30" t="s">
        <v>202</v>
      </c>
      <c r="G30">
        <v>5.92</v>
      </c>
      <c r="H30">
        <v>0</v>
      </c>
      <c r="I30">
        <v>0</v>
      </c>
      <c r="J30">
        <v>0</v>
      </c>
      <c r="K30">
        <v>-11495.89</v>
      </c>
      <c r="L30">
        <v>-5429.52</v>
      </c>
      <c r="M30">
        <v>40100.97</v>
      </c>
    </row>
    <row r="31" spans="1:13">
      <c r="A31">
        <v>1</v>
      </c>
      <c r="B31" t="s">
        <v>200</v>
      </c>
      <c r="C31">
        <v>11</v>
      </c>
      <c r="D31">
        <v>0</v>
      </c>
      <c r="E31">
        <v>16</v>
      </c>
      <c r="F31" t="s">
        <v>201</v>
      </c>
      <c r="G31">
        <v>0</v>
      </c>
      <c r="H31">
        <v>0</v>
      </c>
      <c r="I31">
        <v>0</v>
      </c>
      <c r="J31">
        <v>0</v>
      </c>
      <c r="K31">
        <v>-11495.89</v>
      </c>
      <c r="L31">
        <v>-5429.52</v>
      </c>
      <c r="M31">
        <v>40100.97</v>
      </c>
    </row>
    <row r="32" spans="1:13">
      <c r="A32">
        <v>1</v>
      </c>
      <c r="B32" t="s">
        <v>200</v>
      </c>
      <c r="C32">
        <v>11</v>
      </c>
      <c r="D32">
        <v>0</v>
      </c>
      <c r="E32">
        <v>16</v>
      </c>
      <c r="F32" t="s">
        <v>202</v>
      </c>
      <c r="G32">
        <v>0.27500000000000002</v>
      </c>
      <c r="H32">
        <v>0</v>
      </c>
      <c r="I32">
        <v>0</v>
      </c>
      <c r="J32">
        <v>0</v>
      </c>
      <c r="K32">
        <v>-13012.66</v>
      </c>
      <c r="L32">
        <v>-5601.57</v>
      </c>
      <c r="M32">
        <v>40100.97</v>
      </c>
    </row>
    <row r="33" spans="1:13">
      <c r="A33">
        <v>1</v>
      </c>
      <c r="B33" t="s">
        <v>200</v>
      </c>
      <c r="C33">
        <v>12</v>
      </c>
      <c r="D33">
        <v>0</v>
      </c>
      <c r="E33">
        <v>18</v>
      </c>
      <c r="F33" t="s">
        <v>201</v>
      </c>
      <c r="G33">
        <v>0</v>
      </c>
      <c r="H33">
        <v>0</v>
      </c>
      <c r="I33">
        <v>0</v>
      </c>
      <c r="J33">
        <v>0</v>
      </c>
      <c r="K33">
        <v>-15928.82</v>
      </c>
      <c r="L33">
        <v>6666.95</v>
      </c>
      <c r="M33">
        <v>39409.5</v>
      </c>
    </row>
    <row r="34" spans="1:13">
      <c r="A34">
        <v>1</v>
      </c>
      <c r="B34" t="s">
        <v>200</v>
      </c>
      <c r="C34">
        <v>12</v>
      </c>
      <c r="D34">
        <v>0</v>
      </c>
      <c r="E34">
        <v>18</v>
      </c>
      <c r="F34" t="s">
        <v>202</v>
      </c>
      <c r="G34">
        <v>0.27500000000000002</v>
      </c>
      <c r="H34">
        <v>0</v>
      </c>
      <c r="I34">
        <v>0</v>
      </c>
      <c r="J34">
        <v>0</v>
      </c>
      <c r="K34">
        <v>-14119.06</v>
      </c>
      <c r="L34">
        <v>6494.91</v>
      </c>
      <c r="M34">
        <v>39409.5</v>
      </c>
    </row>
    <row r="35" spans="1:13">
      <c r="A35">
        <v>1</v>
      </c>
      <c r="B35" t="s">
        <v>200</v>
      </c>
      <c r="C35">
        <v>13</v>
      </c>
      <c r="D35">
        <v>0</v>
      </c>
      <c r="E35">
        <v>18</v>
      </c>
      <c r="F35" t="s">
        <v>201</v>
      </c>
      <c r="G35">
        <v>0</v>
      </c>
      <c r="H35">
        <v>0</v>
      </c>
      <c r="I35">
        <v>0</v>
      </c>
      <c r="J35">
        <v>0</v>
      </c>
      <c r="K35">
        <v>-14119.06</v>
      </c>
      <c r="L35">
        <v>6494.91</v>
      </c>
      <c r="M35">
        <v>39409.5</v>
      </c>
    </row>
    <row r="36" spans="1:13">
      <c r="A36">
        <v>1</v>
      </c>
      <c r="B36" t="s">
        <v>200</v>
      </c>
      <c r="C36">
        <v>13</v>
      </c>
      <c r="D36">
        <v>0</v>
      </c>
      <c r="E36">
        <v>16</v>
      </c>
      <c r="F36">
        <v>1</v>
      </c>
      <c r="G36">
        <v>0.875</v>
      </c>
      <c r="H36">
        <v>0</v>
      </c>
      <c r="I36">
        <v>0</v>
      </c>
      <c r="J36">
        <v>0</v>
      </c>
      <c r="K36">
        <v>-8678.83</v>
      </c>
      <c r="L36">
        <v>5926.47</v>
      </c>
      <c r="M36">
        <v>39412.36</v>
      </c>
    </row>
    <row r="37" spans="1:13">
      <c r="A37">
        <v>1</v>
      </c>
      <c r="B37" t="s">
        <v>200</v>
      </c>
      <c r="C37">
        <v>13</v>
      </c>
      <c r="D37">
        <v>4</v>
      </c>
      <c r="E37">
        <v>0</v>
      </c>
      <c r="F37">
        <v>2</v>
      </c>
      <c r="G37">
        <v>2.96</v>
      </c>
      <c r="H37">
        <v>2403.08</v>
      </c>
      <c r="I37">
        <v>4414.0600000000004</v>
      </c>
      <c r="J37">
        <v>39403.440000000002</v>
      </c>
      <c r="K37">
        <v>0</v>
      </c>
      <c r="L37">
        <v>0</v>
      </c>
      <c r="M37">
        <v>0</v>
      </c>
    </row>
    <row r="38" spans="1:13">
      <c r="A38">
        <v>1</v>
      </c>
      <c r="B38" t="s">
        <v>200</v>
      </c>
      <c r="C38">
        <v>13</v>
      </c>
      <c r="D38">
        <v>4</v>
      </c>
      <c r="E38">
        <v>0</v>
      </c>
      <c r="F38">
        <v>3</v>
      </c>
      <c r="G38">
        <v>5.0449999999999999</v>
      </c>
      <c r="H38">
        <v>10689.65</v>
      </c>
      <c r="I38">
        <v>3328.07</v>
      </c>
      <c r="J38">
        <v>39396.42</v>
      </c>
      <c r="K38">
        <v>0</v>
      </c>
      <c r="L38">
        <v>0</v>
      </c>
      <c r="M38">
        <v>0</v>
      </c>
    </row>
    <row r="39" spans="1:13">
      <c r="A39">
        <v>1</v>
      </c>
      <c r="B39" t="s">
        <v>200</v>
      </c>
      <c r="C39">
        <v>13</v>
      </c>
      <c r="D39">
        <v>18</v>
      </c>
      <c r="E39">
        <v>0</v>
      </c>
      <c r="F39" t="s">
        <v>202</v>
      </c>
      <c r="G39">
        <v>5.92</v>
      </c>
      <c r="H39">
        <v>13367.82</v>
      </c>
      <c r="I39">
        <v>2791.21</v>
      </c>
      <c r="J39">
        <v>39409.5</v>
      </c>
      <c r="K39">
        <v>0</v>
      </c>
      <c r="L39">
        <v>0</v>
      </c>
      <c r="M39">
        <v>0</v>
      </c>
    </row>
    <row r="40" spans="1:13">
      <c r="A40">
        <v>1</v>
      </c>
      <c r="B40" t="s">
        <v>200</v>
      </c>
      <c r="C40">
        <v>14</v>
      </c>
      <c r="D40">
        <v>18</v>
      </c>
      <c r="E40">
        <v>0</v>
      </c>
      <c r="F40" t="s">
        <v>201</v>
      </c>
      <c r="G40">
        <v>0</v>
      </c>
      <c r="H40">
        <v>13367.82</v>
      </c>
      <c r="I40">
        <v>2791.21</v>
      </c>
      <c r="J40">
        <v>39409.5</v>
      </c>
      <c r="K40">
        <v>0</v>
      </c>
      <c r="L40">
        <v>0</v>
      </c>
      <c r="M40">
        <v>0</v>
      </c>
    </row>
    <row r="41" spans="1:13">
      <c r="A41">
        <v>1</v>
      </c>
      <c r="B41" t="s">
        <v>200</v>
      </c>
      <c r="C41">
        <v>14</v>
      </c>
      <c r="D41">
        <v>18</v>
      </c>
      <c r="E41">
        <v>0</v>
      </c>
      <c r="F41" t="s">
        <v>202</v>
      </c>
      <c r="G41">
        <v>0.27500000000000002</v>
      </c>
      <c r="H41">
        <v>12514.78</v>
      </c>
      <c r="I41">
        <v>-17578.68</v>
      </c>
      <c r="J41">
        <v>39409.5</v>
      </c>
      <c r="K41">
        <v>0</v>
      </c>
      <c r="L41">
        <v>0</v>
      </c>
      <c r="M41">
        <v>0</v>
      </c>
    </row>
    <row r="42" spans="1:13">
      <c r="A42">
        <v>1</v>
      </c>
      <c r="B42" t="s">
        <v>200</v>
      </c>
      <c r="C42">
        <v>15</v>
      </c>
      <c r="D42">
        <v>0</v>
      </c>
      <c r="E42">
        <v>22</v>
      </c>
      <c r="F42" t="s">
        <v>201</v>
      </c>
      <c r="G42">
        <v>0</v>
      </c>
      <c r="H42">
        <v>0</v>
      </c>
      <c r="I42">
        <v>0</v>
      </c>
      <c r="J42">
        <v>0</v>
      </c>
      <c r="K42">
        <v>-23678.51</v>
      </c>
      <c r="L42">
        <v>10074.51</v>
      </c>
      <c r="M42">
        <v>31084.7</v>
      </c>
    </row>
    <row r="43" spans="1:13">
      <c r="A43">
        <v>1</v>
      </c>
      <c r="B43" t="s">
        <v>200</v>
      </c>
      <c r="C43">
        <v>15</v>
      </c>
      <c r="D43">
        <v>0</v>
      </c>
      <c r="E43">
        <v>22</v>
      </c>
      <c r="F43" t="s">
        <v>202</v>
      </c>
      <c r="G43">
        <v>0.27500000000000002</v>
      </c>
      <c r="H43">
        <v>0</v>
      </c>
      <c r="I43">
        <v>0</v>
      </c>
      <c r="J43">
        <v>0</v>
      </c>
      <c r="K43">
        <v>-20931.68</v>
      </c>
      <c r="L43">
        <v>9902.4699999999993</v>
      </c>
      <c r="M43">
        <v>31084.7</v>
      </c>
    </row>
    <row r="44" spans="1:13">
      <c r="A44">
        <v>1</v>
      </c>
      <c r="B44" t="s">
        <v>200</v>
      </c>
      <c r="C44">
        <v>16</v>
      </c>
      <c r="D44">
        <v>0</v>
      </c>
      <c r="E44">
        <v>22</v>
      </c>
      <c r="F44" t="s">
        <v>201</v>
      </c>
      <c r="G44">
        <v>0</v>
      </c>
      <c r="H44">
        <v>0</v>
      </c>
      <c r="I44">
        <v>0</v>
      </c>
      <c r="J44">
        <v>0</v>
      </c>
      <c r="K44">
        <v>-20931.68</v>
      </c>
      <c r="L44">
        <v>9902.4699999999993</v>
      </c>
      <c r="M44">
        <v>31084.7</v>
      </c>
    </row>
    <row r="45" spans="1:13">
      <c r="A45">
        <v>1</v>
      </c>
      <c r="B45" t="s">
        <v>200</v>
      </c>
      <c r="C45">
        <v>16</v>
      </c>
      <c r="D45">
        <v>0</v>
      </c>
      <c r="E45">
        <v>22</v>
      </c>
      <c r="F45">
        <v>1</v>
      </c>
      <c r="G45">
        <v>0.875</v>
      </c>
      <c r="H45">
        <v>0</v>
      </c>
      <c r="I45">
        <v>0</v>
      </c>
      <c r="J45">
        <v>0</v>
      </c>
      <c r="K45">
        <v>-12506.52</v>
      </c>
      <c r="L45">
        <v>9355.0400000000009</v>
      </c>
      <c r="M45">
        <v>31084.7</v>
      </c>
    </row>
    <row r="46" spans="1:13">
      <c r="A46">
        <v>1</v>
      </c>
      <c r="B46" t="s">
        <v>200</v>
      </c>
      <c r="C46">
        <v>16</v>
      </c>
      <c r="D46">
        <v>22</v>
      </c>
      <c r="E46">
        <v>0</v>
      </c>
      <c r="F46">
        <v>2</v>
      </c>
      <c r="G46">
        <v>2.96</v>
      </c>
      <c r="H46">
        <v>5638.88</v>
      </c>
      <c r="I46">
        <v>8050.62</v>
      </c>
      <c r="J46">
        <v>31084.7</v>
      </c>
      <c r="K46">
        <v>0</v>
      </c>
      <c r="L46">
        <v>0</v>
      </c>
      <c r="M46">
        <v>0</v>
      </c>
    </row>
    <row r="47" spans="1:13">
      <c r="A47">
        <v>1</v>
      </c>
      <c r="B47" t="s">
        <v>200</v>
      </c>
      <c r="C47">
        <v>16</v>
      </c>
      <c r="D47">
        <v>22</v>
      </c>
      <c r="E47">
        <v>0</v>
      </c>
      <c r="F47">
        <v>3</v>
      </c>
      <c r="G47">
        <v>5.0449999999999999</v>
      </c>
      <c r="H47">
        <v>21064.55</v>
      </c>
      <c r="I47">
        <v>6746.19</v>
      </c>
      <c r="J47">
        <v>31084.7</v>
      </c>
      <c r="K47">
        <v>0</v>
      </c>
      <c r="L47">
        <v>0</v>
      </c>
      <c r="M47">
        <v>0</v>
      </c>
    </row>
    <row r="48" spans="1:13">
      <c r="A48">
        <v>1</v>
      </c>
      <c r="B48" t="s">
        <v>200</v>
      </c>
      <c r="C48">
        <v>16</v>
      </c>
      <c r="D48">
        <v>22</v>
      </c>
      <c r="E48">
        <v>0</v>
      </c>
      <c r="F48" t="s">
        <v>202</v>
      </c>
      <c r="G48">
        <v>5.92</v>
      </c>
      <c r="H48">
        <v>26727.96</v>
      </c>
      <c r="I48">
        <v>6198.77</v>
      </c>
      <c r="J48">
        <v>31084.7</v>
      </c>
      <c r="K48">
        <v>0</v>
      </c>
      <c r="L48">
        <v>0</v>
      </c>
      <c r="M48">
        <v>0</v>
      </c>
    </row>
    <row r="49" spans="1:13">
      <c r="A49">
        <v>1</v>
      </c>
      <c r="B49" t="s">
        <v>200</v>
      </c>
      <c r="C49">
        <v>17</v>
      </c>
      <c r="D49">
        <v>22</v>
      </c>
      <c r="E49">
        <v>0</v>
      </c>
      <c r="F49" t="s">
        <v>201</v>
      </c>
      <c r="G49">
        <v>0</v>
      </c>
      <c r="H49">
        <v>26727.96</v>
      </c>
      <c r="I49">
        <v>6198.77</v>
      </c>
      <c r="J49">
        <v>31084.7</v>
      </c>
      <c r="K49">
        <v>0</v>
      </c>
      <c r="L49">
        <v>0</v>
      </c>
      <c r="M49">
        <v>0</v>
      </c>
    </row>
    <row r="50" spans="1:13">
      <c r="A50">
        <v>1</v>
      </c>
      <c r="B50" t="s">
        <v>200</v>
      </c>
      <c r="C50">
        <v>17</v>
      </c>
      <c r="D50">
        <v>22</v>
      </c>
      <c r="E50">
        <v>18</v>
      </c>
      <c r="F50" t="s">
        <v>202</v>
      </c>
      <c r="G50">
        <v>0.27500000000000002</v>
      </c>
      <c r="H50">
        <v>26350.75</v>
      </c>
      <c r="I50">
        <v>-8506.73</v>
      </c>
      <c r="J50">
        <v>31084.7</v>
      </c>
      <c r="K50">
        <v>-2127.89</v>
      </c>
      <c r="L50">
        <v>-16946.37</v>
      </c>
      <c r="M50">
        <v>6562.96</v>
      </c>
    </row>
    <row r="51" spans="1:13">
      <c r="A51">
        <v>1</v>
      </c>
      <c r="B51" t="s">
        <v>200</v>
      </c>
      <c r="C51">
        <v>18</v>
      </c>
      <c r="D51">
        <v>0</v>
      </c>
      <c r="E51">
        <v>18</v>
      </c>
      <c r="F51" t="s">
        <v>201</v>
      </c>
      <c r="G51">
        <v>0</v>
      </c>
      <c r="H51">
        <v>0</v>
      </c>
      <c r="I51">
        <v>0</v>
      </c>
      <c r="J51">
        <v>0</v>
      </c>
      <c r="K51">
        <v>-41521.93</v>
      </c>
      <c r="L51">
        <v>16955.29</v>
      </c>
      <c r="M51">
        <v>15287.59</v>
      </c>
    </row>
    <row r="52" spans="1:13">
      <c r="A52">
        <v>1</v>
      </c>
      <c r="B52" t="s">
        <v>200</v>
      </c>
      <c r="C52">
        <v>18</v>
      </c>
      <c r="D52">
        <v>0</v>
      </c>
      <c r="E52">
        <v>18</v>
      </c>
      <c r="F52" t="s">
        <v>202</v>
      </c>
      <c r="G52">
        <v>0.27500000000000002</v>
      </c>
      <c r="H52">
        <v>0</v>
      </c>
      <c r="I52">
        <v>0</v>
      </c>
      <c r="J52">
        <v>0</v>
      </c>
      <c r="K52">
        <v>-36882.879999999997</v>
      </c>
      <c r="L52">
        <v>16783.240000000002</v>
      </c>
      <c r="M52">
        <v>15287.59</v>
      </c>
    </row>
    <row r="53" spans="1:13">
      <c r="A53">
        <v>1</v>
      </c>
      <c r="B53" t="s">
        <v>200</v>
      </c>
      <c r="C53">
        <v>19</v>
      </c>
      <c r="D53">
        <v>0</v>
      </c>
      <c r="E53">
        <v>18</v>
      </c>
      <c r="F53" t="s">
        <v>201</v>
      </c>
      <c r="G53">
        <v>0</v>
      </c>
      <c r="H53">
        <v>0</v>
      </c>
      <c r="I53">
        <v>0</v>
      </c>
      <c r="J53">
        <v>0</v>
      </c>
      <c r="K53">
        <v>-36882.879999999997</v>
      </c>
      <c r="L53">
        <v>16783.240000000002</v>
      </c>
      <c r="M53">
        <v>15287.59</v>
      </c>
    </row>
    <row r="54" spans="1:13">
      <c r="A54">
        <v>1</v>
      </c>
      <c r="B54" t="s">
        <v>200</v>
      </c>
      <c r="C54">
        <v>19</v>
      </c>
      <c r="D54">
        <v>0</v>
      </c>
      <c r="E54">
        <v>18</v>
      </c>
      <c r="F54">
        <v>1</v>
      </c>
      <c r="G54">
        <v>0.875</v>
      </c>
      <c r="H54">
        <v>0</v>
      </c>
      <c r="I54">
        <v>0</v>
      </c>
      <c r="J54">
        <v>0</v>
      </c>
      <c r="K54">
        <v>-22197.55</v>
      </c>
      <c r="L54">
        <v>16783.240000000002</v>
      </c>
      <c r="M54">
        <v>15287.59</v>
      </c>
    </row>
    <row r="55" spans="1:13">
      <c r="A55">
        <v>1</v>
      </c>
      <c r="B55" t="s">
        <v>200</v>
      </c>
      <c r="C55">
        <v>19</v>
      </c>
      <c r="D55">
        <v>18</v>
      </c>
      <c r="E55">
        <v>0</v>
      </c>
      <c r="F55">
        <v>2</v>
      </c>
      <c r="G55">
        <v>2.96</v>
      </c>
      <c r="H55">
        <v>12795.5</v>
      </c>
      <c r="I55">
        <v>16783.240000000002</v>
      </c>
      <c r="J55">
        <v>15287.59</v>
      </c>
      <c r="K55">
        <v>0</v>
      </c>
      <c r="L55">
        <v>0</v>
      </c>
      <c r="M55">
        <v>0</v>
      </c>
    </row>
    <row r="56" spans="1:13">
      <c r="A56">
        <v>1</v>
      </c>
      <c r="B56" t="s">
        <v>200</v>
      </c>
      <c r="C56">
        <v>19</v>
      </c>
      <c r="D56">
        <v>18</v>
      </c>
      <c r="E56">
        <v>0</v>
      </c>
      <c r="F56">
        <v>3</v>
      </c>
      <c r="G56">
        <v>5.0449999999999999</v>
      </c>
      <c r="H56">
        <v>46663.69</v>
      </c>
      <c r="I56">
        <v>11361.07</v>
      </c>
      <c r="J56">
        <v>15287.59</v>
      </c>
      <c r="K56">
        <v>0</v>
      </c>
      <c r="L56">
        <v>0</v>
      </c>
      <c r="M56">
        <v>0</v>
      </c>
    </row>
    <row r="57" spans="1:13">
      <c r="A57">
        <v>1</v>
      </c>
      <c r="B57" t="s">
        <v>200</v>
      </c>
      <c r="C57">
        <v>19</v>
      </c>
      <c r="D57">
        <v>22</v>
      </c>
      <c r="E57">
        <v>0</v>
      </c>
      <c r="F57" t="s">
        <v>202</v>
      </c>
      <c r="G57">
        <v>5.92</v>
      </c>
      <c r="H57">
        <v>56623.51</v>
      </c>
      <c r="I57">
        <v>11450.08</v>
      </c>
      <c r="J57">
        <v>15279.26</v>
      </c>
      <c r="K57">
        <v>0</v>
      </c>
      <c r="L57">
        <v>0</v>
      </c>
      <c r="M57">
        <v>0</v>
      </c>
    </row>
    <row r="58" spans="1:13">
      <c r="A58">
        <v>1</v>
      </c>
      <c r="B58" t="s">
        <v>200</v>
      </c>
      <c r="C58">
        <v>20</v>
      </c>
      <c r="D58">
        <v>22</v>
      </c>
      <c r="E58">
        <v>0</v>
      </c>
      <c r="F58" t="s">
        <v>201</v>
      </c>
      <c r="G58">
        <v>0</v>
      </c>
      <c r="H58">
        <v>56623.51</v>
      </c>
      <c r="I58">
        <v>11450.08</v>
      </c>
      <c r="J58">
        <v>15279.26</v>
      </c>
      <c r="K58">
        <v>0</v>
      </c>
      <c r="L58">
        <v>0</v>
      </c>
      <c r="M58">
        <v>0</v>
      </c>
    </row>
    <row r="59" spans="1:13">
      <c r="A59">
        <v>1</v>
      </c>
      <c r="B59" t="s">
        <v>200</v>
      </c>
      <c r="C59">
        <v>20</v>
      </c>
      <c r="D59">
        <v>22</v>
      </c>
      <c r="E59">
        <v>0</v>
      </c>
      <c r="F59" t="s">
        <v>202</v>
      </c>
      <c r="G59">
        <v>0.27500000000000002</v>
      </c>
      <c r="H59">
        <v>59748.63</v>
      </c>
      <c r="I59">
        <v>11278.04</v>
      </c>
      <c r="J59">
        <v>15279.26</v>
      </c>
      <c r="K59">
        <v>0</v>
      </c>
      <c r="L59">
        <v>0</v>
      </c>
      <c r="M59">
        <v>0</v>
      </c>
    </row>
    <row r="60" spans="1:13">
      <c r="A60">
        <v>1</v>
      </c>
      <c r="B60" t="s">
        <v>200</v>
      </c>
      <c r="C60">
        <v>21</v>
      </c>
      <c r="D60">
        <v>0</v>
      </c>
      <c r="E60">
        <v>18</v>
      </c>
      <c r="F60" t="s">
        <v>201</v>
      </c>
      <c r="G60">
        <v>0</v>
      </c>
      <c r="H60">
        <v>0</v>
      </c>
      <c r="I60">
        <v>0</v>
      </c>
      <c r="J60">
        <v>0</v>
      </c>
      <c r="K60">
        <v>-3853.34</v>
      </c>
      <c r="L60">
        <v>23113.67</v>
      </c>
      <c r="M60">
        <v>0</v>
      </c>
    </row>
    <row r="61" spans="1:13">
      <c r="A61">
        <v>1</v>
      </c>
      <c r="B61" t="s">
        <v>200</v>
      </c>
      <c r="C61">
        <v>21</v>
      </c>
      <c r="D61">
        <v>0</v>
      </c>
      <c r="E61">
        <v>1</v>
      </c>
      <c r="F61" t="s">
        <v>202</v>
      </c>
      <c r="G61">
        <v>0.27500000000000002</v>
      </c>
      <c r="H61">
        <v>0</v>
      </c>
      <c r="I61">
        <v>0</v>
      </c>
      <c r="J61">
        <v>0</v>
      </c>
      <c r="K61">
        <v>-766.15</v>
      </c>
      <c r="L61">
        <v>979.1</v>
      </c>
      <c r="M61">
        <v>0</v>
      </c>
    </row>
    <row r="62" spans="1:13">
      <c r="A62">
        <v>1</v>
      </c>
      <c r="B62" t="s">
        <v>200</v>
      </c>
      <c r="C62">
        <v>22</v>
      </c>
      <c r="D62">
        <v>0</v>
      </c>
      <c r="E62">
        <v>1</v>
      </c>
      <c r="F62" t="s">
        <v>201</v>
      </c>
      <c r="G62">
        <v>0</v>
      </c>
      <c r="H62">
        <v>0</v>
      </c>
      <c r="I62">
        <v>0</v>
      </c>
      <c r="J62">
        <v>0</v>
      </c>
      <c r="K62">
        <v>-766.15</v>
      </c>
      <c r="L62">
        <v>979.1</v>
      </c>
      <c r="M62">
        <v>0</v>
      </c>
    </row>
    <row r="63" spans="1:13">
      <c r="A63">
        <v>1</v>
      </c>
      <c r="B63" t="s">
        <v>200</v>
      </c>
      <c r="C63">
        <v>22</v>
      </c>
      <c r="D63">
        <v>1</v>
      </c>
      <c r="E63">
        <v>0</v>
      </c>
      <c r="F63" t="s">
        <v>202</v>
      </c>
      <c r="G63">
        <v>1.5649999999999999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</row>
    <row r="64" spans="1:13">
      <c r="A64">
        <v>1</v>
      </c>
      <c r="B64" t="s">
        <v>200</v>
      </c>
      <c r="C64">
        <v>23</v>
      </c>
      <c r="D64">
        <v>0</v>
      </c>
      <c r="E64">
        <v>22</v>
      </c>
      <c r="F64" t="s">
        <v>201</v>
      </c>
      <c r="G64">
        <v>0</v>
      </c>
      <c r="H64">
        <v>0</v>
      </c>
      <c r="I64">
        <v>0</v>
      </c>
      <c r="J64">
        <v>0</v>
      </c>
      <c r="K64">
        <v>-75129.03</v>
      </c>
      <c r="L64">
        <v>18491.7</v>
      </c>
      <c r="M64">
        <v>-9602.1</v>
      </c>
    </row>
    <row r="65" spans="1:13">
      <c r="A65">
        <v>1</v>
      </c>
      <c r="B65" t="s">
        <v>200</v>
      </c>
      <c r="C65">
        <v>23</v>
      </c>
      <c r="D65">
        <v>0</v>
      </c>
      <c r="E65">
        <v>22</v>
      </c>
      <c r="F65" t="s">
        <v>202</v>
      </c>
      <c r="G65">
        <v>1.175</v>
      </c>
      <c r="H65">
        <v>0</v>
      </c>
      <c r="I65">
        <v>0</v>
      </c>
      <c r="J65">
        <v>0</v>
      </c>
      <c r="K65">
        <v>-53401.279999999999</v>
      </c>
      <c r="L65">
        <v>18491.7</v>
      </c>
      <c r="M65">
        <v>-9602.1</v>
      </c>
    </row>
    <row r="66" spans="1:13">
      <c r="A66">
        <v>1</v>
      </c>
      <c r="B66" t="s">
        <v>200</v>
      </c>
      <c r="C66">
        <v>24</v>
      </c>
      <c r="D66">
        <v>0</v>
      </c>
      <c r="E66">
        <v>22</v>
      </c>
      <c r="F66" t="s">
        <v>201</v>
      </c>
      <c r="G66">
        <v>0</v>
      </c>
      <c r="H66">
        <v>0</v>
      </c>
      <c r="I66">
        <v>0</v>
      </c>
      <c r="J66">
        <v>0</v>
      </c>
      <c r="K66">
        <v>-63058.23</v>
      </c>
      <c r="L66">
        <v>14957.06</v>
      </c>
      <c r="M66">
        <v>-29074.77</v>
      </c>
    </row>
    <row r="67" spans="1:13">
      <c r="A67">
        <v>1</v>
      </c>
      <c r="B67" t="s">
        <v>200</v>
      </c>
      <c r="C67">
        <v>24</v>
      </c>
      <c r="D67">
        <v>0</v>
      </c>
      <c r="E67">
        <v>22</v>
      </c>
      <c r="F67" t="s">
        <v>202</v>
      </c>
      <c r="G67">
        <v>1.175</v>
      </c>
      <c r="H67">
        <v>0</v>
      </c>
      <c r="I67">
        <v>0</v>
      </c>
      <c r="J67">
        <v>0</v>
      </c>
      <c r="K67">
        <v>-45483.68</v>
      </c>
      <c r="L67">
        <v>14957.06</v>
      </c>
      <c r="M67">
        <v>-29074.77</v>
      </c>
    </row>
    <row r="68" spans="1:13">
      <c r="A68">
        <v>1</v>
      </c>
      <c r="B68" t="s">
        <v>200</v>
      </c>
      <c r="C68">
        <v>25</v>
      </c>
      <c r="D68">
        <v>0</v>
      </c>
      <c r="E68">
        <v>22</v>
      </c>
      <c r="F68" t="s">
        <v>201</v>
      </c>
      <c r="G68">
        <v>0</v>
      </c>
      <c r="H68">
        <v>0</v>
      </c>
      <c r="I68">
        <v>0</v>
      </c>
      <c r="J68">
        <v>0</v>
      </c>
      <c r="K68">
        <v>-31274.29</v>
      </c>
      <c r="L68">
        <v>7368.6</v>
      </c>
      <c r="M68">
        <v>-27075.25</v>
      </c>
    </row>
    <row r="69" spans="1:13">
      <c r="A69">
        <v>1</v>
      </c>
      <c r="B69" t="s">
        <v>200</v>
      </c>
      <c r="C69">
        <v>25</v>
      </c>
      <c r="D69">
        <v>0</v>
      </c>
      <c r="E69">
        <v>22</v>
      </c>
      <c r="F69" t="s">
        <v>202</v>
      </c>
      <c r="G69">
        <v>1.175</v>
      </c>
      <c r="H69">
        <v>0</v>
      </c>
      <c r="I69">
        <v>0</v>
      </c>
      <c r="J69">
        <v>0</v>
      </c>
      <c r="K69">
        <v>-22616.19</v>
      </c>
      <c r="L69">
        <v>7368.6</v>
      </c>
      <c r="M69">
        <v>-27075.25</v>
      </c>
    </row>
    <row r="70" spans="1:13">
      <c r="A70">
        <v>1</v>
      </c>
      <c r="B70" t="s">
        <v>200</v>
      </c>
      <c r="C70">
        <v>26</v>
      </c>
      <c r="D70">
        <v>22</v>
      </c>
      <c r="E70">
        <v>22</v>
      </c>
      <c r="F70" t="s">
        <v>201</v>
      </c>
      <c r="G70">
        <v>0</v>
      </c>
      <c r="H70">
        <v>3995.75</v>
      </c>
      <c r="I70">
        <v>-948.07</v>
      </c>
      <c r="J70">
        <v>-23516.47</v>
      </c>
      <c r="K70">
        <v>-502.61</v>
      </c>
      <c r="L70">
        <v>119.67</v>
      </c>
      <c r="M70">
        <v>-19589.32</v>
      </c>
    </row>
    <row r="71" spans="1:13">
      <c r="A71">
        <v>1</v>
      </c>
      <c r="B71" t="s">
        <v>200</v>
      </c>
      <c r="C71">
        <v>26</v>
      </c>
      <c r="D71">
        <v>22</v>
      </c>
      <c r="E71">
        <v>22</v>
      </c>
      <c r="F71" t="s">
        <v>202</v>
      </c>
      <c r="G71">
        <v>1.175</v>
      </c>
      <c r="H71">
        <v>2881.78</v>
      </c>
      <c r="I71">
        <v>-948.07</v>
      </c>
      <c r="J71">
        <v>-23516.47</v>
      </c>
      <c r="K71">
        <v>-362</v>
      </c>
      <c r="L71">
        <v>119.67</v>
      </c>
      <c r="M71">
        <v>-19589.32</v>
      </c>
    </row>
    <row r="72" spans="1:13">
      <c r="A72">
        <v>1</v>
      </c>
      <c r="B72" t="s">
        <v>200</v>
      </c>
      <c r="C72">
        <v>27</v>
      </c>
      <c r="D72">
        <v>22</v>
      </c>
      <c r="E72">
        <v>0</v>
      </c>
      <c r="F72" t="s">
        <v>201</v>
      </c>
      <c r="G72">
        <v>0</v>
      </c>
      <c r="H72">
        <v>36166.07</v>
      </c>
      <c r="I72">
        <v>-8548.76</v>
      </c>
      <c r="J72">
        <v>-26537.31</v>
      </c>
      <c r="K72">
        <v>0</v>
      </c>
      <c r="L72">
        <v>0</v>
      </c>
      <c r="M72">
        <v>0</v>
      </c>
    </row>
    <row r="73" spans="1:13">
      <c r="A73">
        <v>1</v>
      </c>
      <c r="B73" t="s">
        <v>200</v>
      </c>
      <c r="C73">
        <v>27</v>
      </c>
      <c r="D73">
        <v>22</v>
      </c>
      <c r="E73">
        <v>0</v>
      </c>
      <c r="F73" t="s">
        <v>202</v>
      </c>
      <c r="G73">
        <v>1.175</v>
      </c>
      <c r="H73">
        <v>26121.29</v>
      </c>
      <c r="I73">
        <v>-8548.76</v>
      </c>
      <c r="J73">
        <v>-26537.31</v>
      </c>
      <c r="K73">
        <v>0</v>
      </c>
      <c r="L73">
        <v>0</v>
      </c>
      <c r="M73">
        <v>0</v>
      </c>
    </row>
    <row r="74" spans="1:13">
      <c r="A74">
        <v>1</v>
      </c>
      <c r="B74" t="s">
        <v>200</v>
      </c>
      <c r="C74">
        <v>28</v>
      </c>
      <c r="D74">
        <v>22</v>
      </c>
      <c r="E74">
        <v>0</v>
      </c>
      <c r="F74" t="s">
        <v>201</v>
      </c>
      <c r="G74">
        <v>0</v>
      </c>
      <c r="H74">
        <v>67446.23</v>
      </c>
      <c r="I74">
        <v>-16051.66</v>
      </c>
      <c r="J74">
        <v>-25260.74</v>
      </c>
      <c r="K74">
        <v>0</v>
      </c>
      <c r="L74">
        <v>0</v>
      </c>
      <c r="M74">
        <v>0</v>
      </c>
    </row>
    <row r="75" spans="1:13">
      <c r="A75">
        <v>1</v>
      </c>
      <c r="B75" t="s">
        <v>200</v>
      </c>
      <c r="C75">
        <v>28</v>
      </c>
      <c r="D75">
        <v>22</v>
      </c>
      <c r="E75">
        <v>0</v>
      </c>
      <c r="F75" t="s">
        <v>202</v>
      </c>
      <c r="G75">
        <v>1.175</v>
      </c>
      <c r="H75">
        <v>48585.54</v>
      </c>
      <c r="I75">
        <v>-16051.66</v>
      </c>
      <c r="J75">
        <v>-25260.74</v>
      </c>
      <c r="K75">
        <v>0</v>
      </c>
      <c r="L75">
        <v>0</v>
      </c>
      <c r="M75">
        <v>0</v>
      </c>
    </row>
    <row r="76" spans="1:13">
      <c r="A76">
        <v>1</v>
      </c>
      <c r="B76" t="s">
        <v>200</v>
      </c>
      <c r="C76">
        <v>29</v>
      </c>
      <c r="D76">
        <v>22</v>
      </c>
      <c r="E76">
        <v>0</v>
      </c>
      <c r="F76" t="s">
        <v>201</v>
      </c>
      <c r="G76">
        <v>0</v>
      </c>
      <c r="H76">
        <v>63439.78</v>
      </c>
      <c r="I76">
        <v>-15525.49</v>
      </c>
      <c r="J76">
        <v>-10508.54</v>
      </c>
      <c r="K76">
        <v>0</v>
      </c>
      <c r="L76">
        <v>0</v>
      </c>
      <c r="M76">
        <v>0</v>
      </c>
    </row>
    <row r="77" spans="1:13">
      <c r="A77">
        <v>1</v>
      </c>
      <c r="B77" t="s">
        <v>200</v>
      </c>
      <c r="C77">
        <v>29</v>
      </c>
      <c r="D77">
        <v>22</v>
      </c>
      <c r="E77">
        <v>0</v>
      </c>
      <c r="F77" t="s">
        <v>202</v>
      </c>
      <c r="G77">
        <v>1.175</v>
      </c>
      <c r="H77">
        <v>45197.33</v>
      </c>
      <c r="I77">
        <v>-15525.49</v>
      </c>
      <c r="J77">
        <v>-10508.54</v>
      </c>
      <c r="K77">
        <v>0</v>
      </c>
      <c r="L77">
        <v>0</v>
      </c>
      <c r="M77">
        <v>0</v>
      </c>
    </row>
    <row r="78" spans="1:13">
      <c r="A78">
        <v>1</v>
      </c>
      <c r="B78" t="s">
        <v>200</v>
      </c>
      <c r="C78">
        <v>30</v>
      </c>
      <c r="D78">
        <v>0</v>
      </c>
      <c r="E78">
        <v>22</v>
      </c>
      <c r="F78" t="s">
        <v>201</v>
      </c>
      <c r="G78">
        <v>0</v>
      </c>
      <c r="H78">
        <v>0</v>
      </c>
      <c r="I78">
        <v>0</v>
      </c>
      <c r="J78">
        <v>0</v>
      </c>
      <c r="K78">
        <v>-53401.279999999999</v>
      </c>
      <c r="L78">
        <v>18491.7</v>
      </c>
      <c r="M78">
        <v>-9602.1</v>
      </c>
    </row>
    <row r="79" spans="1:13">
      <c r="A79">
        <v>1</v>
      </c>
      <c r="B79" t="s">
        <v>200</v>
      </c>
      <c r="C79">
        <v>30</v>
      </c>
      <c r="D79">
        <v>0</v>
      </c>
      <c r="E79">
        <v>22</v>
      </c>
      <c r="F79" t="s">
        <v>202</v>
      </c>
      <c r="G79">
        <v>6.1749999999999998</v>
      </c>
      <c r="H79">
        <v>0</v>
      </c>
      <c r="I79">
        <v>0</v>
      </c>
      <c r="J79">
        <v>0</v>
      </c>
      <c r="K79">
        <v>-42393.3</v>
      </c>
      <c r="L79">
        <v>18491.7</v>
      </c>
      <c r="M79">
        <v>-11231.43</v>
      </c>
    </row>
    <row r="80" spans="1:13">
      <c r="A80">
        <v>1</v>
      </c>
      <c r="B80" t="s">
        <v>200</v>
      </c>
      <c r="C80">
        <v>31</v>
      </c>
      <c r="D80">
        <v>22</v>
      </c>
      <c r="E80">
        <v>0</v>
      </c>
      <c r="F80" t="s">
        <v>201</v>
      </c>
      <c r="G80">
        <v>0</v>
      </c>
      <c r="H80">
        <v>59974.64</v>
      </c>
      <c r="I80">
        <v>18595.78</v>
      </c>
      <c r="J80">
        <v>-6481.52</v>
      </c>
      <c r="K80">
        <v>0</v>
      </c>
      <c r="L80">
        <v>0</v>
      </c>
      <c r="M80">
        <v>0</v>
      </c>
    </row>
    <row r="81" spans="1:13">
      <c r="A81">
        <v>1</v>
      </c>
      <c r="B81" t="s">
        <v>200</v>
      </c>
      <c r="C81">
        <v>31</v>
      </c>
      <c r="D81">
        <v>0</v>
      </c>
      <c r="E81">
        <v>22</v>
      </c>
      <c r="F81" t="s">
        <v>202</v>
      </c>
      <c r="G81">
        <v>6.1749999999999998</v>
      </c>
      <c r="H81">
        <v>0</v>
      </c>
      <c r="I81">
        <v>0</v>
      </c>
      <c r="J81">
        <v>0</v>
      </c>
      <c r="K81">
        <v>-44427.23</v>
      </c>
      <c r="L81">
        <v>14957.06</v>
      </c>
      <c r="M81">
        <v>-30704.09</v>
      </c>
    </row>
    <row r="82" spans="1:13">
      <c r="A82">
        <v>1</v>
      </c>
      <c r="B82" t="s">
        <v>200</v>
      </c>
      <c r="C82">
        <v>32</v>
      </c>
      <c r="D82">
        <v>0</v>
      </c>
      <c r="E82">
        <v>22</v>
      </c>
      <c r="F82" t="s">
        <v>201</v>
      </c>
      <c r="G82">
        <v>0</v>
      </c>
      <c r="H82">
        <v>0</v>
      </c>
      <c r="I82">
        <v>0</v>
      </c>
      <c r="J82">
        <v>0</v>
      </c>
      <c r="K82">
        <v>-36561.519999999997</v>
      </c>
      <c r="L82">
        <v>14849.57</v>
      </c>
      <c r="M82">
        <v>-27161.91</v>
      </c>
    </row>
    <row r="83" spans="1:13">
      <c r="A83">
        <v>1</v>
      </c>
      <c r="B83" t="s">
        <v>200</v>
      </c>
      <c r="C83">
        <v>32</v>
      </c>
      <c r="D83">
        <v>22</v>
      </c>
      <c r="E83">
        <v>0</v>
      </c>
      <c r="F83" t="s">
        <v>202</v>
      </c>
      <c r="G83">
        <v>6.1749999999999998</v>
      </c>
      <c r="H83">
        <v>46632.63</v>
      </c>
      <c r="I83">
        <v>14849.57</v>
      </c>
      <c r="J83">
        <v>-28791.23</v>
      </c>
      <c r="K83">
        <v>0</v>
      </c>
      <c r="L83">
        <v>0</v>
      </c>
      <c r="M83">
        <v>0</v>
      </c>
    </row>
    <row r="84" spans="1:13">
      <c r="A84">
        <v>1</v>
      </c>
      <c r="B84" t="s">
        <v>200</v>
      </c>
      <c r="C84">
        <v>33</v>
      </c>
      <c r="D84">
        <v>0</v>
      </c>
      <c r="E84">
        <v>22</v>
      </c>
      <c r="F84" t="s">
        <v>201</v>
      </c>
      <c r="G84">
        <v>0</v>
      </c>
      <c r="H84">
        <v>0</v>
      </c>
      <c r="I84">
        <v>0</v>
      </c>
      <c r="J84">
        <v>0</v>
      </c>
      <c r="K84">
        <v>-22369.74</v>
      </c>
      <c r="L84">
        <v>7307.02</v>
      </c>
      <c r="M84">
        <v>-26248.67</v>
      </c>
    </row>
    <row r="85" spans="1:13">
      <c r="A85">
        <v>1</v>
      </c>
      <c r="B85" t="s">
        <v>200</v>
      </c>
      <c r="C85">
        <v>33</v>
      </c>
      <c r="D85">
        <v>0</v>
      </c>
      <c r="E85">
        <v>22</v>
      </c>
      <c r="F85" t="s">
        <v>202</v>
      </c>
      <c r="G85">
        <v>6.1749999999999998</v>
      </c>
      <c r="H85">
        <v>0</v>
      </c>
      <c r="I85">
        <v>0</v>
      </c>
      <c r="J85">
        <v>0</v>
      </c>
      <c r="K85">
        <v>-18156.919999999998</v>
      </c>
      <c r="L85">
        <v>7307.02</v>
      </c>
      <c r="M85">
        <v>-27877.99</v>
      </c>
    </row>
    <row r="86" spans="1:13">
      <c r="A86">
        <v>1</v>
      </c>
      <c r="B86" t="s">
        <v>200</v>
      </c>
      <c r="C86">
        <v>34</v>
      </c>
      <c r="D86">
        <v>22</v>
      </c>
      <c r="E86">
        <v>0</v>
      </c>
      <c r="F86" t="s">
        <v>201</v>
      </c>
      <c r="G86">
        <v>0</v>
      </c>
      <c r="H86">
        <v>22815.55</v>
      </c>
      <c r="I86">
        <v>7289.71</v>
      </c>
      <c r="J86">
        <v>-26812.73</v>
      </c>
      <c r="K86">
        <v>0</v>
      </c>
      <c r="L86">
        <v>0</v>
      </c>
      <c r="M86">
        <v>0</v>
      </c>
    </row>
    <row r="87" spans="1:13">
      <c r="A87">
        <v>1</v>
      </c>
      <c r="B87" t="s">
        <v>200</v>
      </c>
      <c r="C87">
        <v>34</v>
      </c>
      <c r="D87">
        <v>22</v>
      </c>
      <c r="E87">
        <v>22</v>
      </c>
      <c r="F87" t="s">
        <v>202</v>
      </c>
      <c r="G87">
        <v>6.1749999999999998</v>
      </c>
      <c r="H87">
        <v>2864.19</v>
      </c>
      <c r="I87">
        <v>-965.38</v>
      </c>
      <c r="J87">
        <v>-25709.85</v>
      </c>
      <c r="K87">
        <v>-379.58</v>
      </c>
      <c r="L87">
        <v>102.36</v>
      </c>
      <c r="M87">
        <v>-21782.7</v>
      </c>
    </row>
    <row r="88" spans="1:13">
      <c r="A88">
        <v>1</v>
      </c>
      <c r="B88" t="s">
        <v>200</v>
      </c>
      <c r="C88">
        <v>35</v>
      </c>
      <c r="D88">
        <v>22</v>
      </c>
      <c r="E88">
        <v>0</v>
      </c>
      <c r="F88" t="s">
        <v>201</v>
      </c>
      <c r="G88">
        <v>0</v>
      </c>
      <c r="H88">
        <v>2643.23</v>
      </c>
      <c r="I88">
        <v>-1023.01</v>
      </c>
      <c r="J88">
        <v>-24792.69</v>
      </c>
      <c r="K88">
        <v>0</v>
      </c>
      <c r="L88">
        <v>0</v>
      </c>
      <c r="M88">
        <v>0</v>
      </c>
    </row>
    <row r="89" spans="1:13">
      <c r="A89">
        <v>1</v>
      </c>
      <c r="B89" t="s">
        <v>200</v>
      </c>
      <c r="C89">
        <v>35</v>
      </c>
      <c r="D89">
        <v>22</v>
      </c>
      <c r="E89">
        <v>22</v>
      </c>
      <c r="F89" t="s">
        <v>202</v>
      </c>
      <c r="G89">
        <v>6.1749999999999998</v>
      </c>
      <c r="H89">
        <v>221.92</v>
      </c>
      <c r="I89">
        <v>44.72</v>
      </c>
      <c r="J89">
        <v>-22494.86</v>
      </c>
      <c r="K89">
        <v>-3127.57</v>
      </c>
      <c r="L89">
        <v>-1023.01</v>
      </c>
      <c r="M89">
        <v>-26422.01</v>
      </c>
    </row>
    <row r="90" spans="1:13">
      <c r="A90">
        <v>1</v>
      </c>
      <c r="B90" t="s">
        <v>200</v>
      </c>
      <c r="C90">
        <v>36</v>
      </c>
      <c r="D90">
        <v>22</v>
      </c>
      <c r="E90">
        <v>0</v>
      </c>
      <c r="F90" t="s">
        <v>201</v>
      </c>
      <c r="G90">
        <v>0</v>
      </c>
      <c r="H90">
        <v>26905.93</v>
      </c>
      <c r="I90">
        <v>-8748.93</v>
      </c>
      <c r="J90">
        <v>-31110.78</v>
      </c>
      <c r="K90">
        <v>0</v>
      </c>
      <c r="L90">
        <v>0</v>
      </c>
      <c r="M90">
        <v>0</v>
      </c>
    </row>
    <row r="91" spans="1:13">
      <c r="A91">
        <v>1</v>
      </c>
      <c r="B91" t="s">
        <v>200</v>
      </c>
      <c r="C91">
        <v>36</v>
      </c>
      <c r="D91">
        <v>22</v>
      </c>
      <c r="E91">
        <v>0</v>
      </c>
      <c r="F91" t="s">
        <v>202</v>
      </c>
      <c r="G91">
        <v>6.1749999999999998</v>
      </c>
      <c r="H91">
        <v>20668.650000000001</v>
      </c>
      <c r="I91">
        <v>-8748.93</v>
      </c>
      <c r="J91">
        <v>-32740.1</v>
      </c>
      <c r="K91">
        <v>0</v>
      </c>
      <c r="L91">
        <v>0</v>
      </c>
      <c r="M91">
        <v>0</v>
      </c>
    </row>
    <row r="92" spans="1:13">
      <c r="A92">
        <v>1</v>
      </c>
      <c r="B92" t="s">
        <v>203</v>
      </c>
      <c r="C92">
        <v>1</v>
      </c>
      <c r="D92">
        <v>22</v>
      </c>
      <c r="E92">
        <v>15</v>
      </c>
      <c r="F92" t="s">
        <v>201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</row>
    <row r="93" spans="1:13">
      <c r="A93">
        <v>1</v>
      </c>
      <c r="B93" t="s">
        <v>203</v>
      </c>
      <c r="C93">
        <v>1</v>
      </c>
      <c r="D93">
        <v>0</v>
      </c>
      <c r="E93">
        <v>1</v>
      </c>
      <c r="F93" t="s">
        <v>202</v>
      </c>
      <c r="G93">
        <v>1.5649999999999999</v>
      </c>
      <c r="H93">
        <v>0</v>
      </c>
      <c r="I93">
        <v>0</v>
      </c>
      <c r="J93">
        <v>0</v>
      </c>
      <c r="K93">
        <v>-766.15</v>
      </c>
      <c r="L93">
        <v>-979.1</v>
      </c>
      <c r="M93">
        <v>0</v>
      </c>
    </row>
    <row r="94" spans="1:13">
      <c r="A94">
        <v>1</v>
      </c>
      <c r="B94" t="s">
        <v>203</v>
      </c>
      <c r="C94">
        <v>2</v>
      </c>
      <c r="D94">
        <v>0</v>
      </c>
      <c r="E94">
        <v>1</v>
      </c>
      <c r="F94" t="s">
        <v>201</v>
      </c>
      <c r="G94">
        <v>0</v>
      </c>
      <c r="H94">
        <v>0</v>
      </c>
      <c r="I94">
        <v>0</v>
      </c>
      <c r="J94">
        <v>0</v>
      </c>
      <c r="K94">
        <v>-766.15</v>
      </c>
      <c r="L94">
        <v>-979.1</v>
      </c>
      <c r="M94">
        <v>0</v>
      </c>
    </row>
    <row r="95" spans="1:13">
      <c r="A95">
        <v>1</v>
      </c>
      <c r="B95" t="s">
        <v>203</v>
      </c>
      <c r="C95">
        <v>2</v>
      </c>
      <c r="D95">
        <v>0</v>
      </c>
      <c r="E95">
        <v>16</v>
      </c>
      <c r="F95" t="s">
        <v>202</v>
      </c>
      <c r="G95">
        <v>0.27500000000000002</v>
      </c>
      <c r="H95">
        <v>0</v>
      </c>
      <c r="I95">
        <v>0</v>
      </c>
      <c r="J95">
        <v>0</v>
      </c>
      <c r="K95">
        <v>-3841.13</v>
      </c>
      <c r="L95">
        <v>-23111.200000000001</v>
      </c>
      <c r="M95">
        <v>0</v>
      </c>
    </row>
    <row r="96" spans="1:13">
      <c r="A96">
        <v>1</v>
      </c>
      <c r="B96" t="s">
        <v>203</v>
      </c>
      <c r="C96">
        <v>3</v>
      </c>
      <c r="D96">
        <v>16</v>
      </c>
      <c r="E96">
        <v>22</v>
      </c>
      <c r="F96" t="s">
        <v>201</v>
      </c>
      <c r="G96">
        <v>0</v>
      </c>
      <c r="H96">
        <v>11357.61</v>
      </c>
      <c r="I96">
        <v>1700.73</v>
      </c>
      <c r="J96">
        <v>3854.17</v>
      </c>
      <c r="K96">
        <v>71450.23</v>
      </c>
      <c r="L96">
        <v>-12180.89</v>
      </c>
      <c r="M96">
        <v>18245.47</v>
      </c>
    </row>
    <row r="97" spans="1:13">
      <c r="A97">
        <v>1</v>
      </c>
      <c r="B97" t="s">
        <v>203</v>
      </c>
      <c r="C97">
        <v>3</v>
      </c>
      <c r="D97">
        <v>16</v>
      </c>
      <c r="E97">
        <v>22</v>
      </c>
      <c r="F97" t="s">
        <v>202</v>
      </c>
      <c r="G97">
        <v>0.27500000000000002</v>
      </c>
      <c r="H97">
        <v>11801.65</v>
      </c>
      <c r="I97">
        <v>1528.68</v>
      </c>
      <c r="J97">
        <v>3854.17</v>
      </c>
      <c r="K97">
        <v>68076.83</v>
      </c>
      <c r="L97">
        <v>-12352.94</v>
      </c>
      <c r="M97">
        <v>18245.47</v>
      </c>
    </row>
    <row r="98" spans="1:13">
      <c r="A98">
        <v>1</v>
      </c>
      <c r="B98" t="s">
        <v>203</v>
      </c>
      <c r="C98">
        <v>4</v>
      </c>
      <c r="D98">
        <v>16</v>
      </c>
      <c r="E98">
        <v>22</v>
      </c>
      <c r="F98" t="s">
        <v>201</v>
      </c>
      <c r="G98">
        <v>0</v>
      </c>
      <c r="H98">
        <v>11801.65</v>
      </c>
      <c r="I98">
        <v>1528.68</v>
      </c>
      <c r="J98">
        <v>3854.17</v>
      </c>
      <c r="K98">
        <v>68076.83</v>
      </c>
      <c r="L98">
        <v>-12352.94</v>
      </c>
      <c r="M98">
        <v>18245.47</v>
      </c>
    </row>
    <row r="99" spans="1:13">
      <c r="A99">
        <v>1</v>
      </c>
      <c r="B99" t="s">
        <v>203</v>
      </c>
      <c r="C99">
        <v>4</v>
      </c>
      <c r="D99">
        <v>16</v>
      </c>
      <c r="E99">
        <v>22</v>
      </c>
      <c r="F99">
        <v>1</v>
      </c>
      <c r="G99">
        <v>0.875</v>
      </c>
      <c r="H99">
        <v>13139.25</v>
      </c>
      <c r="I99">
        <v>1528.68</v>
      </c>
      <c r="J99">
        <v>3854.17</v>
      </c>
      <c r="K99">
        <v>57268</v>
      </c>
      <c r="L99">
        <v>-12352.94</v>
      </c>
      <c r="M99">
        <v>18245.47</v>
      </c>
    </row>
    <row r="100" spans="1:13">
      <c r="A100">
        <v>1</v>
      </c>
      <c r="B100" t="s">
        <v>203</v>
      </c>
      <c r="C100">
        <v>4</v>
      </c>
      <c r="D100">
        <v>0</v>
      </c>
      <c r="E100">
        <v>16</v>
      </c>
      <c r="F100">
        <v>2</v>
      </c>
      <c r="G100">
        <v>2.9609999999999999</v>
      </c>
      <c r="H100">
        <v>0</v>
      </c>
      <c r="I100">
        <v>0</v>
      </c>
      <c r="J100">
        <v>0</v>
      </c>
      <c r="K100">
        <v>22099.51</v>
      </c>
      <c r="L100">
        <v>-18180.97</v>
      </c>
      <c r="M100">
        <v>18253.810000000001</v>
      </c>
    </row>
    <row r="101" spans="1:13">
      <c r="A101">
        <v>1</v>
      </c>
      <c r="B101" t="s">
        <v>203</v>
      </c>
      <c r="C101">
        <v>4</v>
      </c>
      <c r="D101">
        <v>0</v>
      </c>
      <c r="E101">
        <v>16</v>
      </c>
      <c r="F101">
        <v>3</v>
      </c>
      <c r="G101">
        <v>5.0460000000000003</v>
      </c>
      <c r="H101">
        <v>0</v>
      </c>
      <c r="I101">
        <v>0</v>
      </c>
      <c r="J101">
        <v>0</v>
      </c>
      <c r="K101">
        <v>-17167.689999999999</v>
      </c>
      <c r="L101">
        <v>-19485.400000000001</v>
      </c>
      <c r="M101">
        <v>18253.810000000001</v>
      </c>
    </row>
    <row r="102" spans="1:13">
      <c r="A102">
        <v>1</v>
      </c>
      <c r="B102" t="s">
        <v>203</v>
      </c>
      <c r="C102">
        <v>4</v>
      </c>
      <c r="D102">
        <v>0</v>
      </c>
      <c r="E102">
        <v>16</v>
      </c>
      <c r="F102" t="s">
        <v>202</v>
      </c>
      <c r="G102">
        <v>5.92</v>
      </c>
      <c r="H102">
        <v>0</v>
      </c>
      <c r="I102">
        <v>0</v>
      </c>
      <c r="J102">
        <v>0</v>
      </c>
      <c r="K102">
        <v>-34436.93</v>
      </c>
      <c r="L102">
        <v>-20032.2</v>
      </c>
      <c r="M102">
        <v>18253.810000000001</v>
      </c>
    </row>
    <row r="103" spans="1:13">
      <c r="A103">
        <v>1</v>
      </c>
      <c r="B103" t="s">
        <v>203</v>
      </c>
      <c r="C103">
        <v>5</v>
      </c>
      <c r="D103">
        <v>0</v>
      </c>
      <c r="E103">
        <v>16</v>
      </c>
      <c r="F103" t="s">
        <v>201</v>
      </c>
      <c r="G103">
        <v>0</v>
      </c>
      <c r="H103">
        <v>0</v>
      </c>
      <c r="I103">
        <v>0</v>
      </c>
      <c r="J103">
        <v>0</v>
      </c>
      <c r="K103">
        <v>-34436.93</v>
      </c>
      <c r="L103">
        <v>-20032.2</v>
      </c>
      <c r="M103">
        <v>18253.810000000001</v>
      </c>
    </row>
    <row r="104" spans="1:13">
      <c r="A104">
        <v>1</v>
      </c>
      <c r="B104" t="s">
        <v>203</v>
      </c>
      <c r="C104">
        <v>5</v>
      </c>
      <c r="D104">
        <v>0</v>
      </c>
      <c r="E104">
        <v>16</v>
      </c>
      <c r="F104" t="s">
        <v>202</v>
      </c>
      <c r="G104">
        <v>0.27500000000000002</v>
      </c>
      <c r="H104">
        <v>0</v>
      </c>
      <c r="I104">
        <v>0</v>
      </c>
      <c r="J104">
        <v>0</v>
      </c>
      <c r="K104">
        <v>-39969.449999999997</v>
      </c>
      <c r="L104">
        <v>-20204.25</v>
      </c>
      <c r="M104">
        <v>18253.810000000001</v>
      </c>
    </row>
    <row r="105" spans="1:13">
      <c r="A105">
        <v>1</v>
      </c>
      <c r="B105" t="s">
        <v>203</v>
      </c>
      <c r="C105">
        <v>6</v>
      </c>
      <c r="D105">
        <v>16</v>
      </c>
      <c r="E105">
        <v>0</v>
      </c>
      <c r="F105" t="s">
        <v>201</v>
      </c>
      <c r="G105">
        <v>0</v>
      </c>
      <c r="H105">
        <v>-2537.81</v>
      </c>
      <c r="I105">
        <v>16937.96</v>
      </c>
      <c r="J105">
        <v>6897.7</v>
      </c>
      <c r="K105">
        <v>0</v>
      </c>
      <c r="L105">
        <v>0</v>
      </c>
      <c r="M105">
        <v>0</v>
      </c>
    </row>
    <row r="106" spans="1:13">
      <c r="A106">
        <v>1</v>
      </c>
      <c r="B106" t="s">
        <v>203</v>
      </c>
      <c r="C106">
        <v>6</v>
      </c>
      <c r="D106">
        <v>2</v>
      </c>
      <c r="E106">
        <v>22</v>
      </c>
      <c r="F106" t="s">
        <v>202</v>
      </c>
      <c r="G106">
        <v>0.27500000000000002</v>
      </c>
      <c r="H106">
        <v>45.04</v>
      </c>
      <c r="I106">
        <v>1327.12</v>
      </c>
      <c r="J106">
        <v>6888.67</v>
      </c>
      <c r="K106">
        <v>24061.119999999999</v>
      </c>
      <c r="L106">
        <v>-5623.18</v>
      </c>
      <c r="M106">
        <v>32956.300000000003</v>
      </c>
    </row>
    <row r="107" spans="1:13">
      <c r="A107">
        <v>1</v>
      </c>
      <c r="B107" t="s">
        <v>203</v>
      </c>
      <c r="C107">
        <v>7</v>
      </c>
      <c r="D107">
        <v>2</v>
      </c>
      <c r="E107">
        <v>22</v>
      </c>
      <c r="F107" t="s">
        <v>201</v>
      </c>
      <c r="G107">
        <v>0</v>
      </c>
      <c r="H107">
        <v>45.04</v>
      </c>
      <c r="I107">
        <v>1327.12</v>
      </c>
      <c r="J107">
        <v>6888.67</v>
      </c>
      <c r="K107">
        <v>24061.119999999999</v>
      </c>
      <c r="L107">
        <v>-5623.18</v>
      </c>
      <c r="M107">
        <v>32956.300000000003</v>
      </c>
    </row>
    <row r="108" spans="1:13">
      <c r="A108">
        <v>1</v>
      </c>
      <c r="B108" t="s">
        <v>203</v>
      </c>
      <c r="C108">
        <v>7</v>
      </c>
      <c r="D108">
        <v>2</v>
      </c>
      <c r="E108">
        <v>22</v>
      </c>
      <c r="F108">
        <v>1</v>
      </c>
      <c r="G108">
        <v>0.875</v>
      </c>
      <c r="H108">
        <v>966.77</v>
      </c>
      <c r="I108">
        <v>779.7</v>
      </c>
      <c r="J108">
        <v>6888.67</v>
      </c>
      <c r="K108">
        <v>18901.349999999999</v>
      </c>
      <c r="L108">
        <v>-6170.6</v>
      </c>
      <c r="M108">
        <v>32956.300000000003</v>
      </c>
    </row>
    <row r="109" spans="1:13">
      <c r="A109">
        <v>1</v>
      </c>
      <c r="B109" t="s">
        <v>203</v>
      </c>
      <c r="C109">
        <v>7</v>
      </c>
      <c r="D109">
        <v>0</v>
      </c>
      <c r="E109">
        <v>22</v>
      </c>
      <c r="F109">
        <v>2</v>
      </c>
      <c r="G109">
        <v>2.96</v>
      </c>
      <c r="H109">
        <v>0</v>
      </c>
      <c r="I109">
        <v>0</v>
      </c>
      <c r="J109">
        <v>0</v>
      </c>
      <c r="K109">
        <v>4675.78</v>
      </c>
      <c r="L109">
        <v>-7475.03</v>
      </c>
      <c r="M109">
        <v>32956.300000000003</v>
      </c>
    </row>
    <row r="110" spans="1:13">
      <c r="A110">
        <v>1</v>
      </c>
      <c r="B110" t="s">
        <v>203</v>
      </c>
      <c r="C110">
        <v>7</v>
      </c>
      <c r="D110">
        <v>0</v>
      </c>
      <c r="E110">
        <v>22</v>
      </c>
      <c r="F110">
        <v>3</v>
      </c>
      <c r="G110">
        <v>5.0449999999999999</v>
      </c>
      <c r="H110">
        <v>0</v>
      </c>
      <c r="I110">
        <v>0</v>
      </c>
      <c r="J110">
        <v>0</v>
      </c>
      <c r="K110">
        <v>-12269.51</v>
      </c>
      <c r="L110">
        <v>-8779.4500000000007</v>
      </c>
      <c r="M110">
        <v>32956.300000000003</v>
      </c>
    </row>
    <row r="111" spans="1:13">
      <c r="A111">
        <v>1</v>
      </c>
      <c r="B111" t="s">
        <v>203</v>
      </c>
      <c r="C111">
        <v>7</v>
      </c>
      <c r="D111">
        <v>0</v>
      </c>
      <c r="E111">
        <v>22</v>
      </c>
      <c r="F111" t="s">
        <v>202</v>
      </c>
      <c r="G111">
        <v>5.92</v>
      </c>
      <c r="H111">
        <v>0</v>
      </c>
      <c r="I111">
        <v>0</v>
      </c>
      <c r="J111">
        <v>0</v>
      </c>
      <c r="K111">
        <v>-20191.03</v>
      </c>
      <c r="L111">
        <v>-9326.8799999999992</v>
      </c>
      <c r="M111">
        <v>32956.300000000003</v>
      </c>
    </row>
    <row r="112" spans="1:13">
      <c r="A112">
        <v>1</v>
      </c>
      <c r="B112" t="s">
        <v>203</v>
      </c>
      <c r="C112">
        <v>8</v>
      </c>
      <c r="D112">
        <v>0</v>
      </c>
      <c r="E112">
        <v>22</v>
      </c>
      <c r="F112" t="s">
        <v>201</v>
      </c>
      <c r="G112">
        <v>0</v>
      </c>
      <c r="H112">
        <v>0</v>
      </c>
      <c r="I112">
        <v>0</v>
      </c>
      <c r="J112">
        <v>0</v>
      </c>
      <c r="K112">
        <v>-20191.03</v>
      </c>
      <c r="L112">
        <v>-9326.8799999999992</v>
      </c>
      <c r="M112">
        <v>32956.300000000003</v>
      </c>
    </row>
    <row r="113" spans="1:13">
      <c r="A113">
        <v>1</v>
      </c>
      <c r="B113" t="s">
        <v>203</v>
      </c>
      <c r="C113">
        <v>8</v>
      </c>
      <c r="D113">
        <v>0</v>
      </c>
      <c r="E113">
        <v>22</v>
      </c>
      <c r="F113" t="s">
        <v>202</v>
      </c>
      <c r="G113">
        <v>0.27500000000000002</v>
      </c>
      <c r="H113">
        <v>0</v>
      </c>
      <c r="I113">
        <v>0</v>
      </c>
      <c r="J113">
        <v>0</v>
      </c>
      <c r="K113">
        <v>-22779.58</v>
      </c>
      <c r="L113">
        <v>-9498.92</v>
      </c>
      <c r="M113">
        <v>32956.300000000003</v>
      </c>
    </row>
    <row r="114" spans="1:13">
      <c r="A114">
        <v>1</v>
      </c>
      <c r="B114" t="s">
        <v>203</v>
      </c>
      <c r="C114">
        <v>9</v>
      </c>
      <c r="D114">
        <v>16</v>
      </c>
      <c r="E114">
        <v>0</v>
      </c>
      <c r="F114" t="s">
        <v>201</v>
      </c>
      <c r="G114">
        <v>0</v>
      </c>
      <c r="H114">
        <v>1783.57</v>
      </c>
      <c r="I114">
        <v>20591.11</v>
      </c>
      <c r="J114">
        <v>8352.3700000000008</v>
      </c>
      <c r="K114">
        <v>0</v>
      </c>
      <c r="L114">
        <v>0</v>
      </c>
      <c r="M114">
        <v>0</v>
      </c>
    </row>
    <row r="115" spans="1:13">
      <c r="A115">
        <v>1</v>
      </c>
      <c r="B115" t="s">
        <v>203</v>
      </c>
      <c r="C115">
        <v>9</v>
      </c>
      <c r="D115">
        <v>22</v>
      </c>
      <c r="E115">
        <v>16</v>
      </c>
      <c r="F115" t="s">
        <v>202</v>
      </c>
      <c r="G115">
        <v>0.27500000000000002</v>
      </c>
      <c r="H115">
        <v>3023.59</v>
      </c>
      <c r="I115">
        <v>190.29</v>
      </c>
      <c r="J115">
        <v>8333.43</v>
      </c>
      <c r="K115">
        <v>9683.91</v>
      </c>
      <c r="L115">
        <v>-1725.82</v>
      </c>
      <c r="M115">
        <v>40100.97</v>
      </c>
    </row>
    <row r="116" spans="1:13">
      <c r="A116">
        <v>1</v>
      </c>
      <c r="B116" t="s">
        <v>203</v>
      </c>
      <c r="C116">
        <v>10</v>
      </c>
      <c r="D116">
        <v>22</v>
      </c>
      <c r="E116">
        <v>16</v>
      </c>
      <c r="F116" t="s">
        <v>201</v>
      </c>
      <c r="G116">
        <v>0</v>
      </c>
      <c r="H116">
        <v>3023.59</v>
      </c>
      <c r="I116">
        <v>190.29</v>
      </c>
      <c r="J116">
        <v>8333.43</v>
      </c>
      <c r="K116">
        <v>9683.91</v>
      </c>
      <c r="L116">
        <v>-1725.82</v>
      </c>
      <c r="M116">
        <v>40100.97</v>
      </c>
    </row>
    <row r="117" spans="1:13">
      <c r="A117">
        <v>1</v>
      </c>
      <c r="B117" t="s">
        <v>203</v>
      </c>
      <c r="C117">
        <v>10</v>
      </c>
      <c r="D117">
        <v>0</v>
      </c>
      <c r="E117">
        <v>16</v>
      </c>
      <c r="F117">
        <v>1</v>
      </c>
      <c r="G117">
        <v>0.875</v>
      </c>
      <c r="H117">
        <v>0</v>
      </c>
      <c r="I117">
        <v>0</v>
      </c>
      <c r="J117">
        <v>0</v>
      </c>
      <c r="K117">
        <v>7934.33</v>
      </c>
      <c r="L117">
        <v>-2273.2399999999998</v>
      </c>
      <c r="M117">
        <v>40100.97</v>
      </c>
    </row>
    <row r="118" spans="1:13">
      <c r="A118">
        <v>1</v>
      </c>
      <c r="B118" t="s">
        <v>203</v>
      </c>
      <c r="C118">
        <v>10</v>
      </c>
      <c r="D118">
        <v>0</v>
      </c>
      <c r="E118">
        <v>16</v>
      </c>
      <c r="F118">
        <v>2</v>
      </c>
      <c r="G118">
        <v>2.96</v>
      </c>
      <c r="H118">
        <v>0</v>
      </c>
      <c r="I118">
        <v>0</v>
      </c>
      <c r="J118">
        <v>0</v>
      </c>
      <c r="K118">
        <v>1834.75</v>
      </c>
      <c r="L118">
        <v>-3577.67</v>
      </c>
      <c r="M118">
        <v>40100.97</v>
      </c>
    </row>
    <row r="119" spans="1:13">
      <c r="A119">
        <v>1</v>
      </c>
      <c r="B119" t="s">
        <v>203</v>
      </c>
      <c r="C119">
        <v>10</v>
      </c>
      <c r="D119">
        <v>0</v>
      </c>
      <c r="E119">
        <v>16</v>
      </c>
      <c r="F119">
        <v>3</v>
      </c>
      <c r="G119">
        <v>5.0449999999999999</v>
      </c>
      <c r="H119">
        <v>0</v>
      </c>
      <c r="I119">
        <v>0</v>
      </c>
      <c r="J119">
        <v>0</v>
      </c>
      <c r="K119">
        <v>-6984.55</v>
      </c>
      <c r="L119">
        <v>-4882.1000000000004</v>
      </c>
      <c r="M119">
        <v>40100.97</v>
      </c>
    </row>
    <row r="120" spans="1:13">
      <c r="A120">
        <v>1</v>
      </c>
      <c r="B120" t="s">
        <v>203</v>
      </c>
      <c r="C120">
        <v>10</v>
      </c>
      <c r="D120">
        <v>0</v>
      </c>
      <c r="E120">
        <v>16</v>
      </c>
      <c r="F120" t="s">
        <v>202</v>
      </c>
      <c r="G120">
        <v>5.92</v>
      </c>
      <c r="H120">
        <v>0</v>
      </c>
      <c r="I120">
        <v>0</v>
      </c>
      <c r="J120">
        <v>0</v>
      </c>
      <c r="K120">
        <v>-11495.89</v>
      </c>
      <c r="L120">
        <v>-5429.52</v>
      </c>
      <c r="M120">
        <v>40100.97</v>
      </c>
    </row>
    <row r="121" spans="1:13">
      <c r="A121">
        <v>1</v>
      </c>
      <c r="B121" t="s">
        <v>203</v>
      </c>
      <c r="C121">
        <v>11</v>
      </c>
      <c r="D121">
        <v>0</v>
      </c>
      <c r="E121">
        <v>16</v>
      </c>
      <c r="F121" t="s">
        <v>201</v>
      </c>
      <c r="G121">
        <v>0</v>
      </c>
      <c r="H121">
        <v>0</v>
      </c>
      <c r="I121">
        <v>0</v>
      </c>
      <c r="J121">
        <v>0</v>
      </c>
      <c r="K121">
        <v>-11495.89</v>
      </c>
      <c r="L121">
        <v>-5429.52</v>
      </c>
      <c r="M121">
        <v>40100.97</v>
      </c>
    </row>
    <row r="122" spans="1:13">
      <c r="A122">
        <v>1</v>
      </c>
      <c r="B122" t="s">
        <v>203</v>
      </c>
      <c r="C122">
        <v>11</v>
      </c>
      <c r="D122">
        <v>0</v>
      </c>
      <c r="E122">
        <v>16</v>
      </c>
      <c r="F122" t="s">
        <v>202</v>
      </c>
      <c r="G122">
        <v>0.27500000000000002</v>
      </c>
      <c r="H122">
        <v>0</v>
      </c>
      <c r="I122">
        <v>0</v>
      </c>
      <c r="J122">
        <v>0</v>
      </c>
      <c r="K122">
        <v>-13012.66</v>
      </c>
      <c r="L122">
        <v>-5601.57</v>
      </c>
      <c r="M122">
        <v>40100.97</v>
      </c>
    </row>
    <row r="123" spans="1:13">
      <c r="A123">
        <v>1</v>
      </c>
      <c r="B123" t="s">
        <v>203</v>
      </c>
      <c r="C123">
        <v>12</v>
      </c>
      <c r="D123">
        <v>18</v>
      </c>
      <c r="E123">
        <v>0</v>
      </c>
      <c r="F123" t="s">
        <v>201</v>
      </c>
      <c r="G123">
        <v>0</v>
      </c>
      <c r="H123">
        <v>-15928.82</v>
      </c>
      <c r="I123">
        <v>6666.95</v>
      </c>
      <c r="J123">
        <v>39409.5</v>
      </c>
      <c r="K123">
        <v>0</v>
      </c>
      <c r="L123">
        <v>0</v>
      </c>
      <c r="M123">
        <v>0</v>
      </c>
    </row>
    <row r="124" spans="1:13">
      <c r="A124">
        <v>1</v>
      </c>
      <c r="B124" t="s">
        <v>203</v>
      </c>
      <c r="C124">
        <v>12</v>
      </c>
      <c r="D124">
        <v>18</v>
      </c>
      <c r="E124">
        <v>0</v>
      </c>
      <c r="F124" t="s">
        <v>202</v>
      </c>
      <c r="G124">
        <v>0.27500000000000002</v>
      </c>
      <c r="H124">
        <v>-14119.06</v>
      </c>
      <c r="I124">
        <v>6494.91</v>
      </c>
      <c r="J124">
        <v>39409.5</v>
      </c>
      <c r="K124">
        <v>0</v>
      </c>
      <c r="L124">
        <v>0</v>
      </c>
      <c r="M124">
        <v>0</v>
      </c>
    </row>
    <row r="125" spans="1:13">
      <c r="A125">
        <v>1</v>
      </c>
      <c r="B125" t="s">
        <v>203</v>
      </c>
      <c r="C125">
        <v>13</v>
      </c>
      <c r="D125">
        <v>18</v>
      </c>
      <c r="E125">
        <v>0</v>
      </c>
      <c r="F125" t="s">
        <v>201</v>
      </c>
      <c r="G125">
        <v>0</v>
      </c>
      <c r="H125">
        <v>-14119.06</v>
      </c>
      <c r="I125">
        <v>6494.91</v>
      </c>
      <c r="J125">
        <v>39409.5</v>
      </c>
      <c r="K125">
        <v>0</v>
      </c>
      <c r="L125">
        <v>0</v>
      </c>
      <c r="M125">
        <v>0</v>
      </c>
    </row>
    <row r="126" spans="1:13">
      <c r="A126">
        <v>1</v>
      </c>
      <c r="B126" t="s">
        <v>203</v>
      </c>
      <c r="C126">
        <v>13</v>
      </c>
      <c r="D126">
        <v>18</v>
      </c>
      <c r="E126">
        <v>0</v>
      </c>
      <c r="F126">
        <v>1</v>
      </c>
      <c r="G126">
        <v>0.875</v>
      </c>
      <c r="H126">
        <v>-8675.52</v>
      </c>
      <c r="I126">
        <v>5947.48</v>
      </c>
      <c r="J126">
        <v>39409.5</v>
      </c>
      <c r="K126">
        <v>0</v>
      </c>
      <c r="L126">
        <v>0</v>
      </c>
      <c r="M126">
        <v>0</v>
      </c>
    </row>
    <row r="127" spans="1:13">
      <c r="A127">
        <v>1</v>
      </c>
      <c r="B127" t="s">
        <v>203</v>
      </c>
      <c r="C127">
        <v>13</v>
      </c>
      <c r="D127">
        <v>18</v>
      </c>
      <c r="E127">
        <v>0</v>
      </c>
      <c r="F127">
        <v>2</v>
      </c>
      <c r="G127">
        <v>2.96</v>
      </c>
      <c r="H127">
        <v>2365.12</v>
      </c>
      <c r="I127">
        <v>4643.0600000000004</v>
      </c>
      <c r="J127">
        <v>39409.5</v>
      </c>
      <c r="K127">
        <v>0</v>
      </c>
      <c r="L127">
        <v>0</v>
      </c>
      <c r="M127">
        <v>0</v>
      </c>
    </row>
    <row r="128" spans="1:13">
      <c r="A128">
        <v>1</v>
      </c>
      <c r="B128" t="s">
        <v>203</v>
      </c>
      <c r="C128">
        <v>13</v>
      </c>
      <c r="D128">
        <v>18</v>
      </c>
      <c r="E128">
        <v>0</v>
      </c>
      <c r="F128">
        <v>3</v>
      </c>
      <c r="G128">
        <v>5.0449999999999999</v>
      </c>
      <c r="H128">
        <v>10686.02</v>
      </c>
      <c r="I128">
        <v>3338.63</v>
      </c>
      <c r="J128">
        <v>39409.5</v>
      </c>
      <c r="K128">
        <v>0</v>
      </c>
      <c r="L128">
        <v>0</v>
      </c>
      <c r="M128">
        <v>0</v>
      </c>
    </row>
    <row r="129" spans="1:13">
      <c r="A129">
        <v>1</v>
      </c>
      <c r="B129" t="s">
        <v>203</v>
      </c>
      <c r="C129">
        <v>13</v>
      </c>
      <c r="D129">
        <v>18</v>
      </c>
      <c r="E129">
        <v>0</v>
      </c>
      <c r="F129" t="s">
        <v>202</v>
      </c>
      <c r="G129">
        <v>5.92</v>
      </c>
      <c r="H129">
        <v>13367.82</v>
      </c>
      <c r="I129">
        <v>2791.21</v>
      </c>
      <c r="J129">
        <v>39409.5</v>
      </c>
      <c r="K129">
        <v>0</v>
      </c>
      <c r="L129">
        <v>0</v>
      </c>
      <c r="M129">
        <v>0</v>
      </c>
    </row>
    <row r="130" spans="1:13">
      <c r="A130">
        <v>1</v>
      </c>
      <c r="B130" t="s">
        <v>203</v>
      </c>
      <c r="C130">
        <v>14</v>
      </c>
      <c r="D130">
        <v>18</v>
      </c>
      <c r="E130">
        <v>0</v>
      </c>
      <c r="F130" t="s">
        <v>201</v>
      </c>
      <c r="G130">
        <v>0</v>
      </c>
      <c r="H130">
        <v>13367.82</v>
      </c>
      <c r="I130">
        <v>2791.21</v>
      </c>
      <c r="J130">
        <v>39409.5</v>
      </c>
      <c r="K130">
        <v>0</v>
      </c>
      <c r="L130">
        <v>0</v>
      </c>
      <c r="M130">
        <v>0</v>
      </c>
    </row>
    <row r="131" spans="1:13">
      <c r="A131">
        <v>1</v>
      </c>
      <c r="B131" t="s">
        <v>203</v>
      </c>
      <c r="C131">
        <v>14</v>
      </c>
      <c r="D131">
        <v>0</v>
      </c>
      <c r="E131">
        <v>18</v>
      </c>
      <c r="F131" t="s">
        <v>202</v>
      </c>
      <c r="G131">
        <v>0.27500000000000002</v>
      </c>
      <c r="H131">
        <v>0</v>
      </c>
      <c r="I131">
        <v>0</v>
      </c>
      <c r="J131">
        <v>0</v>
      </c>
      <c r="K131">
        <v>2956.26</v>
      </c>
      <c r="L131">
        <v>-20275.47</v>
      </c>
      <c r="M131">
        <v>8215.41</v>
      </c>
    </row>
    <row r="132" spans="1:13">
      <c r="A132">
        <v>1</v>
      </c>
      <c r="B132" t="s">
        <v>203</v>
      </c>
      <c r="C132">
        <v>15</v>
      </c>
      <c r="D132">
        <v>22</v>
      </c>
      <c r="E132">
        <v>0</v>
      </c>
      <c r="F132" t="s">
        <v>201</v>
      </c>
      <c r="G132">
        <v>0</v>
      </c>
      <c r="H132">
        <v>-23678.51</v>
      </c>
      <c r="I132">
        <v>10074.51</v>
      </c>
      <c r="J132">
        <v>31084.7</v>
      </c>
      <c r="K132">
        <v>0</v>
      </c>
      <c r="L132">
        <v>0</v>
      </c>
      <c r="M132">
        <v>0</v>
      </c>
    </row>
    <row r="133" spans="1:13">
      <c r="A133">
        <v>1</v>
      </c>
      <c r="B133" t="s">
        <v>203</v>
      </c>
      <c r="C133">
        <v>15</v>
      </c>
      <c r="D133">
        <v>22</v>
      </c>
      <c r="E133">
        <v>0</v>
      </c>
      <c r="F133" t="s">
        <v>202</v>
      </c>
      <c r="G133">
        <v>0.27500000000000002</v>
      </c>
      <c r="H133">
        <v>-20931.68</v>
      </c>
      <c r="I133">
        <v>9902.4699999999993</v>
      </c>
      <c r="J133">
        <v>31084.7</v>
      </c>
      <c r="K133">
        <v>0</v>
      </c>
      <c r="L133">
        <v>0</v>
      </c>
      <c r="M133">
        <v>0</v>
      </c>
    </row>
    <row r="134" spans="1:13">
      <c r="A134">
        <v>1</v>
      </c>
      <c r="B134" t="s">
        <v>203</v>
      </c>
      <c r="C134">
        <v>16</v>
      </c>
      <c r="D134">
        <v>22</v>
      </c>
      <c r="E134">
        <v>0</v>
      </c>
      <c r="F134" t="s">
        <v>201</v>
      </c>
      <c r="G134">
        <v>0</v>
      </c>
      <c r="H134">
        <v>-20931.68</v>
      </c>
      <c r="I134">
        <v>9902.4699999999993</v>
      </c>
      <c r="J134">
        <v>31084.7</v>
      </c>
      <c r="K134">
        <v>0</v>
      </c>
      <c r="L134">
        <v>0</v>
      </c>
      <c r="M134">
        <v>0</v>
      </c>
    </row>
    <row r="135" spans="1:13">
      <c r="A135">
        <v>1</v>
      </c>
      <c r="B135" t="s">
        <v>203</v>
      </c>
      <c r="C135">
        <v>16</v>
      </c>
      <c r="D135">
        <v>22</v>
      </c>
      <c r="E135">
        <v>0</v>
      </c>
      <c r="F135">
        <v>1</v>
      </c>
      <c r="G135">
        <v>0.875</v>
      </c>
      <c r="H135">
        <v>-12506.52</v>
      </c>
      <c r="I135">
        <v>9355.0400000000009</v>
      </c>
      <c r="J135">
        <v>31084.7</v>
      </c>
      <c r="K135">
        <v>0</v>
      </c>
      <c r="L135">
        <v>0</v>
      </c>
      <c r="M135">
        <v>0</v>
      </c>
    </row>
    <row r="136" spans="1:13">
      <c r="A136">
        <v>1</v>
      </c>
      <c r="B136" t="s">
        <v>203</v>
      </c>
      <c r="C136">
        <v>16</v>
      </c>
      <c r="D136">
        <v>22</v>
      </c>
      <c r="E136">
        <v>0</v>
      </c>
      <c r="F136">
        <v>2</v>
      </c>
      <c r="G136">
        <v>2.96</v>
      </c>
      <c r="H136">
        <v>5638.88</v>
      </c>
      <c r="I136">
        <v>8050.62</v>
      </c>
      <c r="J136">
        <v>31084.7</v>
      </c>
      <c r="K136">
        <v>0</v>
      </c>
      <c r="L136">
        <v>0</v>
      </c>
      <c r="M136">
        <v>0</v>
      </c>
    </row>
    <row r="137" spans="1:13">
      <c r="A137">
        <v>1</v>
      </c>
      <c r="B137" t="s">
        <v>203</v>
      </c>
      <c r="C137">
        <v>16</v>
      </c>
      <c r="D137">
        <v>22</v>
      </c>
      <c r="E137">
        <v>4</v>
      </c>
      <c r="F137">
        <v>3</v>
      </c>
      <c r="G137">
        <v>5.0449999999999999</v>
      </c>
      <c r="H137">
        <v>21064.55</v>
      </c>
      <c r="I137">
        <v>6746.19</v>
      </c>
      <c r="J137">
        <v>31084.7</v>
      </c>
      <c r="K137">
        <v>1363.69</v>
      </c>
      <c r="L137">
        <v>-777.39</v>
      </c>
      <c r="M137">
        <v>6553.95</v>
      </c>
    </row>
    <row r="138" spans="1:13">
      <c r="A138">
        <v>1</v>
      </c>
      <c r="B138" t="s">
        <v>203</v>
      </c>
      <c r="C138">
        <v>16</v>
      </c>
      <c r="D138">
        <v>22</v>
      </c>
      <c r="E138">
        <v>4</v>
      </c>
      <c r="F138" t="s">
        <v>202</v>
      </c>
      <c r="G138">
        <v>5.92</v>
      </c>
      <c r="H138">
        <v>26727.96</v>
      </c>
      <c r="I138">
        <v>6198.77</v>
      </c>
      <c r="J138">
        <v>31084.7</v>
      </c>
      <c r="K138">
        <v>443.98</v>
      </c>
      <c r="L138">
        <v>-1324.81</v>
      </c>
      <c r="M138">
        <v>6553.95</v>
      </c>
    </row>
    <row r="139" spans="1:13">
      <c r="A139">
        <v>1</v>
      </c>
      <c r="B139" t="s">
        <v>203</v>
      </c>
      <c r="C139">
        <v>17</v>
      </c>
      <c r="D139">
        <v>22</v>
      </c>
      <c r="E139">
        <v>4</v>
      </c>
      <c r="F139" t="s">
        <v>201</v>
      </c>
      <c r="G139">
        <v>0</v>
      </c>
      <c r="H139">
        <v>26727.96</v>
      </c>
      <c r="I139">
        <v>6198.77</v>
      </c>
      <c r="J139">
        <v>31084.7</v>
      </c>
      <c r="K139">
        <v>443.98</v>
      </c>
      <c r="L139">
        <v>-1324.81</v>
      </c>
      <c r="M139">
        <v>6553.95</v>
      </c>
    </row>
    <row r="140" spans="1:13">
      <c r="A140">
        <v>1</v>
      </c>
      <c r="B140" t="s">
        <v>203</v>
      </c>
      <c r="C140">
        <v>17</v>
      </c>
      <c r="D140">
        <v>0</v>
      </c>
      <c r="E140">
        <v>18</v>
      </c>
      <c r="F140" t="s">
        <v>202</v>
      </c>
      <c r="G140">
        <v>0.27500000000000002</v>
      </c>
      <c r="H140">
        <v>0</v>
      </c>
      <c r="I140">
        <v>0</v>
      </c>
      <c r="J140">
        <v>0</v>
      </c>
      <c r="K140">
        <v>-2127.89</v>
      </c>
      <c r="L140">
        <v>-16946.37</v>
      </c>
      <c r="M140">
        <v>6562.96</v>
      </c>
    </row>
    <row r="141" spans="1:13">
      <c r="A141">
        <v>1</v>
      </c>
      <c r="B141" t="s">
        <v>203</v>
      </c>
      <c r="C141">
        <v>18</v>
      </c>
      <c r="D141">
        <v>18</v>
      </c>
      <c r="E141">
        <v>0</v>
      </c>
      <c r="F141" t="s">
        <v>201</v>
      </c>
      <c r="G141">
        <v>0</v>
      </c>
      <c r="H141">
        <v>-41521.93</v>
      </c>
      <c r="I141">
        <v>16955.29</v>
      </c>
      <c r="J141">
        <v>15287.59</v>
      </c>
      <c r="K141">
        <v>0</v>
      </c>
      <c r="L141">
        <v>0</v>
      </c>
      <c r="M141">
        <v>0</v>
      </c>
    </row>
    <row r="142" spans="1:13">
      <c r="A142">
        <v>1</v>
      </c>
      <c r="B142" t="s">
        <v>203</v>
      </c>
      <c r="C142">
        <v>18</v>
      </c>
      <c r="D142">
        <v>18</v>
      </c>
      <c r="E142">
        <v>0</v>
      </c>
      <c r="F142" t="s">
        <v>202</v>
      </c>
      <c r="G142">
        <v>0.27500000000000002</v>
      </c>
      <c r="H142">
        <v>-36882.879999999997</v>
      </c>
      <c r="I142">
        <v>16783.240000000002</v>
      </c>
      <c r="J142">
        <v>15287.59</v>
      </c>
      <c r="K142">
        <v>0</v>
      </c>
      <c r="L142">
        <v>0</v>
      </c>
      <c r="M142">
        <v>0</v>
      </c>
    </row>
    <row r="143" spans="1:13">
      <c r="A143">
        <v>1</v>
      </c>
      <c r="B143" t="s">
        <v>203</v>
      </c>
      <c r="C143">
        <v>19</v>
      </c>
      <c r="D143">
        <v>18</v>
      </c>
      <c r="E143">
        <v>0</v>
      </c>
      <c r="F143" t="s">
        <v>201</v>
      </c>
      <c r="G143">
        <v>0</v>
      </c>
      <c r="H143">
        <v>-36882.879999999997</v>
      </c>
      <c r="I143">
        <v>16783.240000000002</v>
      </c>
      <c r="J143">
        <v>15287.59</v>
      </c>
      <c r="K143">
        <v>0</v>
      </c>
      <c r="L143">
        <v>0</v>
      </c>
      <c r="M143">
        <v>0</v>
      </c>
    </row>
    <row r="144" spans="1:13">
      <c r="A144">
        <v>1</v>
      </c>
      <c r="B144" t="s">
        <v>203</v>
      </c>
      <c r="C144">
        <v>19</v>
      </c>
      <c r="D144">
        <v>18</v>
      </c>
      <c r="E144">
        <v>0</v>
      </c>
      <c r="F144">
        <v>1</v>
      </c>
      <c r="G144">
        <v>0.875</v>
      </c>
      <c r="H144">
        <v>-22197.55</v>
      </c>
      <c r="I144">
        <v>16783.240000000002</v>
      </c>
      <c r="J144">
        <v>15287.59</v>
      </c>
      <c r="K144">
        <v>0</v>
      </c>
      <c r="L144">
        <v>0</v>
      </c>
      <c r="M144">
        <v>0</v>
      </c>
    </row>
    <row r="145" spans="1:13">
      <c r="A145">
        <v>1</v>
      </c>
      <c r="B145" t="s">
        <v>203</v>
      </c>
      <c r="C145">
        <v>19</v>
      </c>
      <c r="D145">
        <v>18</v>
      </c>
      <c r="E145">
        <v>0</v>
      </c>
      <c r="F145">
        <v>2</v>
      </c>
      <c r="G145">
        <v>2.96</v>
      </c>
      <c r="H145">
        <v>12795.5</v>
      </c>
      <c r="I145">
        <v>16783.240000000002</v>
      </c>
      <c r="J145">
        <v>15287.59</v>
      </c>
      <c r="K145">
        <v>0</v>
      </c>
      <c r="L145">
        <v>0</v>
      </c>
      <c r="M145">
        <v>0</v>
      </c>
    </row>
    <row r="146" spans="1:13">
      <c r="A146">
        <v>1</v>
      </c>
      <c r="B146" t="s">
        <v>203</v>
      </c>
      <c r="C146">
        <v>19</v>
      </c>
      <c r="D146">
        <v>22</v>
      </c>
      <c r="E146">
        <v>18</v>
      </c>
      <c r="F146">
        <v>3</v>
      </c>
      <c r="G146">
        <v>5.0449999999999999</v>
      </c>
      <c r="H146">
        <v>46365.19</v>
      </c>
      <c r="I146">
        <v>11997.51</v>
      </c>
      <c r="J146">
        <v>15279.26</v>
      </c>
      <c r="K146">
        <v>10680.73</v>
      </c>
      <c r="L146">
        <v>-574.35</v>
      </c>
      <c r="M146">
        <v>3379.21</v>
      </c>
    </row>
    <row r="147" spans="1:13">
      <c r="A147">
        <v>1</v>
      </c>
      <c r="B147" t="s">
        <v>203</v>
      </c>
      <c r="C147">
        <v>19</v>
      </c>
      <c r="D147">
        <v>22</v>
      </c>
      <c r="E147">
        <v>18</v>
      </c>
      <c r="F147" t="s">
        <v>202</v>
      </c>
      <c r="G147">
        <v>5.92</v>
      </c>
      <c r="H147">
        <v>56623.51</v>
      </c>
      <c r="I147">
        <v>11450.08</v>
      </c>
      <c r="J147">
        <v>15279.26</v>
      </c>
      <c r="K147">
        <v>9938.67</v>
      </c>
      <c r="L147">
        <v>-1121.78</v>
      </c>
      <c r="M147">
        <v>3379.21</v>
      </c>
    </row>
    <row r="148" spans="1:13">
      <c r="A148">
        <v>1</v>
      </c>
      <c r="B148" t="s">
        <v>203</v>
      </c>
      <c r="C148">
        <v>20</v>
      </c>
      <c r="D148">
        <v>22</v>
      </c>
      <c r="E148">
        <v>18</v>
      </c>
      <c r="F148" t="s">
        <v>201</v>
      </c>
      <c r="G148">
        <v>0</v>
      </c>
      <c r="H148">
        <v>56623.51</v>
      </c>
      <c r="I148">
        <v>11450.08</v>
      </c>
      <c r="J148">
        <v>15279.26</v>
      </c>
      <c r="K148">
        <v>9938.67</v>
      </c>
      <c r="L148">
        <v>-1121.78</v>
      </c>
      <c r="M148">
        <v>3379.21</v>
      </c>
    </row>
    <row r="149" spans="1:13">
      <c r="A149">
        <v>1</v>
      </c>
      <c r="B149" t="s">
        <v>203</v>
      </c>
      <c r="C149">
        <v>20</v>
      </c>
      <c r="D149">
        <v>22</v>
      </c>
      <c r="E149">
        <v>18</v>
      </c>
      <c r="F149" t="s">
        <v>202</v>
      </c>
      <c r="G149">
        <v>0.27500000000000002</v>
      </c>
      <c r="H149">
        <v>59748.63</v>
      </c>
      <c r="I149">
        <v>11278.04</v>
      </c>
      <c r="J149">
        <v>15279.26</v>
      </c>
      <c r="K149">
        <v>9606.5300000000007</v>
      </c>
      <c r="L149">
        <v>-1293.82</v>
      </c>
      <c r="M149">
        <v>3379.21</v>
      </c>
    </row>
    <row r="150" spans="1:13">
      <c r="A150">
        <v>1</v>
      </c>
      <c r="B150" t="s">
        <v>203</v>
      </c>
      <c r="C150">
        <v>21</v>
      </c>
      <c r="D150">
        <v>18</v>
      </c>
      <c r="E150">
        <v>0</v>
      </c>
      <c r="F150" t="s">
        <v>201</v>
      </c>
      <c r="G150">
        <v>0</v>
      </c>
      <c r="H150">
        <v>-3853.34</v>
      </c>
      <c r="I150">
        <v>23113.67</v>
      </c>
      <c r="J150">
        <v>0</v>
      </c>
      <c r="K150">
        <v>0</v>
      </c>
      <c r="L150">
        <v>0</v>
      </c>
      <c r="M150">
        <v>0</v>
      </c>
    </row>
    <row r="151" spans="1:13">
      <c r="A151">
        <v>1</v>
      </c>
      <c r="B151" t="s">
        <v>203</v>
      </c>
      <c r="C151">
        <v>21</v>
      </c>
      <c r="D151">
        <v>1</v>
      </c>
      <c r="E151">
        <v>0</v>
      </c>
      <c r="F151" t="s">
        <v>202</v>
      </c>
      <c r="G151">
        <v>0.27500000000000002</v>
      </c>
      <c r="H151">
        <v>-766.15</v>
      </c>
      <c r="I151">
        <v>979.1</v>
      </c>
      <c r="J151">
        <v>0</v>
      </c>
      <c r="K151">
        <v>0</v>
      </c>
      <c r="L151">
        <v>0</v>
      </c>
      <c r="M151">
        <v>0</v>
      </c>
    </row>
    <row r="152" spans="1:13">
      <c r="A152">
        <v>1</v>
      </c>
      <c r="B152" t="s">
        <v>203</v>
      </c>
      <c r="C152">
        <v>22</v>
      </c>
      <c r="D152">
        <v>1</v>
      </c>
      <c r="E152">
        <v>0</v>
      </c>
      <c r="F152" t="s">
        <v>201</v>
      </c>
      <c r="G152">
        <v>0</v>
      </c>
      <c r="H152">
        <v>-766.15</v>
      </c>
      <c r="I152">
        <v>979.1</v>
      </c>
      <c r="J152">
        <v>0</v>
      </c>
      <c r="K152">
        <v>0</v>
      </c>
      <c r="L152">
        <v>0</v>
      </c>
      <c r="M152">
        <v>0</v>
      </c>
    </row>
    <row r="153" spans="1:13">
      <c r="A153">
        <v>1</v>
      </c>
      <c r="B153" t="s">
        <v>203</v>
      </c>
      <c r="C153">
        <v>22</v>
      </c>
      <c r="D153">
        <v>18</v>
      </c>
      <c r="E153">
        <v>0</v>
      </c>
      <c r="F153" t="s">
        <v>202</v>
      </c>
      <c r="G153">
        <v>1.5649999999999999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</row>
    <row r="154" spans="1:13">
      <c r="A154">
        <v>1</v>
      </c>
      <c r="B154" t="s">
        <v>203</v>
      </c>
      <c r="C154">
        <v>23</v>
      </c>
      <c r="D154">
        <v>22</v>
      </c>
      <c r="E154">
        <v>0</v>
      </c>
      <c r="F154" t="s">
        <v>201</v>
      </c>
      <c r="G154">
        <v>0</v>
      </c>
      <c r="H154">
        <v>-75129.03</v>
      </c>
      <c r="I154">
        <v>18491.7</v>
      </c>
      <c r="J154">
        <v>-9602.1</v>
      </c>
      <c r="K154">
        <v>0</v>
      </c>
      <c r="L154">
        <v>0</v>
      </c>
      <c r="M154">
        <v>0</v>
      </c>
    </row>
    <row r="155" spans="1:13">
      <c r="A155">
        <v>1</v>
      </c>
      <c r="B155" t="s">
        <v>203</v>
      </c>
      <c r="C155">
        <v>23</v>
      </c>
      <c r="D155">
        <v>22</v>
      </c>
      <c r="E155">
        <v>0</v>
      </c>
      <c r="F155" t="s">
        <v>202</v>
      </c>
      <c r="G155">
        <v>1.175</v>
      </c>
      <c r="H155">
        <v>-53401.279999999999</v>
      </c>
      <c r="I155">
        <v>18491.7</v>
      </c>
      <c r="J155">
        <v>-9602.1</v>
      </c>
      <c r="K155">
        <v>0</v>
      </c>
      <c r="L155">
        <v>0</v>
      </c>
      <c r="M155">
        <v>0</v>
      </c>
    </row>
    <row r="156" spans="1:13">
      <c r="A156">
        <v>1</v>
      </c>
      <c r="B156" t="s">
        <v>203</v>
      </c>
      <c r="C156">
        <v>24</v>
      </c>
      <c r="D156">
        <v>22</v>
      </c>
      <c r="E156">
        <v>0</v>
      </c>
      <c r="F156" t="s">
        <v>201</v>
      </c>
      <c r="G156">
        <v>0</v>
      </c>
      <c r="H156">
        <v>-63058.23</v>
      </c>
      <c r="I156">
        <v>14957.06</v>
      </c>
      <c r="J156">
        <v>-29074.77</v>
      </c>
      <c r="K156">
        <v>0</v>
      </c>
      <c r="L156">
        <v>0</v>
      </c>
      <c r="M156">
        <v>0</v>
      </c>
    </row>
    <row r="157" spans="1:13">
      <c r="A157">
        <v>1</v>
      </c>
      <c r="B157" t="s">
        <v>203</v>
      </c>
      <c r="C157">
        <v>24</v>
      </c>
      <c r="D157">
        <v>22</v>
      </c>
      <c r="E157">
        <v>0</v>
      </c>
      <c r="F157" t="s">
        <v>202</v>
      </c>
      <c r="G157">
        <v>1.175</v>
      </c>
      <c r="H157">
        <v>-45483.68</v>
      </c>
      <c r="I157">
        <v>14957.06</v>
      </c>
      <c r="J157">
        <v>-29074.77</v>
      </c>
      <c r="K157">
        <v>0</v>
      </c>
      <c r="L157">
        <v>0</v>
      </c>
      <c r="M157">
        <v>0</v>
      </c>
    </row>
    <row r="158" spans="1:13">
      <c r="A158">
        <v>1</v>
      </c>
      <c r="B158" t="s">
        <v>203</v>
      </c>
      <c r="C158">
        <v>25</v>
      </c>
      <c r="D158">
        <v>22</v>
      </c>
      <c r="E158">
        <v>0</v>
      </c>
      <c r="F158" t="s">
        <v>201</v>
      </c>
      <c r="G158">
        <v>0</v>
      </c>
      <c r="H158">
        <v>-31274.29</v>
      </c>
      <c r="I158">
        <v>7368.6</v>
      </c>
      <c r="J158">
        <v>-27075.25</v>
      </c>
      <c r="K158">
        <v>0</v>
      </c>
      <c r="L158">
        <v>0</v>
      </c>
      <c r="M158">
        <v>0</v>
      </c>
    </row>
    <row r="159" spans="1:13">
      <c r="A159">
        <v>1</v>
      </c>
      <c r="B159" t="s">
        <v>203</v>
      </c>
      <c r="C159">
        <v>25</v>
      </c>
      <c r="D159">
        <v>22</v>
      </c>
      <c r="E159">
        <v>0</v>
      </c>
      <c r="F159" t="s">
        <v>202</v>
      </c>
      <c r="G159">
        <v>1.175</v>
      </c>
      <c r="H159">
        <v>-22616.19</v>
      </c>
      <c r="I159">
        <v>7368.6</v>
      </c>
      <c r="J159">
        <v>-27075.25</v>
      </c>
      <c r="K159">
        <v>0</v>
      </c>
      <c r="L159">
        <v>0</v>
      </c>
      <c r="M159">
        <v>0</v>
      </c>
    </row>
    <row r="160" spans="1:13">
      <c r="A160">
        <v>1</v>
      </c>
      <c r="B160" t="s">
        <v>203</v>
      </c>
      <c r="C160">
        <v>26</v>
      </c>
      <c r="D160">
        <v>22</v>
      </c>
      <c r="E160">
        <v>22</v>
      </c>
      <c r="F160" t="s">
        <v>201</v>
      </c>
      <c r="G160">
        <v>0</v>
      </c>
      <c r="H160">
        <v>-502.61</v>
      </c>
      <c r="I160">
        <v>119.67</v>
      </c>
      <c r="J160">
        <v>-19589.32</v>
      </c>
      <c r="K160">
        <v>3995.75</v>
      </c>
      <c r="L160">
        <v>-948.07</v>
      </c>
      <c r="M160">
        <v>-23516.47</v>
      </c>
    </row>
    <row r="161" spans="1:13">
      <c r="A161">
        <v>1</v>
      </c>
      <c r="B161" t="s">
        <v>203</v>
      </c>
      <c r="C161">
        <v>26</v>
      </c>
      <c r="D161">
        <v>22</v>
      </c>
      <c r="E161">
        <v>22</v>
      </c>
      <c r="F161" t="s">
        <v>202</v>
      </c>
      <c r="G161">
        <v>1.175</v>
      </c>
      <c r="H161">
        <v>-362</v>
      </c>
      <c r="I161">
        <v>119.67</v>
      </c>
      <c r="J161">
        <v>-19589.32</v>
      </c>
      <c r="K161">
        <v>2881.78</v>
      </c>
      <c r="L161">
        <v>-948.07</v>
      </c>
      <c r="M161">
        <v>-23516.47</v>
      </c>
    </row>
    <row r="162" spans="1:13">
      <c r="A162">
        <v>1</v>
      </c>
      <c r="B162" t="s">
        <v>203</v>
      </c>
      <c r="C162">
        <v>27</v>
      </c>
      <c r="D162">
        <v>0</v>
      </c>
      <c r="E162">
        <v>22</v>
      </c>
      <c r="F162" t="s">
        <v>201</v>
      </c>
      <c r="G162">
        <v>0</v>
      </c>
      <c r="H162">
        <v>0</v>
      </c>
      <c r="I162">
        <v>0</v>
      </c>
      <c r="J162">
        <v>0</v>
      </c>
      <c r="K162">
        <v>36166.07</v>
      </c>
      <c r="L162">
        <v>-8548.76</v>
      </c>
      <c r="M162">
        <v>-26537.31</v>
      </c>
    </row>
    <row r="163" spans="1:13">
      <c r="A163">
        <v>1</v>
      </c>
      <c r="B163" t="s">
        <v>203</v>
      </c>
      <c r="C163">
        <v>27</v>
      </c>
      <c r="D163">
        <v>0</v>
      </c>
      <c r="E163">
        <v>22</v>
      </c>
      <c r="F163" t="s">
        <v>202</v>
      </c>
      <c r="G163">
        <v>1.175</v>
      </c>
      <c r="H163">
        <v>0</v>
      </c>
      <c r="I163">
        <v>0</v>
      </c>
      <c r="J163">
        <v>0</v>
      </c>
      <c r="K163">
        <v>26121.29</v>
      </c>
      <c r="L163">
        <v>-8548.76</v>
      </c>
      <c r="M163">
        <v>-26537.31</v>
      </c>
    </row>
    <row r="164" spans="1:13">
      <c r="A164">
        <v>1</v>
      </c>
      <c r="B164" t="s">
        <v>203</v>
      </c>
      <c r="C164">
        <v>28</v>
      </c>
      <c r="D164">
        <v>0</v>
      </c>
      <c r="E164">
        <v>22</v>
      </c>
      <c r="F164" t="s">
        <v>201</v>
      </c>
      <c r="G164">
        <v>0</v>
      </c>
      <c r="H164">
        <v>0</v>
      </c>
      <c r="I164">
        <v>0</v>
      </c>
      <c r="J164">
        <v>0</v>
      </c>
      <c r="K164">
        <v>67446.23</v>
      </c>
      <c r="L164">
        <v>-16051.66</v>
      </c>
      <c r="M164">
        <v>-25260.74</v>
      </c>
    </row>
    <row r="165" spans="1:13">
      <c r="A165">
        <v>1</v>
      </c>
      <c r="B165" t="s">
        <v>203</v>
      </c>
      <c r="C165">
        <v>28</v>
      </c>
      <c r="D165">
        <v>0</v>
      </c>
      <c r="E165">
        <v>22</v>
      </c>
      <c r="F165" t="s">
        <v>202</v>
      </c>
      <c r="G165">
        <v>1.175</v>
      </c>
      <c r="H165">
        <v>0</v>
      </c>
      <c r="I165">
        <v>0</v>
      </c>
      <c r="J165">
        <v>0</v>
      </c>
      <c r="K165">
        <v>48585.54</v>
      </c>
      <c r="L165">
        <v>-16051.66</v>
      </c>
      <c r="M165">
        <v>-25260.74</v>
      </c>
    </row>
    <row r="166" spans="1:13">
      <c r="A166">
        <v>1</v>
      </c>
      <c r="B166" t="s">
        <v>203</v>
      </c>
      <c r="C166">
        <v>29</v>
      </c>
      <c r="D166">
        <v>0</v>
      </c>
      <c r="E166">
        <v>22</v>
      </c>
      <c r="F166" t="s">
        <v>201</v>
      </c>
      <c r="G166">
        <v>0</v>
      </c>
      <c r="H166">
        <v>0</v>
      </c>
      <c r="I166">
        <v>0</v>
      </c>
      <c r="J166">
        <v>0</v>
      </c>
      <c r="K166">
        <v>63439.78</v>
      </c>
      <c r="L166">
        <v>-15525.49</v>
      </c>
      <c r="M166">
        <v>-10508.54</v>
      </c>
    </row>
    <row r="167" spans="1:13">
      <c r="A167">
        <v>1</v>
      </c>
      <c r="B167" t="s">
        <v>203</v>
      </c>
      <c r="C167">
        <v>29</v>
      </c>
      <c r="D167">
        <v>0</v>
      </c>
      <c r="E167">
        <v>22</v>
      </c>
      <c r="F167" t="s">
        <v>202</v>
      </c>
      <c r="G167">
        <v>1.175</v>
      </c>
      <c r="H167">
        <v>0</v>
      </c>
      <c r="I167">
        <v>0</v>
      </c>
      <c r="J167">
        <v>0</v>
      </c>
      <c r="K167">
        <v>45197.33</v>
      </c>
      <c r="L167">
        <v>-15525.49</v>
      </c>
      <c r="M167">
        <v>-10508.54</v>
      </c>
    </row>
    <row r="168" spans="1:13">
      <c r="A168">
        <v>1</v>
      </c>
      <c r="B168" t="s">
        <v>203</v>
      </c>
      <c r="C168">
        <v>30</v>
      </c>
      <c r="D168">
        <v>22</v>
      </c>
      <c r="E168">
        <v>0</v>
      </c>
      <c r="F168" t="s">
        <v>201</v>
      </c>
      <c r="G168">
        <v>0</v>
      </c>
      <c r="H168">
        <v>-53401.279999999999</v>
      </c>
      <c r="I168">
        <v>18491.7</v>
      </c>
      <c r="J168">
        <v>-9602.1</v>
      </c>
      <c r="K168">
        <v>0</v>
      </c>
      <c r="L168">
        <v>0</v>
      </c>
      <c r="M168">
        <v>0</v>
      </c>
    </row>
    <row r="169" spans="1:13">
      <c r="A169">
        <v>1</v>
      </c>
      <c r="B169" t="s">
        <v>203</v>
      </c>
      <c r="C169">
        <v>30</v>
      </c>
      <c r="D169">
        <v>22</v>
      </c>
      <c r="E169">
        <v>0</v>
      </c>
      <c r="F169" t="s">
        <v>202</v>
      </c>
      <c r="G169">
        <v>6.1749999999999998</v>
      </c>
      <c r="H169">
        <v>-42393.3</v>
      </c>
      <c r="I169">
        <v>18491.7</v>
      </c>
      <c r="J169">
        <v>-11231.43</v>
      </c>
      <c r="K169">
        <v>0</v>
      </c>
      <c r="L169">
        <v>0</v>
      </c>
      <c r="M169">
        <v>0</v>
      </c>
    </row>
    <row r="170" spans="1:13">
      <c r="A170">
        <v>1</v>
      </c>
      <c r="B170" t="s">
        <v>203</v>
      </c>
      <c r="C170">
        <v>31</v>
      </c>
      <c r="D170">
        <v>22</v>
      </c>
      <c r="E170">
        <v>0</v>
      </c>
      <c r="F170" t="s">
        <v>201</v>
      </c>
      <c r="G170">
        <v>0</v>
      </c>
      <c r="H170">
        <v>59974.64</v>
      </c>
      <c r="I170">
        <v>18595.78</v>
      </c>
      <c r="J170">
        <v>-6481.52</v>
      </c>
      <c r="K170">
        <v>0</v>
      </c>
      <c r="L170">
        <v>0</v>
      </c>
      <c r="M170">
        <v>0</v>
      </c>
    </row>
    <row r="171" spans="1:13">
      <c r="A171">
        <v>1</v>
      </c>
      <c r="B171" t="s">
        <v>203</v>
      </c>
      <c r="C171">
        <v>31</v>
      </c>
      <c r="D171">
        <v>22</v>
      </c>
      <c r="E171">
        <v>0</v>
      </c>
      <c r="F171" t="s">
        <v>202</v>
      </c>
      <c r="G171">
        <v>6.1749999999999998</v>
      </c>
      <c r="H171">
        <v>-44427.23</v>
      </c>
      <c r="I171">
        <v>14957.06</v>
      </c>
      <c r="J171">
        <v>-30704.09</v>
      </c>
      <c r="K171">
        <v>0</v>
      </c>
      <c r="L171">
        <v>0</v>
      </c>
      <c r="M171">
        <v>0</v>
      </c>
    </row>
    <row r="172" spans="1:13">
      <c r="A172">
        <v>1</v>
      </c>
      <c r="B172" t="s">
        <v>203</v>
      </c>
      <c r="C172">
        <v>32</v>
      </c>
      <c r="D172">
        <v>22</v>
      </c>
      <c r="E172">
        <v>0</v>
      </c>
      <c r="F172" t="s">
        <v>201</v>
      </c>
      <c r="G172">
        <v>0</v>
      </c>
      <c r="H172">
        <v>-36561.519999999997</v>
      </c>
      <c r="I172">
        <v>14849.57</v>
      </c>
      <c r="J172">
        <v>-27161.91</v>
      </c>
      <c r="K172">
        <v>0</v>
      </c>
      <c r="L172">
        <v>0</v>
      </c>
      <c r="M172">
        <v>0</v>
      </c>
    </row>
    <row r="173" spans="1:13">
      <c r="A173">
        <v>1</v>
      </c>
      <c r="B173" t="s">
        <v>203</v>
      </c>
      <c r="C173">
        <v>32</v>
      </c>
      <c r="D173">
        <v>22</v>
      </c>
      <c r="E173">
        <v>0</v>
      </c>
      <c r="F173" t="s">
        <v>202</v>
      </c>
      <c r="G173">
        <v>6.1749999999999998</v>
      </c>
      <c r="H173">
        <v>46632.63</v>
      </c>
      <c r="I173">
        <v>14849.57</v>
      </c>
      <c r="J173">
        <v>-28791.23</v>
      </c>
      <c r="K173">
        <v>0</v>
      </c>
      <c r="L173">
        <v>0</v>
      </c>
      <c r="M173">
        <v>0</v>
      </c>
    </row>
    <row r="174" spans="1:13">
      <c r="A174">
        <v>1</v>
      </c>
      <c r="B174" t="s">
        <v>203</v>
      </c>
      <c r="C174">
        <v>33</v>
      </c>
      <c r="D174">
        <v>22</v>
      </c>
      <c r="E174">
        <v>0</v>
      </c>
      <c r="F174" t="s">
        <v>201</v>
      </c>
      <c r="G174">
        <v>0</v>
      </c>
      <c r="H174">
        <v>-22369.74</v>
      </c>
      <c r="I174">
        <v>7307.02</v>
      </c>
      <c r="J174">
        <v>-26248.67</v>
      </c>
      <c r="K174">
        <v>0</v>
      </c>
      <c r="L174">
        <v>0</v>
      </c>
      <c r="M174">
        <v>0</v>
      </c>
    </row>
    <row r="175" spans="1:13">
      <c r="A175">
        <v>1</v>
      </c>
      <c r="B175" t="s">
        <v>203</v>
      </c>
      <c r="C175">
        <v>33</v>
      </c>
      <c r="D175">
        <v>22</v>
      </c>
      <c r="E175">
        <v>0</v>
      </c>
      <c r="F175" t="s">
        <v>202</v>
      </c>
      <c r="G175">
        <v>6.1749999999999998</v>
      </c>
      <c r="H175">
        <v>-18156.919999999998</v>
      </c>
      <c r="I175">
        <v>7307.02</v>
      </c>
      <c r="J175">
        <v>-27877.99</v>
      </c>
      <c r="K175">
        <v>0</v>
      </c>
      <c r="L175">
        <v>0</v>
      </c>
      <c r="M175">
        <v>0</v>
      </c>
    </row>
    <row r="176" spans="1:13">
      <c r="A176">
        <v>1</v>
      </c>
      <c r="B176" t="s">
        <v>203</v>
      </c>
      <c r="C176">
        <v>34</v>
      </c>
      <c r="D176">
        <v>22</v>
      </c>
      <c r="E176">
        <v>0</v>
      </c>
      <c r="F176" t="s">
        <v>201</v>
      </c>
      <c r="G176">
        <v>0</v>
      </c>
      <c r="H176">
        <v>22815.55</v>
      </c>
      <c r="I176">
        <v>7289.71</v>
      </c>
      <c r="J176">
        <v>-26812.73</v>
      </c>
      <c r="K176">
        <v>0</v>
      </c>
      <c r="L176">
        <v>0</v>
      </c>
      <c r="M176">
        <v>0</v>
      </c>
    </row>
    <row r="177" spans="1:13">
      <c r="A177">
        <v>1</v>
      </c>
      <c r="B177" t="s">
        <v>203</v>
      </c>
      <c r="C177">
        <v>34</v>
      </c>
      <c r="D177">
        <v>22</v>
      </c>
      <c r="E177">
        <v>22</v>
      </c>
      <c r="F177" t="s">
        <v>202</v>
      </c>
      <c r="G177">
        <v>6.1749999999999998</v>
      </c>
      <c r="H177">
        <v>-379.58</v>
      </c>
      <c r="I177">
        <v>102.36</v>
      </c>
      <c r="J177">
        <v>-21782.7</v>
      </c>
      <c r="K177">
        <v>2864.19</v>
      </c>
      <c r="L177">
        <v>-965.38</v>
      </c>
      <c r="M177">
        <v>-25709.85</v>
      </c>
    </row>
    <row r="178" spans="1:13">
      <c r="A178">
        <v>1</v>
      </c>
      <c r="B178" t="s">
        <v>203</v>
      </c>
      <c r="C178">
        <v>35</v>
      </c>
      <c r="D178">
        <v>22</v>
      </c>
      <c r="E178">
        <v>22</v>
      </c>
      <c r="F178" t="s">
        <v>201</v>
      </c>
      <c r="G178">
        <v>0</v>
      </c>
      <c r="H178">
        <v>13.4</v>
      </c>
      <c r="I178">
        <v>44.72</v>
      </c>
      <c r="J178">
        <v>-20865.54</v>
      </c>
      <c r="K178">
        <v>2643.23</v>
      </c>
      <c r="L178">
        <v>-1023.01</v>
      </c>
      <c r="M178">
        <v>-24792.69</v>
      </c>
    </row>
    <row r="179" spans="1:13">
      <c r="A179">
        <v>1</v>
      </c>
      <c r="B179" t="s">
        <v>203</v>
      </c>
      <c r="C179">
        <v>35</v>
      </c>
      <c r="D179">
        <v>22</v>
      </c>
      <c r="E179">
        <v>22</v>
      </c>
      <c r="F179" t="s">
        <v>202</v>
      </c>
      <c r="G179">
        <v>6.1749999999999998</v>
      </c>
      <c r="H179">
        <v>221.92</v>
      </c>
      <c r="I179">
        <v>44.72</v>
      </c>
      <c r="J179">
        <v>-22494.86</v>
      </c>
      <c r="K179">
        <v>-3127.57</v>
      </c>
      <c r="L179">
        <v>-1023.01</v>
      </c>
      <c r="M179">
        <v>-26422.01</v>
      </c>
    </row>
    <row r="180" spans="1:13">
      <c r="A180">
        <v>1</v>
      </c>
      <c r="B180" t="s">
        <v>203</v>
      </c>
      <c r="C180">
        <v>36</v>
      </c>
      <c r="D180">
        <v>0</v>
      </c>
      <c r="E180">
        <v>22</v>
      </c>
      <c r="F180" t="s">
        <v>201</v>
      </c>
      <c r="G180">
        <v>0</v>
      </c>
      <c r="H180">
        <v>0</v>
      </c>
      <c r="I180">
        <v>0</v>
      </c>
      <c r="J180">
        <v>0</v>
      </c>
      <c r="K180">
        <v>26905.93</v>
      </c>
      <c r="L180">
        <v>-8748.93</v>
      </c>
      <c r="M180">
        <v>-31110.78</v>
      </c>
    </row>
    <row r="181" spans="1:13">
      <c r="A181">
        <v>1</v>
      </c>
      <c r="B181" t="s">
        <v>203</v>
      </c>
      <c r="C181">
        <v>36</v>
      </c>
      <c r="D181">
        <v>0</v>
      </c>
      <c r="E181">
        <v>22</v>
      </c>
      <c r="F181" t="s">
        <v>202</v>
      </c>
      <c r="G181">
        <v>6.1749999999999998</v>
      </c>
      <c r="H181">
        <v>0</v>
      </c>
      <c r="I181">
        <v>0</v>
      </c>
      <c r="J181">
        <v>0</v>
      </c>
      <c r="K181">
        <v>20668.650000000001</v>
      </c>
      <c r="L181">
        <v>-8748.93</v>
      </c>
      <c r="M181">
        <v>-32740.1</v>
      </c>
    </row>
    <row r="182" spans="1:13">
      <c r="A182">
        <v>1</v>
      </c>
      <c r="B182" t="s">
        <v>204</v>
      </c>
      <c r="C182">
        <v>1</v>
      </c>
      <c r="D182">
        <v>22</v>
      </c>
      <c r="E182">
        <v>22</v>
      </c>
      <c r="F182" t="s">
        <v>201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</row>
    <row r="183" spans="1:13">
      <c r="A183">
        <v>1</v>
      </c>
      <c r="B183" t="s">
        <v>204</v>
      </c>
      <c r="C183">
        <v>1</v>
      </c>
      <c r="D183">
        <v>22</v>
      </c>
      <c r="E183">
        <v>22</v>
      </c>
      <c r="F183" t="s">
        <v>202</v>
      </c>
      <c r="G183">
        <v>1.5649999999999999</v>
      </c>
      <c r="H183">
        <v>-766.15</v>
      </c>
      <c r="I183">
        <v>-979.1</v>
      </c>
      <c r="J183">
        <v>0</v>
      </c>
      <c r="K183">
        <v>-766.15</v>
      </c>
      <c r="L183">
        <v>-979.1</v>
      </c>
      <c r="M183">
        <v>0</v>
      </c>
    </row>
    <row r="184" spans="1:13">
      <c r="A184">
        <v>1</v>
      </c>
      <c r="B184" t="s">
        <v>204</v>
      </c>
      <c r="C184">
        <v>2</v>
      </c>
      <c r="D184">
        <v>22</v>
      </c>
      <c r="E184">
        <v>22</v>
      </c>
      <c r="F184" t="s">
        <v>201</v>
      </c>
      <c r="G184">
        <v>0</v>
      </c>
      <c r="H184">
        <v>-766.15</v>
      </c>
      <c r="I184">
        <v>-979.1</v>
      </c>
      <c r="J184">
        <v>0</v>
      </c>
      <c r="K184">
        <v>-766.15</v>
      </c>
      <c r="L184">
        <v>-979.1</v>
      </c>
      <c r="M184">
        <v>0</v>
      </c>
    </row>
    <row r="185" spans="1:13">
      <c r="A185">
        <v>1</v>
      </c>
      <c r="B185" t="s">
        <v>204</v>
      </c>
      <c r="C185">
        <v>2</v>
      </c>
      <c r="D185">
        <v>0</v>
      </c>
      <c r="E185">
        <v>22</v>
      </c>
      <c r="F185" t="s">
        <v>202</v>
      </c>
      <c r="G185">
        <v>0.27500000000000002</v>
      </c>
      <c r="H185">
        <v>0</v>
      </c>
      <c r="I185">
        <v>0</v>
      </c>
      <c r="J185">
        <v>0</v>
      </c>
      <c r="K185">
        <v>-3678.8</v>
      </c>
      <c r="L185">
        <v>-21832.99</v>
      </c>
      <c r="M185">
        <v>0</v>
      </c>
    </row>
    <row r="186" spans="1:13">
      <c r="A186">
        <v>1</v>
      </c>
      <c r="B186" t="s">
        <v>204</v>
      </c>
      <c r="C186">
        <v>3</v>
      </c>
      <c r="D186">
        <v>18</v>
      </c>
      <c r="E186">
        <v>0</v>
      </c>
      <c r="F186" t="s">
        <v>201</v>
      </c>
      <c r="G186">
        <v>0</v>
      </c>
      <c r="H186">
        <v>69920.28</v>
      </c>
      <c r="I186">
        <v>-11643.47</v>
      </c>
      <c r="J186">
        <v>18300.82</v>
      </c>
      <c r="K186">
        <v>0</v>
      </c>
      <c r="L186">
        <v>0</v>
      </c>
      <c r="M186">
        <v>0</v>
      </c>
    </row>
    <row r="187" spans="1:13">
      <c r="A187">
        <v>1</v>
      </c>
      <c r="B187" t="s">
        <v>204</v>
      </c>
      <c r="C187">
        <v>3</v>
      </c>
      <c r="D187">
        <v>18</v>
      </c>
      <c r="E187">
        <v>0</v>
      </c>
      <c r="F187" t="s">
        <v>202</v>
      </c>
      <c r="G187">
        <v>0.27500000000000002</v>
      </c>
      <c r="H187">
        <v>66694.67</v>
      </c>
      <c r="I187">
        <v>-11815.52</v>
      </c>
      <c r="J187">
        <v>18300.82</v>
      </c>
      <c r="K187">
        <v>0</v>
      </c>
      <c r="L187">
        <v>0</v>
      </c>
      <c r="M187">
        <v>0</v>
      </c>
    </row>
    <row r="188" spans="1:13">
      <c r="A188">
        <v>1</v>
      </c>
      <c r="B188" t="s">
        <v>204</v>
      </c>
      <c r="C188">
        <v>4</v>
      </c>
      <c r="D188">
        <v>18</v>
      </c>
      <c r="E188">
        <v>0</v>
      </c>
      <c r="F188" t="s">
        <v>201</v>
      </c>
      <c r="G188">
        <v>0</v>
      </c>
      <c r="H188">
        <v>66694.67</v>
      </c>
      <c r="I188">
        <v>-11815.52</v>
      </c>
      <c r="J188">
        <v>18300.82</v>
      </c>
      <c r="K188">
        <v>0</v>
      </c>
      <c r="L188">
        <v>0</v>
      </c>
      <c r="M188">
        <v>0</v>
      </c>
    </row>
    <row r="189" spans="1:13">
      <c r="A189">
        <v>1</v>
      </c>
      <c r="B189" t="s">
        <v>204</v>
      </c>
      <c r="C189">
        <v>4</v>
      </c>
      <c r="D189">
        <v>18</v>
      </c>
      <c r="E189">
        <v>0</v>
      </c>
      <c r="F189">
        <v>1</v>
      </c>
      <c r="G189">
        <v>0.875</v>
      </c>
      <c r="H189">
        <v>56356.1</v>
      </c>
      <c r="I189">
        <v>-11815.52</v>
      </c>
      <c r="J189">
        <v>18300.82</v>
      </c>
      <c r="K189">
        <v>0</v>
      </c>
      <c r="L189">
        <v>0</v>
      </c>
      <c r="M189">
        <v>0</v>
      </c>
    </row>
    <row r="190" spans="1:13">
      <c r="A190">
        <v>1</v>
      </c>
      <c r="B190" t="s">
        <v>204</v>
      </c>
      <c r="C190">
        <v>4</v>
      </c>
      <c r="D190">
        <v>18</v>
      </c>
      <c r="E190">
        <v>0</v>
      </c>
      <c r="F190">
        <v>2</v>
      </c>
      <c r="G190">
        <v>2.9609999999999999</v>
      </c>
      <c r="H190">
        <v>21670.5</v>
      </c>
      <c r="I190">
        <v>-17753.3</v>
      </c>
      <c r="J190">
        <v>18300.82</v>
      </c>
      <c r="K190">
        <v>0</v>
      </c>
      <c r="L190">
        <v>0</v>
      </c>
      <c r="M190">
        <v>0</v>
      </c>
    </row>
    <row r="191" spans="1:13">
      <c r="A191">
        <v>1</v>
      </c>
      <c r="B191" t="s">
        <v>204</v>
      </c>
      <c r="C191">
        <v>4</v>
      </c>
      <c r="D191">
        <v>18</v>
      </c>
      <c r="E191">
        <v>0</v>
      </c>
      <c r="F191">
        <v>3</v>
      </c>
      <c r="G191">
        <v>5.0460000000000003</v>
      </c>
      <c r="H191">
        <v>-16704.98</v>
      </c>
      <c r="I191">
        <v>-19057.72</v>
      </c>
      <c r="J191">
        <v>18300.82</v>
      </c>
      <c r="K191">
        <v>0</v>
      </c>
      <c r="L191">
        <v>0</v>
      </c>
      <c r="M191">
        <v>0</v>
      </c>
    </row>
    <row r="192" spans="1:13">
      <c r="A192">
        <v>1</v>
      </c>
      <c r="B192" t="s">
        <v>204</v>
      </c>
      <c r="C192">
        <v>4</v>
      </c>
      <c r="D192">
        <v>18</v>
      </c>
      <c r="E192">
        <v>0</v>
      </c>
      <c r="F192" t="s">
        <v>202</v>
      </c>
      <c r="G192">
        <v>5.92</v>
      </c>
      <c r="H192">
        <v>-33600.33</v>
      </c>
      <c r="I192">
        <v>-19604.52</v>
      </c>
      <c r="J192">
        <v>18300.82</v>
      </c>
      <c r="K192">
        <v>0</v>
      </c>
      <c r="L192">
        <v>0</v>
      </c>
      <c r="M192">
        <v>0</v>
      </c>
    </row>
    <row r="193" spans="1:13">
      <c r="A193">
        <v>1</v>
      </c>
      <c r="B193" t="s">
        <v>204</v>
      </c>
      <c r="C193">
        <v>5</v>
      </c>
      <c r="D193">
        <v>18</v>
      </c>
      <c r="E193">
        <v>0</v>
      </c>
      <c r="F193" t="s">
        <v>201</v>
      </c>
      <c r="G193">
        <v>0</v>
      </c>
      <c r="H193">
        <v>-33600.33</v>
      </c>
      <c r="I193">
        <v>-19604.52</v>
      </c>
      <c r="J193">
        <v>18300.82</v>
      </c>
      <c r="K193">
        <v>0</v>
      </c>
      <c r="L193">
        <v>0</v>
      </c>
      <c r="M193">
        <v>0</v>
      </c>
    </row>
    <row r="194" spans="1:13">
      <c r="A194">
        <v>1</v>
      </c>
      <c r="B194" t="s">
        <v>204</v>
      </c>
      <c r="C194">
        <v>5</v>
      </c>
      <c r="D194">
        <v>18</v>
      </c>
      <c r="E194">
        <v>0</v>
      </c>
      <c r="F194" t="s">
        <v>202</v>
      </c>
      <c r="G194">
        <v>0.27500000000000002</v>
      </c>
      <c r="H194">
        <v>-39015.230000000003</v>
      </c>
      <c r="I194">
        <v>-19776.57</v>
      </c>
      <c r="J194">
        <v>18300.82</v>
      </c>
      <c r="K194">
        <v>0</v>
      </c>
      <c r="L194">
        <v>0</v>
      </c>
      <c r="M194">
        <v>0</v>
      </c>
    </row>
    <row r="195" spans="1:13">
      <c r="A195">
        <v>1</v>
      </c>
      <c r="B195" t="s">
        <v>204</v>
      </c>
      <c r="C195">
        <v>6</v>
      </c>
      <c r="D195">
        <v>16</v>
      </c>
      <c r="E195">
        <v>0</v>
      </c>
      <c r="F195" t="s">
        <v>201</v>
      </c>
      <c r="G195">
        <v>0</v>
      </c>
      <c r="H195">
        <v>22019.25</v>
      </c>
      <c r="I195">
        <v>10398.99</v>
      </c>
      <c r="J195">
        <v>33004.160000000003</v>
      </c>
      <c r="K195">
        <v>0</v>
      </c>
      <c r="L195">
        <v>0</v>
      </c>
      <c r="M195">
        <v>0</v>
      </c>
    </row>
    <row r="196" spans="1:13">
      <c r="A196">
        <v>1</v>
      </c>
      <c r="B196" t="s">
        <v>204</v>
      </c>
      <c r="C196">
        <v>6</v>
      </c>
      <c r="D196">
        <v>16</v>
      </c>
      <c r="E196">
        <v>0</v>
      </c>
      <c r="F196" t="s">
        <v>202</v>
      </c>
      <c r="G196">
        <v>0.27500000000000002</v>
      </c>
      <c r="H196">
        <v>22804.69</v>
      </c>
      <c r="I196">
        <v>-5238.68</v>
      </c>
      <c r="J196">
        <v>33004.160000000003</v>
      </c>
      <c r="K196">
        <v>0</v>
      </c>
      <c r="L196">
        <v>0</v>
      </c>
      <c r="M196">
        <v>0</v>
      </c>
    </row>
    <row r="197" spans="1:13">
      <c r="A197">
        <v>1</v>
      </c>
      <c r="B197" t="s">
        <v>204</v>
      </c>
      <c r="C197">
        <v>7</v>
      </c>
      <c r="D197">
        <v>16</v>
      </c>
      <c r="E197">
        <v>0</v>
      </c>
      <c r="F197" t="s">
        <v>201</v>
      </c>
      <c r="G197">
        <v>0</v>
      </c>
      <c r="H197">
        <v>22804.69</v>
      </c>
      <c r="I197">
        <v>-5238.68</v>
      </c>
      <c r="J197">
        <v>33004.160000000003</v>
      </c>
      <c r="K197">
        <v>0</v>
      </c>
      <c r="L197">
        <v>0</v>
      </c>
      <c r="M197">
        <v>0</v>
      </c>
    </row>
    <row r="198" spans="1:13">
      <c r="A198">
        <v>1</v>
      </c>
      <c r="B198" t="s">
        <v>204</v>
      </c>
      <c r="C198">
        <v>7</v>
      </c>
      <c r="D198">
        <v>16</v>
      </c>
      <c r="E198">
        <v>0</v>
      </c>
      <c r="F198">
        <v>1</v>
      </c>
      <c r="G198">
        <v>0.875</v>
      </c>
      <c r="H198">
        <v>17981.349999999999</v>
      </c>
      <c r="I198">
        <v>-5786.1</v>
      </c>
      <c r="J198">
        <v>33004.160000000003</v>
      </c>
      <c r="K198">
        <v>0</v>
      </c>
      <c r="L198">
        <v>0</v>
      </c>
      <c r="M198">
        <v>0</v>
      </c>
    </row>
    <row r="199" spans="1:13">
      <c r="A199">
        <v>1</v>
      </c>
      <c r="B199" t="s">
        <v>204</v>
      </c>
      <c r="C199">
        <v>7</v>
      </c>
      <c r="D199">
        <v>16</v>
      </c>
      <c r="E199">
        <v>0</v>
      </c>
      <c r="F199">
        <v>2</v>
      </c>
      <c r="G199">
        <v>2.96</v>
      </c>
      <c r="H199">
        <v>4557.46</v>
      </c>
      <c r="I199">
        <v>-7090.53</v>
      </c>
      <c r="J199">
        <v>33004.160000000003</v>
      </c>
      <c r="K199">
        <v>0</v>
      </c>
      <c r="L199">
        <v>0</v>
      </c>
      <c r="M199">
        <v>0</v>
      </c>
    </row>
    <row r="200" spans="1:13">
      <c r="A200">
        <v>1</v>
      </c>
      <c r="B200" t="s">
        <v>204</v>
      </c>
      <c r="C200">
        <v>7</v>
      </c>
      <c r="D200">
        <v>16</v>
      </c>
      <c r="E200">
        <v>0</v>
      </c>
      <c r="F200">
        <v>3</v>
      </c>
      <c r="G200">
        <v>5.0449999999999999</v>
      </c>
      <c r="H200">
        <v>-11586.16</v>
      </c>
      <c r="I200">
        <v>-8394.9599999999991</v>
      </c>
      <c r="J200">
        <v>33004.160000000003</v>
      </c>
      <c r="K200">
        <v>0</v>
      </c>
      <c r="L200">
        <v>0</v>
      </c>
      <c r="M200">
        <v>0</v>
      </c>
    </row>
    <row r="201" spans="1:13">
      <c r="A201">
        <v>1</v>
      </c>
      <c r="B201" t="s">
        <v>204</v>
      </c>
      <c r="C201">
        <v>7</v>
      </c>
      <c r="D201">
        <v>16</v>
      </c>
      <c r="E201">
        <v>0</v>
      </c>
      <c r="F201" t="s">
        <v>202</v>
      </c>
      <c r="G201">
        <v>5.92</v>
      </c>
      <c r="H201">
        <v>-19171.25</v>
      </c>
      <c r="I201">
        <v>-8942.3799999999992</v>
      </c>
      <c r="J201">
        <v>33004.160000000003</v>
      </c>
      <c r="K201">
        <v>0</v>
      </c>
      <c r="L201">
        <v>0</v>
      </c>
      <c r="M201">
        <v>0</v>
      </c>
    </row>
    <row r="202" spans="1:13">
      <c r="A202">
        <v>1</v>
      </c>
      <c r="B202" t="s">
        <v>204</v>
      </c>
      <c r="C202">
        <v>8</v>
      </c>
      <c r="D202">
        <v>16</v>
      </c>
      <c r="E202">
        <v>0</v>
      </c>
      <c r="F202" t="s">
        <v>201</v>
      </c>
      <c r="G202">
        <v>0</v>
      </c>
      <c r="H202">
        <v>-19171.25</v>
      </c>
      <c r="I202">
        <v>-8942.3799999999992</v>
      </c>
      <c r="J202">
        <v>33004.160000000003</v>
      </c>
      <c r="K202">
        <v>0</v>
      </c>
      <c r="L202">
        <v>0</v>
      </c>
      <c r="M202">
        <v>0</v>
      </c>
    </row>
    <row r="203" spans="1:13">
      <c r="A203">
        <v>1</v>
      </c>
      <c r="B203" t="s">
        <v>204</v>
      </c>
      <c r="C203">
        <v>8</v>
      </c>
      <c r="D203">
        <v>16</v>
      </c>
      <c r="E203">
        <v>0</v>
      </c>
      <c r="F203" t="s">
        <v>202</v>
      </c>
      <c r="G203">
        <v>0.27500000000000002</v>
      </c>
      <c r="H203">
        <v>-21654.06</v>
      </c>
      <c r="I203">
        <v>-9114.43</v>
      </c>
      <c r="J203">
        <v>33004.160000000003</v>
      </c>
      <c r="K203">
        <v>0</v>
      </c>
      <c r="L203">
        <v>0</v>
      </c>
      <c r="M203">
        <v>0</v>
      </c>
    </row>
    <row r="204" spans="1:13">
      <c r="A204">
        <v>1</v>
      </c>
      <c r="B204" t="s">
        <v>204</v>
      </c>
      <c r="C204">
        <v>9</v>
      </c>
      <c r="D204">
        <v>15</v>
      </c>
      <c r="E204">
        <v>0</v>
      </c>
      <c r="F204" t="s">
        <v>201</v>
      </c>
      <c r="G204">
        <v>0</v>
      </c>
      <c r="H204">
        <v>7749.63</v>
      </c>
      <c r="I204">
        <v>18395.439999999999</v>
      </c>
      <c r="J204">
        <v>40110.93</v>
      </c>
      <c r="K204">
        <v>0</v>
      </c>
      <c r="L204">
        <v>0</v>
      </c>
      <c r="M204">
        <v>0</v>
      </c>
    </row>
    <row r="205" spans="1:13">
      <c r="A205">
        <v>1</v>
      </c>
      <c r="B205" t="s">
        <v>204</v>
      </c>
      <c r="C205">
        <v>9</v>
      </c>
      <c r="D205">
        <v>15</v>
      </c>
      <c r="E205">
        <v>0</v>
      </c>
      <c r="F205" t="s">
        <v>202</v>
      </c>
      <c r="G205">
        <v>0.27500000000000002</v>
      </c>
      <c r="H205">
        <v>8923.49</v>
      </c>
      <c r="I205">
        <v>-1481.43</v>
      </c>
      <c r="J205">
        <v>40110.93</v>
      </c>
      <c r="K205">
        <v>0</v>
      </c>
      <c r="L205">
        <v>0</v>
      </c>
      <c r="M205">
        <v>0</v>
      </c>
    </row>
    <row r="206" spans="1:13">
      <c r="A206">
        <v>1</v>
      </c>
      <c r="B206" t="s">
        <v>204</v>
      </c>
      <c r="C206">
        <v>10</v>
      </c>
      <c r="D206">
        <v>15</v>
      </c>
      <c r="E206">
        <v>0</v>
      </c>
      <c r="F206" t="s">
        <v>201</v>
      </c>
      <c r="G206">
        <v>0</v>
      </c>
      <c r="H206">
        <v>8923.49</v>
      </c>
      <c r="I206">
        <v>-1481.43</v>
      </c>
      <c r="J206">
        <v>40110.93</v>
      </c>
      <c r="K206">
        <v>0</v>
      </c>
      <c r="L206">
        <v>0</v>
      </c>
      <c r="M206">
        <v>0</v>
      </c>
    </row>
    <row r="207" spans="1:13">
      <c r="A207">
        <v>1</v>
      </c>
      <c r="B207" t="s">
        <v>204</v>
      </c>
      <c r="C207">
        <v>10</v>
      </c>
      <c r="D207">
        <v>15</v>
      </c>
      <c r="E207">
        <v>0</v>
      </c>
      <c r="F207">
        <v>1</v>
      </c>
      <c r="G207">
        <v>0.875</v>
      </c>
      <c r="H207">
        <v>7387.74</v>
      </c>
      <c r="I207">
        <v>-2028.85</v>
      </c>
      <c r="J207">
        <v>40110.93</v>
      </c>
      <c r="K207">
        <v>0</v>
      </c>
      <c r="L207">
        <v>0</v>
      </c>
      <c r="M207">
        <v>0</v>
      </c>
    </row>
    <row r="208" spans="1:13">
      <c r="A208">
        <v>1</v>
      </c>
      <c r="B208" t="s">
        <v>204</v>
      </c>
      <c r="C208">
        <v>10</v>
      </c>
      <c r="D208">
        <v>15</v>
      </c>
      <c r="E208">
        <v>0</v>
      </c>
      <c r="F208">
        <v>2</v>
      </c>
      <c r="G208">
        <v>2.96</v>
      </c>
      <c r="H208">
        <v>1797.71</v>
      </c>
      <c r="I208">
        <v>-3333.28</v>
      </c>
      <c r="J208">
        <v>40110.93</v>
      </c>
      <c r="K208">
        <v>0</v>
      </c>
      <c r="L208">
        <v>0</v>
      </c>
      <c r="M208">
        <v>0</v>
      </c>
    </row>
    <row r="209" spans="1:13">
      <c r="A209">
        <v>1</v>
      </c>
      <c r="B209" t="s">
        <v>204</v>
      </c>
      <c r="C209">
        <v>10</v>
      </c>
      <c r="D209">
        <v>15</v>
      </c>
      <c r="E209">
        <v>0</v>
      </c>
      <c r="F209">
        <v>3</v>
      </c>
      <c r="G209">
        <v>5.0449999999999999</v>
      </c>
      <c r="H209">
        <v>-6512.05</v>
      </c>
      <c r="I209">
        <v>-4637.71</v>
      </c>
      <c r="J209">
        <v>40110.93</v>
      </c>
      <c r="K209">
        <v>0</v>
      </c>
      <c r="L209">
        <v>0</v>
      </c>
      <c r="M209">
        <v>0</v>
      </c>
    </row>
    <row r="210" spans="1:13">
      <c r="A210">
        <v>1</v>
      </c>
      <c r="B210" t="s">
        <v>204</v>
      </c>
      <c r="C210">
        <v>10</v>
      </c>
      <c r="D210">
        <v>15</v>
      </c>
      <c r="E210">
        <v>0</v>
      </c>
      <c r="F210" t="s">
        <v>202</v>
      </c>
      <c r="G210">
        <v>5.92</v>
      </c>
      <c r="H210">
        <v>-10809.54</v>
      </c>
      <c r="I210">
        <v>-5185.13</v>
      </c>
      <c r="J210">
        <v>40110.93</v>
      </c>
      <c r="K210">
        <v>0</v>
      </c>
      <c r="L210">
        <v>0</v>
      </c>
      <c r="M210">
        <v>0</v>
      </c>
    </row>
    <row r="211" spans="1:13">
      <c r="A211">
        <v>1</v>
      </c>
      <c r="B211" t="s">
        <v>204</v>
      </c>
      <c r="C211">
        <v>11</v>
      </c>
      <c r="D211">
        <v>15</v>
      </c>
      <c r="E211">
        <v>0</v>
      </c>
      <c r="F211" t="s">
        <v>201</v>
      </c>
      <c r="G211">
        <v>0</v>
      </c>
      <c r="H211">
        <v>-10809.54</v>
      </c>
      <c r="I211">
        <v>-5185.13</v>
      </c>
      <c r="J211">
        <v>40110.93</v>
      </c>
      <c r="K211">
        <v>0</v>
      </c>
      <c r="L211">
        <v>0</v>
      </c>
      <c r="M211">
        <v>0</v>
      </c>
    </row>
    <row r="212" spans="1:13">
      <c r="A212">
        <v>1</v>
      </c>
      <c r="B212" t="s">
        <v>204</v>
      </c>
      <c r="C212">
        <v>11</v>
      </c>
      <c r="D212">
        <v>15</v>
      </c>
      <c r="E212">
        <v>0</v>
      </c>
      <c r="F212" t="s">
        <v>202</v>
      </c>
      <c r="G212">
        <v>0.27500000000000002</v>
      </c>
      <c r="H212">
        <v>-12259.11</v>
      </c>
      <c r="I212">
        <v>-5357.18</v>
      </c>
      <c r="J212">
        <v>40110.93</v>
      </c>
      <c r="K212">
        <v>0</v>
      </c>
      <c r="L212">
        <v>0</v>
      </c>
      <c r="M212">
        <v>0</v>
      </c>
    </row>
    <row r="213" spans="1:13">
      <c r="A213">
        <v>1</v>
      </c>
      <c r="B213" t="s">
        <v>204</v>
      </c>
      <c r="C213">
        <v>12</v>
      </c>
      <c r="D213">
        <v>15</v>
      </c>
      <c r="E213">
        <v>0</v>
      </c>
      <c r="F213" t="s">
        <v>201</v>
      </c>
      <c r="G213">
        <v>0</v>
      </c>
      <c r="H213">
        <v>-15175.27</v>
      </c>
      <c r="I213">
        <v>6422.57</v>
      </c>
      <c r="J213">
        <v>39419.46</v>
      </c>
      <c r="K213">
        <v>0</v>
      </c>
      <c r="L213">
        <v>0</v>
      </c>
      <c r="M213">
        <v>0</v>
      </c>
    </row>
    <row r="214" spans="1:13">
      <c r="A214">
        <v>1</v>
      </c>
      <c r="B214" t="s">
        <v>204</v>
      </c>
      <c r="C214">
        <v>12</v>
      </c>
      <c r="D214">
        <v>15</v>
      </c>
      <c r="E214">
        <v>0</v>
      </c>
      <c r="F214" t="s">
        <v>202</v>
      </c>
      <c r="G214">
        <v>0.27500000000000002</v>
      </c>
      <c r="H214">
        <v>-13432.72</v>
      </c>
      <c r="I214">
        <v>6250.52</v>
      </c>
      <c r="J214">
        <v>39419.46</v>
      </c>
      <c r="K214">
        <v>0</v>
      </c>
      <c r="L214">
        <v>0</v>
      </c>
      <c r="M214">
        <v>0</v>
      </c>
    </row>
    <row r="215" spans="1:13">
      <c r="A215">
        <v>1</v>
      </c>
      <c r="B215" t="s">
        <v>204</v>
      </c>
      <c r="C215">
        <v>13</v>
      </c>
      <c r="D215">
        <v>15</v>
      </c>
      <c r="E215">
        <v>0</v>
      </c>
      <c r="F215" t="s">
        <v>201</v>
      </c>
      <c r="G215">
        <v>0</v>
      </c>
      <c r="H215">
        <v>-13432.72</v>
      </c>
      <c r="I215">
        <v>6250.52</v>
      </c>
      <c r="J215">
        <v>39419.46</v>
      </c>
      <c r="K215">
        <v>0</v>
      </c>
      <c r="L215">
        <v>0</v>
      </c>
      <c r="M215">
        <v>0</v>
      </c>
    </row>
    <row r="216" spans="1:13">
      <c r="A216">
        <v>1</v>
      </c>
      <c r="B216" t="s">
        <v>204</v>
      </c>
      <c r="C216">
        <v>13</v>
      </c>
      <c r="D216">
        <v>15</v>
      </c>
      <c r="E216">
        <v>0</v>
      </c>
      <c r="F216">
        <v>1</v>
      </c>
      <c r="G216">
        <v>0.875</v>
      </c>
      <c r="H216">
        <v>-8203.01</v>
      </c>
      <c r="I216">
        <v>5703.1</v>
      </c>
      <c r="J216">
        <v>39419.46</v>
      </c>
      <c r="K216">
        <v>0</v>
      </c>
      <c r="L216">
        <v>0</v>
      </c>
      <c r="M216">
        <v>0</v>
      </c>
    </row>
    <row r="217" spans="1:13">
      <c r="A217">
        <v>1</v>
      </c>
      <c r="B217" t="s">
        <v>204</v>
      </c>
      <c r="C217">
        <v>13</v>
      </c>
      <c r="D217">
        <v>15</v>
      </c>
      <c r="E217">
        <v>0</v>
      </c>
      <c r="F217">
        <v>2</v>
      </c>
      <c r="G217">
        <v>2.96</v>
      </c>
      <c r="H217">
        <v>2328.08</v>
      </c>
      <c r="I217">
        <v>4398.67</v>
      </c>
      <c r="J217">
        <v>39419.46</v>
      </c>
      <c r="K217">
        <v>0</v>
      </c>
      <c r="L217">
        <v>0</v>
      </c>
      <c r="M217">
        <v>0</v>
      </c>
    </row>
    <row r="218" spans="1:13">
      <c r="A218">
        <v>1</v>
      </c>
      <c r="B218" t="s">
        <v>204</v>
      </c>
      <c r="C218">
        <v>13</v>
      </c>
      <c r="D218">
        <v>15</v>
      </c>
      <c r="E218">
        <v>0</v>
      </c>
      <c r="F218">
        <v>3</v>
      </c>
      <c r="G218">
        <v>5.0449999999999999</v>
      </c>
      <c r="H218">
        <v>10139.44</v>
      </c>
      <c r="I218">
        <v>3094.24</v>
      </c>
      <c r="J218">
        <v>39419.46</v>
      </c>
      <c r="K218">
        <v>0</v>
      </c>
      <c r="L218">
        <v>0</v>
      </c>
      <c r="M218">
        <v>0</v>
      </c>
    </row>
    <row r="219" spans="1:13">
      <c r="A219">
        <v>1</v>
      </c>
      <c r="B219" t="s">
        <v>204</v>
      </c>
      <c r="C219">
        <v>13</v>
      </c>
      <c r="D219">
        <v>15</v>
      </c>
      <c r="E219">
        <v>0</v>
      </c>
      <c r="F219" t="s">
        <v>202</v>
      </c>
      <c r="G219">
        <v>5.92</v>
      </c>
      <c r="H219">
        <v>12607.4</v>
      </c>
      <c r="I219">
        <v>2546.8200000000002</v>
      </c>
      <c r="J219">
        <v>39419.46</v>
      </c>
      <c r="K219">
        <v>0</v>
      </c>
      <c r="L219">
        <v>0</v>
      </c>
      <c r="M219">
        <v>0</v>
      </c>
    </row>
    <row r="220" spans="1:13">
      <c r="A220">
        <v>1</v>
      </c>
      <c r="B220" t="s">
        <v>204</v>
      </c>
      <c r="C220">
        <v>14</v>
      </c>
      <c r="D220">
        <v>15</v>
      </c>
      <c r="E220">
        <v>0</v>
      </c>
      <c r="F220" t="s">
        <v>201</v>
      </c>
      <c r="G220">
        <v>0</v>
      </c>
      <c r="H220">
        <v>12607.4</v>
      </c>
      <c r="I220">
        <v>2546.8200000000002</v>
      </c>
      <c r="J220">
        <v>39419.46</v>
      </c>
      <c r="K220">
        <v>0</v>
      </c>
      <c r="L220">
        <v>0</v>
      </c>
      <c r="M220">
        <v>0</v>
      </c>
    </row>
    <row r="221" spans="1:13">
      <c r="A221">
        <v>1</v>
      </c>
      <c r="B221" t="s">
        <v>204</v>
      </c>
      <c r="C221">
        <v>14</v>
      </c>
      <c r="D221">
        <v>15</v>
      </c>
      <c r="E221">
        <v>0</v>
      </c>
      <c r="F221" t="s">
        <v>202</v>
      </c>
      <c r="G221">
        <v>0.27500000000000002</v>
      </c>
      <c r="H221">
        <v>11742.73</v>
      </c>
      <c r="I221">
        <v>-17282.16</v>
      </c>
      <c r="J221">
        <v>39419.46</v>
      </c>
      <c r="K221">
        <v>0</v>
      </c>
      <c r="L221">
        <v>0</v>
      </c>
      <c r="M221">
        <v>0</v>
      </c>
    </row>
    <row r="222" spans="1:13">
      <c r="A222">
        <v>1</v>
      </c>
      <c r="B222" t="s">
        <v>204</v>
      </c>
      <c r="C222">
        <v>15</v>
      </c>
      <c r="D222">
        <v>18</v>
      </c>
      <c r="E222">
        <v>0</v>
      </c>
      <c r="F222" t="s">
        <v>201</v>
      </c>
      <c r="G222">
        <v>0</v>
      </c>
      <c r="H222">
        <v>-22552.78</v>
      </c>
      <c r="I222">
        <v>9689.98</v>
      </c>
      <c r="J222">
        <v>31132.53</v>
      </c>
      <c r="K222">
        <v>0</v>
      </c>
      <c r="L222">
        <v>0</v>
      </c>
      <c r="M222">
        <v>0</v>
      </c>
    </row>
    <row r="223" spans="1:13">
      <c r="A223">
        <v>1</v>
      </c>
      <c r="B223" t="s">
        <v>204</v>
      </c>
      <c r="C223">
        <v>15</v>
      </c>
      <c r="D223">
        <v>18</v>
      </c>
      <c r="E223">
        <v>0</v>
      </c>
      <c r="F223" t="s">
        <v>202</v>
      </c>
      <c r="G223">
        <v>0.27500000000000002</v>
      </c>
      <c r="H223">
        <v>-19911.689999999999</v>
      </c>
      <c r="I223">
        <v>9517.94</v>
      </c>
      <c r="J223">
        <v>31132.53</v>
      </c>
      <c r="K223">
        <v>0</v>
      </c>
      <c r="L223">
        <v>0</v>
      </c>
      <c r="M223">
        <v>0</v>
      </c>
    </row>
    <row r="224" spans="1:13">
      <c r="A224">
        <v>1</v>
      </c>
      <c r="B224" t="s">
        <v>204</v>
      </c>
      <c r="C224">
        <v>16</v>
      </c>
      <c r="D224">
        <v>18</v>
      </c>
      <c r="E224">
        <v>0</v>
      </c>
      <c r="F224" t="s">
        <v>201</v>
      </c>
      <c r="G224">
        <v>0</v>
      </c>
      <c r="H224">
        <v>-19911.689999999999</v>
      </c>
      <c r="I224">
        <v>9517.94</v>
      </c>
      <c r="J224">
        <v>31132.53</v>
      </c>
      <c r="K224">
        <v>0</v>
      </c>
      <c r="L224">
        <v>0</v>
      </c>
      <c r="M224">
        <v>0</v>
      </c>
    </row>
    <row r="225" spans="1:13">
      <c r="A225">
        <v>1</v>
      </c>
      <c r="B225" t="s">
        <v>204</v>
      </c>
      <c r="C225">
        <v>16</v>
      </c>
      <c r="D225">
        <v>18</v>
      </c>
      <c r="E225">
        <v>0</v>
      </c>
      <c r="F225">
        <v>1</v>
      </c>
      <c r="G225">
        <v>0.875</v>
      </c>
      <c r="H225">
        <v>-11822.99</v>
      </c>
      <c r="I225">
        <v>8970.51</v>
      </c>
      <c r="J225">
        <v>31132.53</v>
      </c>
      <c r="K225">
        <v>0</v>
      </c>
      <c r="L225">
        <v>0</v>
      </c>
      <c r="M225">
        <v>0</v>
      </c>
    </row>
    <row r="226" spans="1:13">
      <c r="A226">
        <v>1</v>
      </c>
      <c r="B226" t="s">
        <v>204</v>
      </c>
      <c r="C226">
        <v>16</v>
      </c>
      <c r="D226">
        <v>18</v>
      </c>
      <c r="E226">
        <v>0</v>
      </c>
      <c r="F226">
        <v>2</v>
      </c>
      <c r="G226">
        <v>2.96</v>
      </c>
      <c r="H226">
        <v>5520.66</v>
      </c>
      <c r="I226">
        <v>7666.08</v>
      </c>
      <c r="J226">
        <v>31132.53</v>
      </c>
      <c r="K226">
        <v>0</v>
      </c>
      <c r="L226">
        <v>0</v>
      </c>
      <c r="M226">
        <v>0</v>
      </c>
    </row>
    <row r="227" spans="1:13">
      <c r="A227">
        <v>1</v>
      </c>
      <c r="B227" t="s">
        <v>204</v>
      </c>
      <c r="C227">
        <v>16</v>
      </c>
      <c r="D227">
        <v>18</v>
      </c>
      <c r="E227">
        <v>0</v>
      </c>
      <c r="F227">
        <v>3</v>
      </c>
      <c r="G227">
        <v>5.0449999999999999</v>
      </c>
      <c r="H227">
        <v>20144.580000000002</v>
      </c>
      <c r="I227">
        <v>6361.66</v>
      </c>
      <c r="J227">
        <v>31132.53</v>
      </c>
      <c r="K227">
        <v>0</v>
      </c>
      <c r="L227">
        <v>0</v>
      </c>
      <c r="M227">
        <v>0</v>
      </c>
    </row>
    <row r="228" spans="1:13">
      <c r="A228">
        <v>1</v>
      </c>
      <c r="B228" t="s">
        <v>204</v>
      </c>
      <c r="C228">
        <v>16</v>
      </c>
      <c r="D228">
        <v>18</v>
      </c>
      <c r="E228">
        <v>0</v>
      </c>
      <c r="F228" t="s">
        <v>202</v>
      </c>
      <c r="G228">
        <v>5.92</v>
      </c>
      <c r="H228">
        <v>25471.53</v>
      </c>
      <c r="I228">
        <v>5814.23</v>
      </c>
      <c r="J228">
        <v>31132.53</v>
      </c>
      <c r="K228">
        <v>0</v>
      </c>
      <c r="L228">
        <v>0</v>
      </c>
      <c r="M228">
        <v>0</v>
      </c>
    </row>
    <row r="229" spans="1:13">
      <c r="A229">
        <v>1</v>
      </c>
      <c r="B229" t="s">
        <v>204</v>
      </c>
      <c r="C229">
        <v>17</v>
      </c>
      <c r="D229">
        <v>18</v>
      </c>
      <c r="E229">
        <v>0</v>
      </c>
      <c r="F229" t="s">
        <v>201</v>
      </c>
      <c r="G229">
        <v>0</v>
      </c>
      <c r="H229">
        <v>25471.53</v>
      </c>
      <c r="I229">
        <v>5814.23</v>
      </c>
      <c r="J229">
        <v>31132.53</v>
      </c>
      <c r="K229">
        <v>0</v>
      </c>
      <c r="L229">
        <v>0</v>
      </c>
      <c r="M229">
        <v>0</v>
      </c>
    </row>
    <row r="230" spans="1:13">
      <c r="A230">
        <v>1</v>
      </c>
      <c r="B230" t="s">
        <v>204</v>
      </c>
      <c r="C230">
        <v>17</v>
      </c>
      <c r="D230">
        <v>18</v>
      </c>
      <c r="E230">
        <v>0</v>
      </c>
      <c r="F230" t="s">
        <v>202</v>
      </c>
      <c r="G230">
        <v>0.27500000000000002</v>
      </c>
      <c r="H230">
        <v>24854.71</v>
      </c>
      <c r="I230">
        <v>-9833.94</v>
      </c>
      <c r="J230">
        <v>31132.53</v>
      </c>
      <c r="K230">
        <v>0</v>
      </c>
      <c r="L230">
        <v>0</v>
      </c>
      <c r="M230">
        <v>0</v>
      </c>
    </row>
    <row r="231" spans="1:13">
      <c r="A231">
        <v>1</v>
      </c>
      <c r="B231" t="s">
        <v>204</v>
      </c>
      <c r="C231">
        <v>18</v>
      </c>
      <c r="D231">
        <v>16</v>
      </c>
      <c r="E231">
        <v>0</v>
      </c>
      <c r="F231" t="s">
        <v>201</v>
      </c>
      <c r="G231">
        <v>0</v>
      </c>
      <c r="H231">
        <v>-40567.71</v>
      </c>
      <c r="I231">
        <v>16527.61</v>
      </c>
      <c r="J231">
        <v>15334.6</v>
      </c>
      <c r="K231">
        <v>0</v>
      </c>
      <c r="L231">
        <v>0</v>
      </c>
      <c r="M231">
        <v>0</v>
      </c>
    </row>
    <row r="232" spans="1:13">
      <c r="A232">
        <v>1</v>
      </c>
      <c r="B232" t="s">
        <v>204</v>
      </c>
      <c r="C232">
        <v>18</v>
      </c>
      <c r="D232">
        <v>16</v>
      </c>
      <c r="E232">
        <v>0</v>
      </c>
      <c r="F232" t="s">
        <v>202</v>
      </c>
      <c r="G232">
        <v>0.27500000000000002</v>
      </c>
      <c r="H232">
        <v>-36046.28</v>
      </c>
      <c r="I232">
        <v>16355.56</v>
      </c>
      <c r="J232">
        <v>15334.6</v>
      </c>
      <c r="K232">
        <v>0</v>
      </c>
      <c r="L232">
        <v>0</v>
      </c>
      <c r="M232">
        <v>0</v>
      </c>
    </row>
    <row r="233" spans="1:13">
      <c r="A233">
        <v>1</v>
      </c>
      <c r="B233" t="s">
        <v>204</v>
      </c>
      <c r="C233">
        <v>19</v>
      </c>
      <c r="D233">
        <v>16</v>
      </c>
      <c r="E233">
        <v>0</v>
      </c>
      <c r="F233" t="s">
        <v>201</v>
      </c>
      <c r="G233">
        <v>0</v>
      </c>
      <c r="H233">
        <v>-36046.28</v>
      </c>
      <c r="I233">
        <v>16355.56</v>
      </c>
      <c r="J233">
        <v>15334.6</v>
      </c>
      <c r="K233">
        <v>0</v>
      </c>
      <c r="L233">
        <v>0</v>
      </c>
      <c r="M233">
        <v>0</v>
      </c>
    </row>
    <row r="234" spans="1:13">
      <c r="A234">
        <v>1</v>
      </c>
      <c r="B234" t="s">
        <v>204</v>
      </c>
      <c r="C234">
        <v>19</v>
      </c>
      <c r="D234">
        <v>16</v>
      </c>
      <c r="E234">
        <v>0</v>
      </c>
      <c r="F234">
        <v>1</v>
      </c>
      <c r="G234">
        <v>0.875</v>
      </c>
      <c r="H234">
        <v>-21735.16</v>
      </c>
      <c r="I234">
        <v>16355.56</v>
      </c>
      <c r="J234">
        <v>15334.6</v>
      </c>
      <c r="K234">
        <v>0</v>
      </c>
      <c r="L234">
        <v>0</v>
      </c>
      <c r="M234">
        <v>0</v>
      </c>
    </row>
    <row r="235" spans="1:13">
      <c r="A235">
        <v>1</v>
      </c>
      <c r="B235" t="s">
        <v>204</v>
      </c>
      <c r="C235">
        <v>19</v>
      </c>
      <c r="D235">
        <v>16</v>
      </c>
      <c r="E235">
        <v>0</v>
      </c>
      <c r="F235">
        <v>2</v>
      </c>
      <c r="G235">
        <v>2.96</v>
      </c>
      <c r="H235">
        <v>12366.18</v>
      </c>
      <c r="I235">
        <v>16355.56</v>
      </c>
      <c r="J235">
        <v>15334.6</v>
      </c>
      <c r="K235">
        <v>0</v>
      </c>
      <c r="L235">
        <v>0</v>
      </c>
      <c r="M235">
        <v>0</v>
      </c>
    </row>
    <row r="236" spans="1:13">
      <c r="A236">
        <v>1</v>
      </c>
      <c r="B236" t="s">
        <v>204</v>
      </c>
      <c r="C236">
        <v>19</v>
      </c>
      <c r="D236">
        <v>16</v>
      </c>
      <c r="E236">
        <v>0</v>
      </c>
      <c r="F236">
        <v>3</v>
      </c>
      <c r="G236">
        <v>5.0449999999999999</v>
      </c>
      <c r="H236">
        <v>45453.27</v>
      </c>
      <c r="I236">
        <v>11460.07</v>
      </c>
      <c r="J236">
        <v>15334.6</v>
      </c>
      <c r="K236">
        <v>0</v>
      </c>
      <c r="L236">
        <v>0</v>
      </c>
      <c r="M236">
        <v>0</v>
      </c>
    </row>
    <row r="237" spans="1:13">
      <c r="A237">
        <v>1</v>
      </c>
      <c r="B237" t="s">
        <v>204</v>
      </c>
      <c r="C237">
        <v>19</v>
      </c>
      <c r="D237">
        <v>16</v>
      </c>
      <c r="E237">
        <v>0</v>
      </c>
      <c r="F237" t="s">
        <v>202</v>
      </c>
      <c r="G237">
        <v>5.92</v>
      </c>
      <c r="H237">
        <v>55241.33</v>
      </c>
      <c r="I237">
        <v>10912.65</v>
      </c>
      <c r="J237">
        <v>15334.6</v>
      </c>
      <c r="K237">
        <v>0</v>
      </c>
      <c r="L237">
        <v>0</v>
      </c>
      <c r="M237">
        <v>0</v>
      </c>
    </row>
    <row r="238" spans="1:13">
      <c r="A238">
        <v>1</v>
      </c>
      <c r="B238" t="s">
        <v>204</v>
      </c>
      <c r="C238">
        <v>20</v>
      </c>
      <c r="D238">
        <v>16</v>
      </c>
      <c r="E238">
        <v>0</v>
      </c>
      <c r="F238" t="s">
        <v>201</v>
      </c>
      <c r="G238">
        <v>0</v>
      </c>
      <c r="H238">
        <v>55241.33</v>
      </c>
      <c r="I238">
        <v>10912.65</v>
      </c>
      <c r="J238">
        <v>15334.6</v>
      </c>
      <c r="K238">
        <v>0</v>
      </c>
      <c r="L238">
        <v>0</v>
      </c>
      <c r="M238">
        <v>0</v>
      </c>
    </row>
    <row r="239" spans="1:13">
      <c r="A239">
        <v>1</v>
      </c>
      <c r="B239" t="s">
        <v>204</v>
      </c>
      <c r="C239">
        <v>20</v>
      </c>
      <c r="D239">
        <v>16</v>
      </c>
      <c r="E239">
        <v>0</v>
      </c>
      <c r="F239" t="s">
        <v>202</v>
      </c>
      <c r="G239">
        <v>0.27500000000000002</v>
      </c>
      <c r="H239">
        <v>58218.66</v>
      </c>
      <c r="I239">
        <v>10740.61</v>
      </c>
      <c r="J239">
        <v>15334.6</v>
      </c>
      <c r="K239">
        <v>0</v>
      </c>
      <c r="L239">
        <v>0</v>
      </c>
      <c r="M239">
        <v>0</v>
      </c>
    </row>
    <row r="240" spans="1:13">
      <c r="A240">
        <v>1</v>
      </c>
      <c r="B240" t="s">
        <v>204</v>
      </c>
      <c r="C240">
        <v>21</v>
      </c>
      <c r="D240">
        <v>22</v>
      </c>
      <c r="E240">
        <v>22</v>
      </c>
      <c r="F240" t="s">
        <v>201</v>
      </c>
      <c r="G240">
        <v>0</v>
      </c>
      <c r="H240">
        <v>-3691.15</v>
      </c>
      <c r="I240">
        <v>21836.57</v>
      </c>
      <c r="J240">
        <v>0</v>
      </c>
      <c r="K240">
        <v>-3715.62</v>
      </c>
      <c r="L240">
        <v>22029.24</v>
      </c>
      <c r="M240">
        <v>0</v>
      </c>
    </row>
    <row r="241" spans="1:13">
      <c r="A241">
        <v>1</v>
      </c>
      <c r="B241" t="s">
        <v>204</v>
      </c>
      <c r="C241">
        <v>21</v>
      </c>
      <c r="D241">
        <v>1</v>
      </c>
      <c r="E241">
        <v>1</v>
      </c>
      <c r="F241" t="s">
        <v>202</v>
      </c>
      <c r="G241">
        <v>0.27500000000000002</v>
      </c>
      <c r="H241">
        <v>-766.15</v>
      </c>
      <c r="I241">
        <v>979.1</v>
      </c>
      <c r="J241">
        <v>0</v>
      </c>
      <c r="K241">
        <v>-766.15</v>
      </c>
      <c r="L241">
        <v>979.1</v>
      </c>
      <c r="M241">
        <v>0</v>
      </c>
    </row>
    <row r="242" spans="1:13">
      <c r="A242">
        <v>1</v>
      </c>
      <c r="B242" t="s">
        <v>204</v>
      </c>
      <c r="C242">
        <v>22</v>
      </c>
      <c r="D242">
        <v>9</v>
      </c>
      <c r="E242">
        <v>0</v>
      </c>
      <c r="F242" t="s">
        <v>201</v>
      </c>
      <c r="G242">
        <v>0</v>
      </c>
      <c r="H242">
        <v>-766.15</v>
      </c>
      <c r="I242">
        <v>979.1</v>
      </c>
      <c r="J242">
        <v>0</v>
      </c>
      <c r="K242">
        <v>0</v>
      </c>
      <c r="L242">
        <v>0</v>
      </c>
      <c r="M242">
        <v>0</v>
      </c>
    </row>
    <row r="243" spans="1:13">
      <c r="A243">
        <v>1</v>
      </c>
      <c r="B243" t="s">
        <v>204</v>
      </c>
      <c r="C243">
        <v>22</v>
      </c>
      <c r="D243">
        <v>9</v>
      </c>
      <c r="E243">
        <v>0</v>
      </c>
      <c r="F243" t="s">
        <v>202</v>
      </c>
      <c r="G243">
        <v>1.5649999999999999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</row>
    <row r="244" spans="1:13">
      <c r="A244">
        <v>1</v>
      </c>
      <c r="B244" t="s">
        <v>204</v>
      </c>
      <c r="C244">
        <v>23</v>
      </c>
      <c r="D244">
        <v>0</v>
      </c>
      <c r="E244">
        <v>16</v>
      </c>
      <c r="F244" t="s">
        <v>201</v>
      </c>
      <c r="G244">
        <v>0</v>
      </c>
      <c r="H244">
        <v>0</v>
      </c>
      <c r="I244">
        <v>0</v>
      </c>
      <c r="J244">
        <v>0</v>
      </c>
      <c r="K244">
        <v>-15198.74</v>
      </c>
      <c r="L244">
        <v>3690.25</v>
      </c>
      <c r="M244">
        <v>-24845.200000000001</v>
      </c>
    </row>
    <row r="245" spans="1:13">
      <c r="A245">
        <v>1</v>
      </c>
      <c r="B245" t="s">
        <v>204</v>
      </c>
      <c r="C245">
        <v>23</v>
      </c>
      <c r="D245">
        <v>0</v>
      </c>
      <c r="E245">
        <v>16</v>
      </c>
      <c r="F245" t="s">
        <v>202</v>
      </c>
      <c r="G245">
        <v>1.175</v>
      </c>
      <c r="H245">
        <v>0</v>
      </c>
      <c r="I245">
        <v>0</v>
      </c>
      <c r="J245">
        <v>0</v>
      </c>
      <c r="K245">
        <v>-10862.7</v>
      </c>
      <c r="L245">
        <v>3690.25</v>
      </c>
      <c r="M245">
        <v>-24845.200000000001</v>
      </c>
    </row>
    <row r="246" spans="1:13">
      <c r="A246">
        <v>1</v>
      </c>
      <c r="B246" t="s">
        <v>204</v>
      </c>
      <c r="C246">
        <v>24</v>
      </c>
      <c r="D246">
        <v>0</v>
      </c>
      <c r="E246">
        <v>16</v>
      </c>
      <c r="F246" t="s">
        <v>201</v>
      </c>
      <c r="G246">
        <v>0</v>
      </c>
      <c r="H246">
        <v>0</v>
      </c>
      <c r="I246">
        <v>0</v>
      </c>
      <c r="J246">
        <v>0</v>
      </c>
      <c r="K246">
        <v>-61366.74</v>
      </c>
      <c r="L246">
        <v>14549.06</v>
      </c>
      <c r="M246">
        <v>-30349.81</v>
      </c>
    </row>
    <row r="247" spans="1:13">
      <c r="A247">
        <v>1</v>
      </c>
      <c r="B247" t="s">
        <v>204</v>
      </c>
      <c r="C247">
        <v>24</v>
      </c>
      <c r="D247">
        <v>0</v>
      </c>
      <c r="E247">
        <v>16</v>
      </c>
      <c r="F247" t="s">
        <v>202</v>
      </c>
      <c r="G247">
        <v>1.175</v>
      </c>
      <c r="H247">
        <v>0</v>
      </c>
      <c r="I247">
        <v>0</v>
      </c>
      <c r="J247">
        <v>0</v>
      </c>
      <c r="K247">
        <v>-44271.59</v>
      </c>
      <c r="L247">
        <v>14549.06</v>
      </c>
      <c r="M247">
        <v>-30349.81</v>
      </c>
    </row>
    <row r="248" spans="1:13">
      <c r="A248">
        <v>1</v>
      </c>
      <c r="B248" t="s">
        <v>204</v>
      </c>
      <c r="C248">
        <v>25</v>
      </c>
      <c r="D248">
        <v>0</v>
      </c>
      <c r="E248">
        <v>16</v>
      </c>
      <c r="F248" t="s">
        <v>201</v>
      </c>
      <c r="G248">
        <v>0</v>
      </c>
      <c r="H248">
        <v>0</v>
      </c>
      <c r="I248">
        <v>0</v>
      </c>
      <c r="J248">
        <v>0</v>
      </c>
      <c r="K248">
        <v>-29477.58</v>
      </c>
      <c r="L248">
        <v>6939.91</v>
      </c>
      <c r="M248">
        <v>-28099.46</v>
      </c>
    </row>
    <row r="249" spans="1:13">
      <c r="A249">
        <v>1</v>
      </c>
      <c r="B249" t="s">
        <v>204</v>
      </c>
      <c r="C249">
        <v>25</v>
      </c>
      <c r="D249">
        <v>0</v>
      </c>
      <c r="E249">
        <v>16</v>
      </c>
      <c r="F249" t="s">
        <v>202</v>
      </c>
      <c r="G249">
        <v>1.175</v>
      </c>
      <c r="H249">
        <v>0</v>
      </c>
      <c r="I249">
        <v>0</v>
      </c>
      <c r="J249">
        <v>0</v>
      </c>
      <c r="K249">
        <v>-21323.18</v>
      </c>
      <c r="L249">
        <v>6939.91</v>
      </c>
      <c r="M249">
        <v>-28099.46</v>
      </c>
    </row>
    <row r="250" spans="1:13">
      <c r="A250">
        <v>1</v>
      </c>
      <c r="B250" t="s">
        <v>204</v>
      </c>
      <c r="C250">
        <v>26</v>
      </c>
      <c r="D250">
        <v>0</v>
      </c>
      <c r="E250">
        <v>16</v>
      </c>
      <c r="F250" t="s">
        <v>201</v>
      </c>
      <c r="G250">
        <v>0</v>
      </c>
      <c r="H250">
        <v>0</v>
      </c>
      <c r="I250">
        <v>0</v>
      </c>
      <c r="J250">
        <v>0</v>
      </c>
      <c r="K250">
        <v>2176.33</v>
      </c>
      <c r="L250">
        <v>-517.66</v>
      </c>
      <c r="M250">
        <v>-24178.1</v>
      </c>
    </row>
    <row r="251" spans="1:13">
      <c r="A251">
        <v>1</v>
      </c>
      <c r="B251" t="s">
        <v>204</v>
      </c>
      <c r="C251">
        <v>26</v>
      </c>
      <c r="D251">
        <v>0</v>
      </c>
      <c r="E251">
        <v>16</v>
      </c>
      <c r="F251" t="s">
        <v>202</v>
      </c>
      <c r="G251">
        <v>1.175</v>
      </c>
      <c r="H251">
        <v>0</v>
      </c>
      <c r="I251">
        <v>0</v>
      </c>
      <c r="J251">
        <v>0</v>
      </c>
      <c r="K251">
        <v>1568.08</v>
      </c>
      <c r="L251">
        <v>-517.66</v>
      </c>
      <c r="M251">
        <v>-24178.1</v>
      </c>
    </row>
    <row r="252" spans="1:13">
      <c r="A252">
        <v>1</v>
      </c>
      <c r="B252" t="s">
        <v>204</v>
      </c>
      <c r="C252">
        <v>27</v>
      </c>
      <c r="D252">
        <v>0</v>
      </c>
      <c r="E252">
        <v>18</v>
      </c>
      <c r="F252" t="s">
        <v>201</v>
      </c>
      <c r="G252">
        <v>0</v>
      </c>
      <c r="H252">
        <v>0</v>
      </c>
      <c r="I252">
        <v>0</v>
      </c>
      <c r="J252">
        <v>0</v>
      </c>
      <c r="K252">
        <v>34369.39</v>
      </c>
      <c r="L252">
        <v>-8120.08</v>
      </c>
      <c r="M252">
        <v>-27561.73</v>
      </c>
    </row>
    <row r="253" spans="1:13">
      <c r="A253">
        <v>1</v>
      </c>
      <c r="B253" t="s">
        <v>204</v>
      </c>
      <c r="C253">
        <v>27</v>
      </c>
      <c r="D253">
        <v>0</v>
      </c>
      <c r="E253">
        <v>18</v>
      </c>
      <c r="F253" t="s">
        <v>202</v>
      </c>
      <c r="G253">
        <v>1.175</v>
      </c>
      <c r="H253">
        <v>0</v>
      </c>
      <c r="I253">
        <v>0</v>
      </c>
      <c r="J253">
        <v>0</v>
      </c>
      <c r="K253">
        <v>24828.31</v>
      </c>
      <c r="L253">
        <v>-8120.08</v>
      </c>
      <c r="M253">
        <v>-27561.73</v>
      </c>
    </row>
    <row r="254" spans="1:13">
      <c r="A254">
        <v>1</v>
      </c>
      <c r="B254" t="s">
        <v>204</v>
      </c>
      <c r="C254">
        <v>28</v>
      </c>
      <c r="D254">
        <v>0</v>
      </c>
      <c r="E254">
        <v>18</v>
      </c>
      <c r="F254" t="s">
        <v>201</v>
      </c>
      <c r="G254">
        <v>0</v>
      </c>
      <c r="H254">
        <v>0</v>
      </c>
      <c r="I254">
        <v>0</v>
      </c>
      <c r="J254">
        <v>0</v>
      </c>
      <c r="K254">
        <v>65754.7</v>
      </c>
      <c r="L254">
        <v>-15643.65</v>
      </c>
      <c r="M254">
        <v>-26535.81</v>
      </c>
    </row>
    <row r="255" spans="1:13">
      <c r="A255">
        <v>1</v>
      </c>
      <c r="B255" t="s">
        <v>204</v>
      </c>
      <c r="C255">
        <v>28</v>
      </c>
      <c r="D255">
        <v>0</v>
      </c>
      <c r="E255">
        <v>18</v>
      </c>
      <c r="F255" t="s">
        <v>202</v>
      </c>
      <c r="G255">
        <v>1.175</v>
      </c>
      <c r="H255">
        <v>0</v>
      </c>
      <c r="I255">
        <v>0</v>
      </c>
      <c r="J255">
        <v>0</v>
      </c>
      <c r="K255">
        <v>47373.4</v>
      </c>
      <c r="L255">
        <v>-15643.65</v>
      </c>
      <c r="M255">
        <v>-26535.81</v>
      </c>
    </row>
    <row r="256" spans="1:13">
      <c r="A256">
        <v>1</v>
      </c>
      <c r="B256" t="s">
        <v>204</v>
      </c>
      <c r="C256">
        <v>29</v>
      </c>
      <c r="D256">
        <v>0</v>
      </c>
      <c r="E256">
        <v>18</v>
      </c>
      <c r="F256" t="s">
        <v>201</v>
      </c>
      <c r="G256">
        <v>0</v>
      </c>
      <c r="H256">
        <v>0</v>
      </c>
      <c r="I256">
        <v>0</v>
      </c>
      <c r="J256">
        <v>0</v>
      </c>
      <c r="K256">
        <v>13459.87</v>
      </c>
      <c r="L256">
        <v>-3215.29</v>
      </c>
      <c r="M256">
        <v>-24440.77</v>
      </c>
    </row>
    <row r="257" spans="1:13">
      <c r="A257">
        <v>1</v>
      </c>
      <c r="B257" t="s">
        <v>204</v>
      </c>
      <c r="C257">
        <v>29</v>
      </c>
      <c r="D257">
        <v>0</v>
      </c>
      <c r="E257">
        <v>18</v>
      </c>
      <c r="F257" t="s">
        <v>202</v>
      </c>
      <c r="G257">
        <v>1.175</v>
      </c>
      <c r="H257">
        <v>0</v>
      </c>
      <c r="I257">
        <v>0</v>
      </c>
      <c r="J257">
        <v>0</v>
      </c>
      <c r="K257">
        <v>9681.91</v>
      </c>
      <c r="L257">
        <v>-3215.29</v>
      </c>
      <c r="M257">
        <v>-24440.77</v>
      </c>
    </row>
    <row r="258" spans="1:13">
      <c r="A258">
        <v>1</v>
      </c>
      <c r="B258" t="s">
        <v>204</v>
      </c>
      <c r="C258">
        <v>30</v>
      </c>
      <c r="D258">
        <v>0</v>
      </c>
      <c r="E258">
        <v>16</v>
      </c>
      <c r="F258" t="s">
        <v>201</v>
      </c>
      <c r="G258">
        <v>0</v>
      </c>
      <c r="H258">
        <v>0</v>
      </c>
      <c r="I258">
        <v>0</v>
      </c>
      <c r="J258">
        <v>0</v>
      </c>
      <c r="K258">
        <v>-10862.7</v>
      </c>
      <c r="L258">
        <v>3690.25</v>
      </c>
      <c r="M258">
        <v>-24845.200000000001</v>
      </c>
    </row>
    <row r="259" spans="1:13">
      <c r="A259">
        <v>1</v>
      </c>
      <c r="B259" t="s">
        <v>204</v>
      </c>
      <c r="C259">
        <v>30</v>
      </c>
      <c r="D259">
        <v>0</v>
      </c>
      <c r="E259">
        <v>16</v>
      </c>
      <c r="F259" t="s">
        <v>202</v>
      </c>
      <c r="G259">
        <v>6.1749999999999998</v>
      </c>
      <c r="H259">
        <v>0</v>
      </c>
      <c r="I259">
        <v>0</v>
      </c>
      <c r="J259">
        <v>0</v>
      </c>
      <c r="K259">
        <v>-8365.57</v>
      </c>
      <c r="L259">
        <v>3690.25</v>
      </c>
      <c r="M259">
        <v>-26474.52</v>
      </c>
    </row>
    <row r="260" spans="1:13">
      <c r="A260">
        <v>1</v>
      </c>
      <c r="B260" t="s">
        <v>204</v>
      </c>
      <c r="C260">
        <v>31</v>
      </c>
      <c r="D260">
        <v>0</v>
      </c>
      <c r="E260">
        <v>16</v>
      </c>
      <c r="F260" t="s">
        <v>201</v>
      </c>
      <c r="G260">
        <v>0</v>
      </c>
      <c r="H260">
        <v>0</v>
      </c>
      <c r="I260">
        <v>0</v>
      </c>
      <c r="J260">
        <v>0</v>
      </c>
      <c r="K260">
        <v>11114.22</v>
      </c>
      <c r="L260">
        <v>3794.32</v>
      </c>
      <c r="M260">
        <v>-21724.61</v>
      </c>
    </row>
    <row r="261" spans="1:13">
      <c r="A261">
        <v>1</v>
      </c>
      <c r="B261" t="s">
        <v>204</v>
      </c>
      <c r="C261">
        <v>31</v>
      </c>
      <c r="D261">
        <v>0</v>
      </c>
      <c r="E261">
        <v>16</v>
      </c>
      <c r="F261" t="s">
        <v>202</v>
      </c>
      <c r="G261">
        <v>6.1749999999999998</v>
      </c>
      <c r="H261">
        <v>0</v>
      </c>
      <c r="I261">
        <v>0</v>
      </c>
      <c r="J261">
        <v>0</v>
      </c>
      <c r="K261">
        <v>-43215.14</v>
      </c>
      <c r="L261">
        <v>14549.06</v>
      </c>
      <c r="M261">
        <v>-31979.13</v>
      </c>
    </row>
    <row r="262" spans="1:13">
      <c r="A262">
        <v>1</v>
      </c>
      <c r="B262" t="s">
        <v>204</v>
      </c>
      <c r="C262">
        <v>32</v>
      </c>
      <c r="D262">
        <v>0</v>
      </c>
      <c r="E262">
        <v>16</v>
      </c>
      <c r="F262" t="s">
        <v>201</v>
      </c>
      <c r="G262">
        <v>0</v>
      </c>
      <c r="H262">
        <v>0</v>
      </c>
      <c r="I262">
        <v>0</v>
      </c>
      <c r="J262">
        <v>0</v>
      </c>
      <c r="K262">
        <v>-35584.019999999997</v>
      </c>
      <c r="L262">
        <v>14441.56</v>
      </c>
      <c r="M262">
        <v>-28436.959999999999</v>
      </c>
    </row>
    <row r="263" spans="1:13">
      <c r="A263">
        <v>1</v>
      </c>
      <c r="B263" t="s">
        <v>204</v>
      </c>
      <c r="C263">
        <v>32</v>
      </c>
      <c r="D263">
        <v>0</v>
      </c>
      <c r="E263">
        <v>16</v>
      </c>
      <c r="F263" t="s">
        <v>202</v>
      </c>
      <c r="G263">
        <v>6.1749999999999998</v>
      </c>
      <c r="H263">
        <v>0</v>
      </c>
      <c r="I263">
        <v>0</v>
      </c>
      <c r="J263">
        <v>0</v>
      </c>
      <c r="K263">
        <v>45325.31</v>
      </c>
      <c r="L263">
        <v>14441.56</v>
      </c>
      <c r="M263">
        <v>-30066.28</v>
      </c>
    </row>
    <row r="264" spans="1:13">
      <c r="A264">
        <v>1</v>
      </c>
      <c r="B264" t="s">
        <v>204</v>
      </c>
      <c r="C264">
        <v>33</v>
      </c>
      <c r="D264">
        <v>0</v>
      </c>
      <c r="E264">
        <v>16</v>
      </c>
      <c r="F264" t="s">
        <v>201</v>
      </c>
      <c r="G264">
        <v>0</v>
      </c>
      <c r="H264">
        <v>0</v>
      </c>
      <c r="I264">
        <v>0</v>
      </c>
      <c r="J264">
        <v>0</v>
      </c>
      <c r="K264">
        <v>-21076.74</v>
      </c>
      <c r="L264">
        <v>6878.34</v>
      </c>
      <c r="M264">
        <v>-27272.880000000001</v>
      </c>
    </row>
    <row r="265" spans="1:13">
      <c r="A265">
        <v>1</v>
      </c>
      <c r="B265" t="s">
        <v>204</v>
      </c>
      <c r="C265">
        <v>33</v>
      </c>
      <c r="D265">
        <v>0</v>
      </c>
      <c r="E265">
        <v>16</v>
      </c>
      <c r="F265" t="s">
        <v>202</v>
      </c>
      <c r="G265">
        <v>6.1749999999999998</v>
      </c>
      <c r="H265">
        <v>0</v>
      </c>
      <c r="I265">
        <v>0</v>
      </c>
      <c r="J265">
        <v>0</v>
      </c>
      <c r="K265">
        <v>-17110.41</v>
      </c>
      <c r="L265">
        <v>6878.34</v>
      </c>
      <c r="M265">
        <v>-28902.2</v>
      </c>
    </row>
    <row r="266" spans="1:13">
      <c r="A266">
        <v>1</v>
      </c>
      <c r="B266" t="s">
        <v>204</v>
      </c>
      <c r="C266">
        <v>34</v>
      </c>
      <c r="D266">
        <v>0</v>
      </c>
      <c r="E266">
        <v>16</v>
      </c>
      <c r="F266" t="s">
        <v>201</v>
      </c>
      <c r="G266">
        <v>0</v>
      </c>
      <c r="H266">
        <v>0</v>
      </c>
      <c r="I266">
        <v>0</v>
      </c>
      <c r="J266">
        <v>0</v>
      </c>
      <c r="K266">
        <v>21461.45</v>
      </c>
      <c r="L266">
        <v>6861.03</v>
      </c>
      <c r="M266">
        <v>-27836.94</v>
      </c>
    </row>
    <row r="267" spans="1:13">
      <c r="A267">
        <v>1</v>
      </c>
      <c r="B267" t="s">
        <v>204</v>
      </c>
      <c r="C267">
        <v>34</v>
      </c>
      <c r="D267">
        <v>0</v>
      </c>
      <c r="E267">
        <v>16</v>
      </c>
      <c r="F267" t="s">
        <v>202</v>
      </c>
      <c r="G267">
        <v>6.1749999999999998</v>
      </c>
      <c r="H267">
        <v>0</v>
      </c>
      <c r="I267">
        <v>0</v>
      </c>
      <c r="J267">
        <v>0</v>
      </c>
      <c r="K267">
        <v>1550.49</v>
      </c>
      <c r="L267">
        <v>-534.98</v>
      </c>
      <c r="M267">
        <v>-26371.48</v>
      </c>
    </row>
    <row r="268" spans="1:13">
      <c r="A268">
        <v>1</v>
      </c>
      <c r="B268" t="s">
        <v>204</v>
      </c>
      <c r="C268">
        <v>35</v>
      </c>
      <c r="D268">
        <v>0</v>
      </c>
      <c r="E268">
        <v>16</v>
      </c>
      <c r="F268" t="s">
        <v>201</v>
      </c>
      <c r="G268">
        <v>0</v>
      </c>
      <c r="H268">
        <v>0</v>
      </c>
      <c r="I268">
        <v>0</v>
      </c>
      <c r="J268">
        <v>0</v>
      </c>
      <c r="K268">
        <v>1577.01</v>
      </c>
      <c r="L268">
        <v>-592.61</v>
      </c>
      <c r="M268">
        <v>-25454.32</v>
      </c>
    </row>
    <row r="269" spans="1:13">
      <c r="A269">
        <v>1</v>
      </c>
      <c r="B269" t="s">
        <v>204</v>
      </c>
      <c r="C269">
        <v>35</v>
      </c>
      <c r="D269">
        <v>0</v>
      </c>
      <c r="E269">
        <v>16</v>
      </c>
      <c r="F269" t="s">
        <v>202</v>
      </c>
      <c r="G269">
        <v>6.1749999999999998</v>
      </c>
      <c r="H269">
        <v>0</v>
      </c>
      <c r="I269">
        <v>0</v>
      </c>
      <c r="J269">
        <v>0</v>
      </c>
      <c r="K269">
        <v>-1783.52</v>
      </c>
      <c r="L269">
        <v>-592.61</v>
      </c>
      <c r="M269">
        <v>-27083.64</v>
      </c>
    </row>
    <row r="270" spans="1:13">
      <c r="A270">
        <v>1</v>
      </c>
      <c r="B270" t="s">
        <v>204</v>
      </c>
      <c r="C270">
        <v>36</v>
      </c>
      <c r="D270">
        <v>0</v>
      </c>
      <c r="E270">
        <v>18</v>
      </c>
      <c r="F270" t="s">
        <v>201</v>
      </c>
      <c r="G270">
        <v>0</v>
      </c>
      <c r="H270">
        <v>0</v>
      </c>
      <c r="I270">
        <v>0</v>
      </c>
      <c r="J270">
        <v>0</v>
      </c>
      <c r="K270">
        <v>25612.95</v>
      </c>
      <c r="L270">
        <v>-8320.26</v>
      </c>
      <c r="M270">
        <v>-32135.200000000001</v>
      </c>
    </row>
    <row r="271" spans="1:13">
      <c r="A271">
        <v>1</v>
      </c>
      <c r="B271" t="s">
        <v>204</v>
      </c>
      <c r="C271">
        <v>36</v>
      </c>
      <c r="D271">
        <v>0</v>
      </c>
      <c r="E271">
        <v>18</v>
      </c>
      <c r="F271" t="s">
        <v>202</v>
      </c>
      <c r="G271">
        <v>6.1749999999999998</v>
      </c>
      <c r="H271">
        <v>0</v>
      </c>
      <c r="I271">
        <v>0</v>
      </c>
      <c r="J271">
        <v>0</v>
      </c>
      <c r="K271">
        <v>19622.16</v>
      </c>
      <c r="L271">
        <v>-8320.26</v>
      </c>
      <c r="M271">
        <v>-33764.519999999997</v>
      </c>
    </row>
    <row r="272" spans="1:13">
      <c r="A272">
        <v>2</v>
      </c>
      <c r="B272" t="s">
        <v>200</v>
      </c>
      <c r="C272">
        <v>1</v>
      </c>
      <c r="D272">
        <v>1</v>
      </c>
      <c r="E272">
        <v>0</v>
      </c>
      <c r="F272" t="s">
        <v>201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</row>
    <row r="273" spans="1:13">
      <c r="A273">
        <v>2</v>
      </c>
      <c r="B273" t="s">
        <v>200</v>
      </c>
      <c r="C273">
        <v>1</v>
      </c>
      <c r="D273">
        <v>0</v>
      </c>
      <c r="E273">
        <v>1</v>
      </c>
      <c r="F273" t="s">
        <v>202</v>
      </c>
      <c r="G273">
        <v>1.5649999999999999</v>
      </c>
      <c r="H273">
        <v>0</v>
      </c>
      <c r="I273">
        <v>0</v>
      </c>
      <c r="J273">
        <v>0</v>
      </c>
      <c r="K273">
        <v>-696.5</v>
      </c>
      <c r="L273">
        <v>-890.09</v>
      </c>
      <c r="M273">
        <v>0</v>
      </c>
    </row>
    <row r="274" spans="1:13">
      <c r="A274">
        <v>2</v>
      </c>
      <c r="B274" t="s">
        <v>200</v>
      </c>
      <c r="C274">
        <v>2</v>
      </c>
      <c r="D274">
        <v>0</v>
      </c>
      <c r="E274">
        <v>1</v>
      </c>
      <c r="F274" t="s">
        <v>201</v>
      </c>
      <c r="G274">
        <v>0</v>
      </c>
      <c r="H274">
        <v>0</v>
      </c>
      <c r="I274">
        <v>0</v>
      </c>
      <c r="J274">
        <v>0</v>
      </c>
      <c r="K274">
        <v>-696.5</v>
      </c>
      <c r="L274">
        <v>-890.09</v>
      </c>
      <c r="M274">
        <v>0</v>
      </c>
    </row>
    <row r="275" spans="1:13">
      <c r="A275">
        <v>2</v>
      </c>
      <c r="B275" t="s">
        <v>200</v>
      </c>
      <c r="C275">
        <v>2</v>
      </c>
      <c r="D275">
        <v>0</v>
      </c>
      <c r="E275">
        <v>1</v>
      </c>
      <c r="F275" t="s">
        <v>202</v>
      </c>
      <c r="G275">
        <v>0.27500000000000002</v>
      </c>
      <c r="H275">
        <v>0</v>
      </c>
      <c r="I275">
        <v>0</v>
      </c>
      <c r="J275">
        <v>0</v>
      </c>
      <c r="K275">
        <v>-3268.13</v>
      </c>
      <c r="L275">
        <v>-19247.93</v>
      </c>
      <c r="M275">
        <v>0</v>
      </c>
    </row>
    <row r="276" spans="1:13">
      <c r="A276">
        <v>2</v>
      </c>
      <c r="B276" t="s">
        <v>200</v>
      </c>
      <c r="C276">
        <v>3</v>
      </c>
      <c r="D276">
        <v>1</v>
      </c>
      <c r="E276">
        <v>0</v>
      </c>
      <c r="F276" t="s">
        <v>201</v>
      </c>
      <c r="G276">
        <v>0</v>
      </c>
      <c r="H276">
        <v>70816.350000000006</v>
      </c>
      <c r="I276">
        <v>-12357.11</v>
      </c>
      <c r="J276">
        <v>18242.09</v>
      </c>
      <c r="K276">
        <v>0</v>
      </c>
      <c r="L276">
        <v>0</v>
      </c>
      <c r="M276">
        <v>0</v>
      </c>
    </row>
    <row r="277" spans="1:13">
      <c r="A277">
        <v>2</v>
      </c>
      <c r="B277" t="s">
        <v>200</v>
      </c>
      <c r="C277">
        <v>3</v>
      </c>
      <c r="D277">
        <v>1</v>
      </c>
      <c r="E277">
        <v>0</v>
      </c>
      <c r="F277" t="s">
        <v>202</v>
      </c>
      <c r="G277">
        <v>0.27500000000000002</v>
      </c>
      <c r="H277">
        <v>67396.639999999999</v>
      </c>
      <c r="I277">
        <v>-12513.52</v>
      </c>
      <c r="J277">
        <v>18242.09</v>
      </c>
      <c r="K277">
        <v>0</v>
      </c>
      <c r="L277">
        <v>0</v>
      </c>
      <c r="M277">
        <v>0</v>
      </c>
    </row>
    <row r="278" spans="1:13">
      <c r="A278">
        <v>2</v>
      </c>
      <c r="B278" t="s">
        <v>200</v>
      </c>
      <c r="C278">
        <v>4</v>
      </c>
      <c r="D278">
        <v>1</v>
      </c>
      <c r="E278">
        <v>0</v>
      </c>
      <c r="F278" t="s">
        <v>201</v>
      </c>
      <c r="G278">
        <v>0</v>
      </c>
      <c r="H278">
        <v>67396.639999999999</v>
      </c>
      <c r="I278">
        <v>-12513.52</v>
      </c>
      <c r="J278">
        <v>18242.09</v>
      </c>
      <c r="K278">
        <v>0</v>
      </c>
      <c r="L278">
        <v>0</v>
      </c>
      <c r="M278">
        <v>0</v>
      </c>
    </row>
    <row r="279" spans="1:13">
      <c r="A279">
        <v>2</v>
      </c>
      <c r="B279" t="s">
        <v>200</v>
      </c>
      <c r="C279">
        <v>4</v>
      </c>
      <c r="D279">
        <v>1</v>
      </c>
      <c r="E279">
        <v>0</v>
      </c>
      <c r="F279">
        <v>1</v>
      </c>
      <c r="G279">
        <v>0.875</v>
      </c>
      <c r="H279">
        <v>56447.31</v>
      </c>
      <c r="I279">
        <v>-12513.52</v>
      </c>
      <c r="J279">
        <v>18242.09</v>
      </c>
      <c r="K279">
        <v>0</v>
      </c>
      <c r="L279">
        <v>0</v>
      </c>
      <c r="M279">
        <v>0</v>
      </c>
    </row>
    <row r="280" spans="1:13">
      <c r="A280">
        <v>2</v>
      </c>
      <c r="B280" t="s">
        <v>200</v>
      </c>
      <c r="C280">
        <v>4</v>
      </c>
      <c r="D280">
        <v>1</v>
      </c>
      <c r="E280">
        <v>0</v>
      </c>
      <c r="F280">
        <v>2</v>
      </c>
      <c r="G280">
        <v>2.9609999999999999</v>
      </c>
      <c r="H280">
        <v>21801.77</v>
      </c>
      <c r="I280">
        <v>-17600.490000000002</v>
      </c>
      <c r="J280">
        <v>18242.09</v>
      </c>
      <c r="K280">
        <v>0</v>
      </c>
      <c r="L280">
        <v>0</v>
      </c>
      <c r="M280">
        <v>0</v>
      </c>
    </row>
    <row r="281" spans="1:13">
      <c r="A281">
        <v>2</v>
      </c>
      <c r="B281" t="s">
        <v>200</v>
      </c>
      <c r="C281">
        <v>4</v>
      </c>
      <c r="D281">
        <v>0</v>
      </c>
      <c r="E281">
        <v>1</v>
      </c>
      <c r="F281">
        <v>3</v>
      </c>
      <c r="G281">
        <v>5.0460000000000003</v>
      </c>
      <c r="H281">
        <v>0</v>
      </c>
      <c r="I281">
        <v>0</v>
      </c>
      <c r="J281">
        <v>0</v>
      </c>
      <c r="K281">
        <v>-16131.5</v>
      </c>
      <c r="L281">
        <v>-18786.34</v>
      </c>
      <c r="M281">
        <v>18242.09</v>
      </c>
    </row>
    <row r="282" spans="1:13">
      <c r="A282">
        <v>2</v>
      </c>
      <c r="B282" t="s">
        <v>200</v>
      </c>
      <c r="C282">
        <v>4</v>
      </c>
      <c r="D282">
        <v>0</v>
      </c>
      <c r="E282">
        <v>1</v>
      </c>
      <c r="F282" t="s">
        <v>202</v>
      </c>
      <c r="G282">
        <v>5.92</v>
      </c>
      <c r="H282">
        <v>0</v>
      </c>
      <c r="I282">
        <v>0</v>
      </c>
      <c r="J282">
        <v>0</v>
      </c>
      <c r="K282">
        <v>-32767.98</v>
      </c>
      <c r="L282">
        <v>-19283.43</v>
      </c>
      <c r="M282">
        <v>18242.09</v>
      </c>
    </row>
    <row r="283" spans="1:13">
      <c r="A283">
        <v>2</v>
      </c>
      <c r="B283" t="s">
        <v>200</v>
      </c>
      <c r="C283">
        <v>5</v>
      </c>
      <c r="D283">
        <v>0</v>
      </c>
      <c r="E283">
        <v>1</v>
      </c>
      <c r="F283" t="s">
        <v>201</v>
      </c>
      <c r="G283">
        <v>0</v>
      </c>
      <c r="H283">
        <v>0</v>
      </c>
      <c r="I283">
        <v>0</v>
      </c>
      <c r="J283">
        <v>0</v>
      </c>
      <c r="K283">
        <v>-32767.98</v>
      </c>
      <c r="L283">
        <v>-19283.43</v>
      </c>
      <c r="M283">
        <v>18242.09</v>
      </c>
    </row>
    <row r="284" spans="1:13">
      <c r="A284">
        <v>2</v>
      </c>
      <c r="B284" t="s">
        <v>200</v>
      </c>
      <c r="C284">
        <v>5</v>
      </c>
      <c r="D284">
        <v>0</v>
      </c>
      <c r="E284">
        <v>1</v>
      </c>
      <c r="F284" t="s">
        <v>202</v>
      </c>
      <c r="G284">
        <v>0.27500000000000002</v>
      </c>
      <c r="H284">
        <v>0</v>
      </c>
      <c r="I284">
        <v>0</v>
      </c>
      <c r="J284">
        <v>0</v>
      </c>
      <c r="K284">
        <v>-38092.43</v>
      </c>
      <c r="L284">
        <v>-19439.830000000002</v>
      </c>
      <c r="M284">
        <v>18242.09</v>
      </c>
    </row>
    <row r="285" spans="1:13">
      <c r="A285">
        <v>2</v>
      </c>
      <c r="B285" t="s">
        <v>200</v>
      </c>
      <c r="C285">
        <v>6</v>
      </c>
      <c r="D285">
        <v>1</v>
      </c>
      <c r="E285">
        <v>1</v>
      </c>
      <c r="F285" t="s">
        <v>201</v>
      </c>
      <c r="G285">
        <v>0</v>
      </c>
      <c r="H285">
        <v>23867.48</v>
      </c>
      <c r="I285">
        <v>7129.91</v>
      </c>
      <c r="J285">
        <v>32939.14</v>
      </c>
      <c r="K285">
        <v>-689.58</v>
      </c>
      <c r="L285">
        <v>13668.88</v>
      </c>
      <c r="M285">
        <v>6832.68</v>
      </c>
    </row>
    <row r="286" spans="1:13">
      <c r="A286">
        <v>2</v>
      </c>
      <c r="B286" t="s">
        <v>200</v>
      </c>
      <c r="C286">
        <v>6</v>
      </c>
      <c r="D286">
        <v>1</v>
      </c>
      <c r="E286">
        <v>0</v>
      </c>
      <c r="F286" t="s">
        <v>202</v>
      </c>
      <c r="G286">
        <v>0.27500000000000002</v>
      </c>
      <c r="H286">
        <v>24119.3</v>
      </c>
      <c r="I286">
        <v>-5756.84</v>
      </c>
      <c r="J286">
        <v>32939.14</v>
      </c>
      <c r="K286">
        <v>0</v>
      </c>
      <c r="L286">
        <v>0</v>
      </c>
      <c r="M286">
        <v>0</v>
      </c>
    </row>
    <row r="287" spans="1:13">
      <c r="A287">
        <v>2</v>
      </c>
      <c r="B287" t="s">
        <v>200</v>
      </c>
      <c r="C287">
        <v>7</v>
      </c>
      <c r="D287">
        <v>1</v>
      </c>
      <c r="E287">
        <v>0</v>
      </c>
      <c r="F287" t="s">
        <v>201</v>
      </c>
      <c r="G287">
        <v>0</v>
      </c>
      <c r="H287">
        <v>24119.3</v>
      </c>
      <c r="I287">
        <v>-5756.84</v>
      </c>
      <c r="J287">
        <v>32939.14</v>
      </c>
      <c r="K287">
        <v>0</v>
      </c>
      <c r="L287">
        <v>0</v>
      </c>
      <c r="M287">
        <v>0</v>
      </c>
    </row>
    <row r="288" spans="1:13">
      <c r="A288">
        <v>2</v>
      </c>
      <c r="B288" t="s">
        <v>200</v>
      </c>
      <c r="C288">
        <v>7</v>
      </c>
      <c r="D288">
        <v>1</v>
      </c>
      <c r="E288">
        <v>0</v>
      </c>
      <c r="F288">
        <v>1</v>
      </c>
      <c r="G288">
        <v>0.875</v>
      </c>
      <c r="H288">
        <v>18864.34</v>
      </c>
      <c r="I288">
        <v>-6254.5</v>
      </c>
      <c r="J288">
        <v>32939.14</v>
      </c>
      <c r="K288">
        <v>0</v>
      </c>
      <c r="L288">
        <v>0</v>
      </c>
      <c r="M288">
        <v>0</v>
      </c>
    </row>
    <row r="289" spans="1:13">
      <c r="A289">
        <v>2</v>
      </c>
      <c r="B289" t="s">
        <v>200</v>
      </c>
      <c r="C289">
        <v>7</v>
      </c>
      <c r="D289">
        <v>1</v>
      </c>
      <c r="E289">
        <v>0</v>
      </c>
      <c r="F289">
        <v>2</v>
      </c>
      <c r="G289">
        <v>2.96</v>
      </c>
      <c r="H289">
        <v>4587.4799999999996</v>
      </c>
      <c r="I289">
        <v>-7440.34</v>
      </c>
      <c r="J289">
        <v>32939.14</v>
      </c>
      <c r="K289">
        <v>0</v>
      </c>
      <c r="L289">
        <v>0</v>
      </c>
      <c r="M289">
        <v>0</v>
      </c>
    </row>
    <row r="290" spans="1:13">
      <c r="A290">
        <v>2</v>
      </c>
      <c r="B290" t="s">
        <v>200</v>
      </c>
      <c r="C290">
        <v>7</v>
      </c>
      <c r="D290">
        <v>0</v>
      </c>
      <c r="E290">
        <v>1</v>
      </c>
      <c r="F290">
        <v>3</v>
      </c>
      <c r="G290">
        <v>5.0449999999999999</v>
      </c>
      <c r="H290">
        <v>0</v>
      </c>
      <c r="I290">
        <v>0</v>
      </c>
      <c r="J290">
        <v>0</v>
      </c>
      <c r="K290">
        <v>-12161.87</v>
      </c>
      <c r="L290">
        <v>-8626.18</v>
      </c>
      <c r="M290">
        <v>32939.14</v>
      </c>
    </row>
    <row r="291" spans="1:13">
      <c r="A291">
        <v>2</v>
      </c>
      <c r="B291" t="s">
        <v>200</v>
      </c>
      <c r="C291">
        <v>7</v>
      </c>
      <c r="D291">
        <v>0</v>
      </c>
      <c r="E291">
        <v>1</v>
      </c>
      <c r="F291" t="s">
        <v>202</v>
      </c>
      <c r="G291">
        <v>5.92</v>
      </c>
      <c r="H291">
        <v>0</v>
      </c>
      <c r="I291">
        <v>0</v>
      </c>
      <c r="J291">
        <v>0</v>
      </c>
      <c r="K291">
        <v>-19927.5</v>
      </c>
      <c r="L291">
        <v>-9123.84</v>
      </c>
      <c r="M291">
        <v>32939.14</v>
      </c>
    </row>
    <row r="292" spans="1:13">
      <c r="A292">
        <v>2</v>
      </c>
      <c r="B292" t="s">
        <v>200</v>
      </c>
      <c r="C292">
        <v>8</v>
      </c>
      <c r="D292">
        <v>0</v>
      </c>
      <c r="E292">
        <v>1</v>
      </c>
      <c r="F292" t="s">
        <v>201</v>
      </c>
      <c r="G292">
        <v>0</v>
      </c>
      <c r="H292">
        <v>0</v>
      </c>
      <c r="I292">
        <v>0</v>
      </c>
      <c r="J292">
        <v>0</v>
      </c>
      <c r="K292">
        <v>-19927.5</v>
      </c>
      <c r="L292">
        <v>-9123.84</v>
      </c>
      <c r="M292">
        <v>32939.14</v>
      </c>
    </row>
    <row r="293" spans="1:13">
      <c r="A293">
        <v>2</v>
      </c>
      <c r="B293" t="s">
        <v>200</v>
      </c>
      <c r="C293">
        <v>8</v>
      </c>
      <c r="D293">
        <v>0</v>
      </c>
      <c r="E293">
        <v>1</v>
      </c>
      <c r="F293" t="s">
        <v>202</v>
      </c>
      <c r="G293">
        <v>0.27500000000000002</v>
      </c>
      <c r="H293">
        <v>0</v>
      </c>
      <c r="I293">
        <v>0</v>
      </c>
      <c r="J293">
        <v>0</v>
      </c>
      <c r="K293">
        <v>-22458.06</v>
      </c>
      <c r="L293">
        <v>-9280.25</v>
      </c>
      <c r="M293">
        <v>32939.14</v>
      </c>
    </row>
    <row r="294" spans="1:13">
      <c r="A294">
        <v>2</v>
      </c>
      <c r="B294" t="s">
        <v>200</v>
      </c>
      <c r="C294">
        <v>9</v>
      </c>
      <c r="D294">
        <v>1</v>
      </c>
      <c r="E294">
        <v>0</v>
      </c>
      <c r="F294" t="s">
        <v>201</v>
      </c>
      <c r="G294">
        <v>0</v>
      </c>
      <c r="H294">
        <v>7709.89</v>
      </c>
      <c r="I294">
        <v>15158.91</v>
      </c>
      <c r="J294">
        <v>40046.019999999997</v>
      </c>
      <c r="K294">
        <v>0</v>
      </c>
      <c r="L294">
        <v>0</v>
      </c>
      <c r="M294">
        <v>0</v>
      </c>
    </row>
    <row r="295" spans="1:13">
      <c r="A295">
        <v>2</v>
      </c>
      <c r="B295" t="s">
        <v>200</v>
      </c>
      <c r="C295">
        <v>9</v>
      </c>
      <c r="D295">
        <v>1</v>
      </c>
      <c r="E295">
        <v>0</v>
      </c>
      <c r="F295" t="s">
        <v>202</v>
      </c>
      <c r="G295">
        <v>0.27500000000000002</v>
      </c>
      <c r="H295">
        <v>8626.2099999999991</v>
      </c>
      <c r="I295">
        <v>-1469.93</v>
      </c>
      <c r="J295">
        <v>40046.019999999997</v>
      </c>
      <c r="K295">
        <v>0</v>
      </c>
      <c r="L295">
        <v>0</v>
      </c>
      <c r="M295">
        <v>0</v>
      </c>
    </row>
    <row r="296" spans="1:13">
      <c r="A296">
        <v>2</v>
      </c>
      <c r="B296" t="s">
        <v>200</v>
      </c>
      <c r="C296">
        <v>10</v>
      </c>
      <c r="D296">
        <v>1</v>
      </c>
      <c r="E296">
        <v>0</v>
      </c>
      <c r="F296" t="s">
        <v>201</v>
      </c>
      <c r="G296">
        <v>0</v>
      </c>
      <c r="H296">
        <v>8626.2099999999991</v>
      </c>
      <c r="I296">
        <v>-1469.93</v>
      </c>
      <c r="J296">
        <v>40046.019999999997</v>
      </c>
      <c r="K296">
        <v>0</v>
      </c>
      <c r="L296">
        <v>0</v>
      </c>
      <c r="M296">
        <v>0</v>
      </c>
    </row>
    <row r="297" spans="1:13">
      <c r="A297">
        <v>2</v>
      </c>
      <c r="B297" t="s">
        <v>200</v>
      </c>
      <c r="C297">
        <v>10</v>
      </c>
      <c r="D297">
        <v>1</v>
      </c>
      <c r="E297">
        <v>0</v>
      </c>
      <c r="F297">
        <v>1</v>
      </c>
      <c r="G297">
        <v>0.875</v>
      </c>
      <c r="H297">
        <v>7122.3</v>
      </c>
      <c r="I297">
        <v>-1967.59</v>
      </c>
      <c r="J297">
        <v>40046.019999999997</v>
      </c>
      <c r="K297">
        <v>0</v>
      </c>
      <c r="L297">
        <v>0</v>
      </c>
      <c r="M297">
        <v>0</v>
      </c>
    </row>
    <row r="298" spans="1:13">
      <c r="A298">
        <v>2</v>
      </c>
      <c r="B298" t="s">
        <v>200</v>
      </c>
      <c r="C298">
        <v>10</v>
      </c>
      <c r="D298">
        <v>1</v>
      </c>
      <c r="E298">
        <v>0</v>
      </c>
      <c r="F298">
        <v>2</v>
      </c>
      <c r="G298">
        <v>2.96</v>
      </c>
      <c r="H298">
        <v>1783.64</v>
      </c>
      <c r="I298">
        <v>-3153.43</v>
      </c>
      <c r="J298">
        <v>40046.019999999997</v>
      </c>
      <c r="K298">
        <v>0</v>
      </c>
      <c r="L298">
        <v>0</v>
      </c>
      <c r="M298">
        <v>0</v>
      </c>
    </row>
    <row r="299" spans="1:13">
      <c r="A299">
        <v>2</v>
      </c>
      <c r="B299" t="s">
        <v>200</v>
      </c>
      <c r="C299">
        <v>10</v>
      </c>
      <c r="D299">
        <v>0</v>
      </c>
      <c r="E299">
        <v>1</v>
      </c>
      <c r="F299">
        <v>3</v>
      </c>
      <c r="G299">
        <v>5.0449999999999999</v>
      </c>
      <c r="H299">
        <v>0</v>
      </c>
      <c r="I299">
        <v>0</v>
      </c>
      <c r="J299">
        <v>0</v>
      </c>
      <c r="K299">
        <v>-6027.5</v>
      </c>
      <c r="L299">
        <v>-4339.2700000000004</v>
      </c>
      <c r="M299">
        <v>40046.019999999997</v>
      </c>
    </row>
    <row r="300" spans="1:13">
      <c r="A300">
        <v>2</v>
      </c>
      <c r="B300" t="s">
        <v>200</v>
      </c>
      <c r="C300">
        <v>10</v>
      </c>
      <c r="D300">
        <v>0</v>
      </c>
      <c r="E300">
        <v>1</v>
      </c>
      <c r="F300" t="s">
        <v>202</v>
      </c>
      <c r="G300">
        <v>5.92</v>
      </c>
      <c r="H300">
        <v>0</v>
      </c>
      <c r="I300">
        <v>0</v>
      </c>
      <c r="J300">
        <v>0</v>
      </c>
      <c r="K300">
        <v>-10042.09</v>
      </c>
      <c r="L300">
        <v>-4836.93</v>
      </c>
      <c r="M300">
        <v>40046.019999999997</v>
      </c>
    </row>
    <row r="301" spans="1:13">
      <c r="A301">
        <v>2</v>
      </c>
      <c r="B301" t="s">
        <v>200</v>
      </c>
      <c r="C301">
        <v>11</v>
      </c>
      <c r="D301">
        <v>0</v>
      </c>
      <c r="E301">
        <v>1</v>
      </c>
      <c r="F301" t="s">
        <v>201</v>
      </c>
      <c r="G301">
        <v>0</v>
      </c>
      <c r="H301">
        <v>0</v>
      </c>
      <c r="I301">
        <v>0</v>
      </c>
      <c r="J301">
        <v>0</v>
      </c>
      <c r="K301">
        <v>-10042.09</v>
      </c>
      <c r="L301">
        <v>-4836.93</v>
      </c>
      <c r="M301">
        <v>40046.019999999997</v>
      </c>
    </row>
    <row r="302" spans="1:13">
      <c r="A302">
        <v>2</v>
      </c>
      <c r="B302" t="s">
        <v>200</v>
      </c>
      <c r="C302">
        <v>11</v>
      </c>
      <c r="D302">
        <v>0</v>
      </c>
      <c r="E302">
        <v>1</v>
      </c>
      <c r="F302" t="s">
        <v>202</v>
      </c>
      <c r="G302">
        <v>0.27500000000000002</v>
      </c>
      <c r="H302">
        <v>0</v>
      </c>
      <c r="I302">
        <v>0</v>
      </c>
      <c r="J302">
        <v>0</v>
      </c>
      <c r="K302">
        <v>-11393.75</v>
      </c>
      <c r="L302">
        <v>-4993.33</v>
      </c>
      <c r="M302">
        <v>40046.019999999997</v>
      </c>
    </row>
    <row r="303" spans="1:13">
      <c r="A303">
        <v>2</v>
      </c>
      <c r="B303" t="s">
        <v>200</v>
      </c>
      <c r="C303">
        <v>12</v>
      </c>
      <c r="D303">
        <v>0</v>
      </c>
      <c r="E303">
        <v>1</v>
      </c>
      <c r="F303" t="s">
        <v>201</v>
      </c>
      <c r="G303">
        <v>0</v>
      </c>
      <c r="H303">
        <v>0</v>
      </c>
      <c r="I303">
        <v>0</v>
      </c>
      <c r="J303">
        <v>0</v>
      </c>
      <c r="K303">
        <v>-14310.43</v>
      </c>
      <c r="L303">
        <v>6052.38</v>
      </c>
      <c r="M303">
        <v>39354.43</v>
      </c>
    </row>
    <row r="304" spans="1:13">
      <c r="A304">
        <v>2</v>
      </c>
      <c r="B304" t="s">
        <v>200</v>
      </c>
      <c r="C304">
        <v>12</v>
      </c>
      <c r="D304">
        <v>0</v>
      </c>
      <c r="E304">
        <v>1</v>
      </c>
      <c r="F304" t="s">
        <v>202</v>
      </c>
      <c r="G304">
        <v>0.27500000000000002</v>
      </c>
      <c r="H304">
        <v>0</v>
      </c>
      <c r="I304">
        <v>0</v>
      </c>
      <c r="J304">
        <v>0</v>
      </c>
      <c r="K304">
        <v>-12667.53</v>
      </c>
      <c r="L304">
        <v>5895.97</v>
      </c>
      <c r="M304">
        <v>39354.43</v>
      </c>
    </row>
    <row r="305" spans="1:13">
      <c r="A305">
        <v>2</v>
      </c>
      <c r="B305" t="s">
        <v>200</v>
      </c>
      <c r="C305">
        <v>13</v>
      </c>
      <c r="D305">
        <v>0</v>
      </c>
      <c r="E305">
        <v>1</v>
      </c>
      <c r="F305" t="s">
        <v>201</v>
      </c>
      <c r="G305">
        <v>0</v>
      </c>
      <c r="H305">
        <v>0</v>
      </c>
      <c r="I305">
        <v>0</v>
      </c>
      <c r="J305">
        <v>0</v>
      </c>
      <c r="K305">
        <v>-12667.53</v>
      </c>
      <c r="L305">
        <v>5895.97</v>
      </c>
      <c r="M305">
        <v>39354.43</v>
      </c>
    </row>
    <row r="306" spans="1:13">
      <c r="A306">
        <v>2</v>
      </c>
      <c r="B306" t="s">
        <v>200</v>
      </c>
      <c r="C306">
        <v>13</v>
      </c>
      <c r="D306">
        <v>0</v>
      </c>
      <c r="E306">
        <v>1</v>
      </c>
      <c r="F306">
        <v>1</v>
      </c>
      <c r="G306">
        <v>0.875</v>
      </c>
      <c r="H306">
        <v>0</v>
      </c>
      <c r="I306">
        <v>0</v>
      </c>
      <c r="J306">
        <v>0</v>
      </c>
      <c r="K306">
        <v>-7726.28</v>
      </c>
      <c r="L306">
        <v>5398.32</v>
      </c>
      <c r="M306">
        <v>39354.43</v>
      </c>
    </row>
    <row r="307" spans="1:13">
      <c r="A307">
        <v>2</v>
      </c>
      <c r="B307" t="s">
        <v>200</v>
      </c>
      <c r="C307">
        <v>13</v>
      </c>
      <c r="D307">
        <v>1</v>
      </c>
      <c r="E307">
        <v>0</v>
      </c>
      <c r="F307">
        <v>2</v>
      </c>
      <c r="G307">
        <v>2.96</v>
      </c>
      <c r="H307">
        <v>2292.9699999999998</v>
      </c>
      <c r="I307">
        <v>4212.47</v>
      </c>
      <c r="J307">
        <v>39354.43</v>
      </c>
      <c r="K307">
        <v>0</v>
      </c>
      <c r="L307">
        <v>0</v>
      </c>
      <c r="M307">
        <v>0</v>
      </c>
    </row>
    <row r="308" spans="1:13">
      <c r="A308">
        <v>2</v>
      </c>
      <c r="B308" t="s">
        <v>200</v>
      </c>
      <c r="C308">
        <v>13</v>
      </c>
      <c r="D308">
        <v>1</v>
      </c>
      <c r="E308">
        <v>0</v>
      </c>
      <c r="F308">
        <v>3</v>
      </c>
      <c r="G308">
        <v>5.0449999999999999</v>
      </c>
      <c r="H308">
        <v>9839.73</v>
      </c>
      <c r="I308">
        <v>3026.63</v>
      </c>
      <c r="J308">
        <v>39354.43</v>
      </c>
      <c r="K308">
        <v>0</v>
      </c>
      <c r="L308">
        <v>0</v>
      </c>
      <c r="M308">
        <v>0</v>
      </c>
    </row>
    <row r="309" spans="1:13">
      <c r="A309">
        <v>2</v>
      </c>
      <c r="B309" t="s">
        <v>200</v>
      </c>
      <c r="C309">
        <v>13</v>
      </c>
      <c r="D309">
        <v>1</v>
      </c>
      <c r="E309">
        <v>0</v>
      </c>
      <c r="F309" t="s">
        <v>202</v>
      </c>
      <c r="G309">
        <v>5.92</v>
      </c>
      <c r="H309">
        <v>12270.31</v>
      </c>
      <c r="I309">
        <v>2528.9699999999998</v>
      </c>
      <c r="J309">
        <v>39354.43</v>
      </c>
      <c r="K309">
        <v>0</v>
      </c>
      <c r="L309">
        <v>0</v>
      </c>
      <c r="M309">
        <v>0</v>
      </c>
    </row>
    <row r="310" spans="1:13">
      <c r="A310">
        <v>2</v>
      </c>
      <c r="B310" t="s">
        <v>200</v>
      </c>
      <c r="C310">
        <v>14</v>
      </c>
      <c r="D310">
        <v>1</v>
      </c>
      <c r="E310">
        <v>0</v>
      </c>
      <c r="F310" t="s">
        <v>201</v>
      </c>
      <c r="G310">
        <v>0</v>
      </c>
      <c r="H310">
        <v>12270.31</v>
      </c>
      <c r="I310">
        <v>2528.9699999999998</v>
      </c>
      <c r="J310">
        <v>39354.43</v>
      </c>
      <c r="K310">
        <v>0</v>
      </c>
      <c r="L310">
        <v>0</v>
      </c>
      <c r="M310">
        <v>0</v>
      </c>
    </row>
    <row r="311" spans="1:13">
      <c r="A311">
        <v>2</v>
      </c>
      <c r="B311" t="s">
        <v>200</v>
      </c>
      <c r="C311">
        <v>14</v>
      </c>
      <c r="D311">
        <v>1</v>
      </c>
      <c r="E311">
        <v>0</v>
      </c>
      <c r="F311" t="s">
        <v>202</v>
      </c>
      <c r="G311">
        <v>0.27500000000000002</v>
      </c>
      <c r="H311">
        <v>11659.99</v>
      </c>
      <c r="I311">
        <v>-14055.62</v>
      </c>
      <c r="J311">
        <v>39354.43</v>
      </c>
      <c r="K311">
        <v>0</v>
      </c>
      <c r="L311">
        <v>0</v>
      </c>
      <c r="M311">
        <v>0</v>
      </c>
    </row>
    <row r="312" spans="1:13">
      <c r="A312">
        <v>2</v>
      </c>
      <c r="B312" t="s">
        <v>200</v>
      </c>
      <c r="C312">
        <v>15</v>
      </c>
      <c r="D312">
        <v>0</v>
      </c>
      <c r="E312">
        <v>1</v>
      </c>
      <c r="F312" t="s">
        <v>201</v>
      </c>
      <c r="G312">
        <v>0</v>
      </c>
      <c r="H312">
        <v>0</v>
      </c>
      <c r="I312">
        <v>0</v>
      </c>
      <c r="J312">
        <v>0</v>
      </c>
      <c r="K312">
        <v>-23421.24</v>
      </c>
      <c r="L312">
        <v>9868.6</v>
      </c>
      <c r="M312">
        <v>31063.09</v>
      </c>
    </row>
    <row r="313" spans="1:13">
      <c r="A313">
        <v>2</v>
      </c>
      <c r="B313" t="s">
        <v>200</v>
      </c>
      <c r="C313">
        <v>15</v>
      </c>
      <c r="D313">
        <v>0</v>
      </c>
      <c r="E313">
        <v>1</v>
      </c>
      <c r="F313" t="s">
        <v>202</v>
      </c>
      <c r="G313">
        <v>0.27500000000000002</v>
      </c>
      <c r="H313">
        <v>0</v>
      </c>
      <c r="I313">
        <v>0</v>
      </c>
      <c r="J313">
        <v>0</v>
      </c>
      <c r="K313">
        <v>-20728.88</v>
      </c>
      <c r="L313">
        <v>9712.2000000000007</v>
      </c>
      <c r="M313">
        <v>31063.09</v>
      </c>
    </row>
    <row r="314" spans="1:13">
      <c r="A314">
        <v>2</v>
      </c>
      <c r="B314" t="s">
        <v>200</v>
      </c>
      <c r="C314">
        <v>16</v>
      </c>
      <c r="D314">
        <v>0</v>
      </c>
      <c r="E314">
        <v>1</v>
      </c>
      <c r="F314" t="s">
        <v>201</v>
      </c>
      <c r="G314">
        <v>0</v>
      </c>
      <c r="H314">
        <v>0</v>
      </c>
      <c r="I314">
        <v>0</v>
      </c>
      <c r="J314">
        <v>0</v>
      </c>
      <c r="K314">
        <v>-20728.88</v>
      </c>
      <c r="L314">
        <v>9712.2000000000007</v>
      </c>
      <c r="M314">
        <v>31063.09</v>
      </c>
    </row>
    <row r="315" spans="1:13">
      <c r="A315">
        <v>2</v>
      </c>
      <c r="B315" t="s">
        <v>200</v>
      </c>
      <c r="C315">
        <v>16</v>
      </c>
      <c r="D315">
        <v>0</v>
      </c>
      <c r="E315">
        <v>1</v>
      </c>
      <c r="F315">
        <v>1</v>
      </c>
      <c r="G315">
        <v>0.875</v>
      </c>
      <c r="H315">
        <v>0</v>
      </c>
      <c r="I315">
        <v>0</v>
      </c>
      <c r="J315">
        <v>0</v>
      </c>
      <c r="K315">
        <v>-12448.43</v>
      </c>
      <c r="L315">
        <v>9214.5400000000009</v>
      </c>
      <c r="M315">
        <v>31063.09</v>
      </c>
    </row>
    <row r="316" spans="1:13">
      <c r="A316">
        <v>2</v>
      </c>
      <c r="B316" t="s">
        <v>200</v>
      </c>
      <c r="C316">
        <v>16</v>
      </c>
      <c r="D316">
        <v>1</v>
      </c>
      <c r="E316">
        <v>0</v>
      </c>
      <c r="F316">
        <v>2</v>
      </c>
      <c r="G316">
        <v>2.96</v>
      </c>
      <c r="H316">
        <v>5527.65</v>
      </c>
      <c r="I316">
        <v>8028.7</v>
      </c>
      <c r="J316">
        <v>31063.09</v>
      </c>
      <c r="K316">
        <v>0</v>
      </c>
      <c r="L316">
        <v>0</v>
      </c>
      <c r="M316">
        <v>0</v>
      </c>
    </row>
    <row r="317" spans="1:13">
      <c r="A317">
        <v>2</v>
      </c>
      <c r="B317" t="s">
        <v>200</v>
      </c>
      <c r="C317">
        <v>16</v>
      </c>
      <c r="D317">
        <v>1</v>
      </c>
      <c r="E317">
        <v>0</v>
      </c>
      <c r="F317">
        <v>3</v>
      </c>
      <c r="G317">
        <v>5.0449999999999999</v>
      </c>
      <c r="H317">
        <v>21031.24</v>
      </c>
      <c r="I317">
        <v>6842.85</v>
      </c>
      <c r="J317">
        <v>31063.09</v>
      </c>
      <c r="K317">
        <v>0</v>
      </c>
      <c r="L317">
        <v>0</v>
      </c>
      <c r="M317">
        <v>0</v>
      </c>
    </row>
    <row r="318" spans="1:13">
      <c r="A318">
        <v>2</v>
      </c>
      <c r="B318" t="s">
        <v>200</v>
      </c>
      <c r="C318">
        <v>16</v>
      </c>
      <c r="D318">
        <v>1</v>
      </c>
      <c r="E318">
        <v>0</v>
      </c>
      <c r="F318" t="s">
        <v>202</v>
      </c>
      <c r="G318">
        <v>5.92</v>
      </c>
      <c r="H318">
        <v>26801.01</v>
      </c>
      <c r="I318">
        <v>6345.2</v>
      </c>
      <c r="J318">
        <v>31063.09</v>
      </c>
      <c r="K318">
        <v>0</v>
      </c>
      <c r="L318">
        <v>0</v>
      </c>
      <c r="M318">
        <v>0</v>
      </c>
    </row>
    <row r="319" spans="1:13">
      <c r="A319">
        <v>2</v>
      </c>
      <c r="B319" t="s">
        <v>200</v>
      </c>
      <c r="C319">
        <v>17</v>
      </c>
      <c r="D319">
        <v>1</v>
      </c>
      <c r="E319">
        <v>0</v>
      </c>
      <c r="F319" t="s">
        <v>201</v>
      </c>
      <c r="G319">
        <v>0</v>
      </c>
      <c r="H319">
        <v>26801.01</v>
      </c>
      <c r="I319">
        <v>6345.2</v>
      </c>
      <c r="J319">
        <v>31063.09</v>
      </c>
      <c r="K319">
        <v>0</v>
      </c>
      <c r="L319">
        <v>0</v>
      </c>
      <c r="M319">
        <v>0</v>
      </c>
    </row>
    <row r="320" spans="1:13">
      <c r="A320">
        <v>2</v>
      </c>
      <c r="B320" t="s">
        <v>200</v>
      </c>
      <c r="C320">
        <v>17</v>
      </c>
      <c r="D320">
        <v>1</v>
      </c>
      <c r="E320">
        <v>1</v>
      </c>
      <c r="F320" t="s">
        <v>202</v>
      </c>
      <c r="G320">
        <v>0.27500000000000002</v>
      </c>
      <c r="H320">
        <v>26720.46</v>
      </c>
      <c r="I320">
        <v>-6550.67</v>
      </c>
      <c r="J320">
        <v>31063.09</v>
      </c>
      <c r="K320">
        <v>-262.14</v>
      </c>
      <c r="L320">
        <v>-13663.09</v>
      </c>
      <c r="M320">
        <v>6493.52</v>
      </c>
    </row>
    <row r="321" spans="1:13">
      <c r="A321">
        <v>2</v>
      </c>
      <c r="B321" t="s">
        <v>200</v>
      </c>
      <c r="C321">
        <v>18</v>
      </c>
      <c r="D321">
        <v>0</v>
      </c>
      <c r="E321">
        <v>1</v>
      </c>
      <c r="F321" t="s">
        <v>201</v>
      </c>
      <c r="G321">
        <v>0</v>
      </c>
      <c r="H321">
        <v>0</v>
      </c>
      <c r="I321">
        <v>0</v>
      </c>
      <c r="J321">
        <v>0</v>
      </c>
      <c r="K321">
        <v>-39672.04</v>
      </c>
      <c r="L321">
        <v>16337.5</v>
      </c>
      <c r="M321">
        <v>15262.48</v>
      </c>
    </row>
    <row r="322" spans="1:13">
      <c r="A322">
        <v>2</v>
      </c>
      <c r="B322" t="s">
        <v>200</v>
      </c>
      <c r="C322">
        <v>18</v>
      </c>
      <c r="D322">
        <v>0</v>
      </c>
      <c r="E322">
        <v>1</v>
      </c>
      <c r="F322" t="s">
        <v>202</v>
      </c>
      <c r="G322">
        <v>0.27500000000000002</v>
      </c>
      <c r="H322">
        <v>0</v>
      </c>
      <c r="I322">
        <v>0</v>
      </c>
      <c r="J322">
        <v>0</v>
      </c>
      <c r="K322">
        <v>-35200.730000000003</v>
      </c>
      <c r="L322">
        <v>16181.09</v>
      </c>
      <c r="M322">
        <v>15262.48</v>
      </c>
    </row>
    <row r="323" spans="1:13">
      <c r="A323">
        <v>2</v>
      </c>
      <c r="B323" t="s">
        <v>200</v>
      </c>
      <c r="C323">
        <v>19</v>
      </c>
      <c r="D323">
        <v>0</v>
      </c>
      <c r="E323">
        <v>1</v>
      </c>
      <c r="F323" t="s">
        <v>201</v>
      </c>
      <c r="G323">
        <v>0</v>
      </c>
      <c r="H323">
        <v>0</v>
      </c>
      <c r="I323">
        <v>0</v>
      </c>
      <c r="J323">
        <v>0</v>
      </c>
      <c r="K323">
        <v>-35200.730000000003</v>
      </c>
      <c r="L323">
        <v>16181.09</v>
      </c>
      <c r="M323">
        <v>15262.48</v>
      </c>
    </row>
    <row r="324" spans="1:13">
      <c r="A324">
        <v>2</v>
      </c>
      <c r="B324" t="s">
        <v>200</v>
      </c>
      <c r="C324">
        <v>19</v>
      </c>
      <c r="D324">
        <v>0</v>
      </c>
      <c r="E324">
        <v>1</v>
      </c>
      <c r="F324">
        <v>1</v>
      </c>
      <c r="G324">
        <v>0.875</v>
      </c>
      <c r="H324">
        <v>0</v>
      </c>
      <c r="I324">
        <v>0</v>
      </c>
      <c r="J324">
        <v>0</v>
      </c>
      <c r="K324">
        <v>-21042.28</v>
      </c>
      <c r="L324">
        <v>16181.09</v>
      </c>
      <c r="M324">
        <v>15262.48</v>
      </c>
    </row>
    <row r="325" spans="1:13">
      <c r="A325">
        <v>2</v>
      </c>
      <c r="B325" t="s">
        <v>200</v>
      </c>
      <c r="C325">
        <v>19</v>
      </c>
      <c r="D325">
        <v>1</v>
      </c>
      <c r="E325">
        <v>0</v>
      </c>
      <c r="F325">
        <v>2</v>
      </c>
      <c r="G325">
        <v>2.96</v>
      </c>
      <c r="H325">
        <v>12695.29</v>
      </c>
      <c r="I325">
        <v>16181.09</v>
      </c>
      <c r="J325">
        <v>15262.48</v>
      </c>
      <c r="K325">
        <v>0</v>
      </c>
      <c r="L325">
        <v>0</v>
      </c>
      <c r="M325">
        <v>0</v>
      </c>
    </row>
    <row r="326" spans="1:13">
      <c r="A326">
        <v>2</v>
      </c>
      <c r="B326" t="s">
        <v>200</v>
      </c>
      <c r="C326">
        <v>19</v>
      </c>
      <c r="D326">
        <v>1</v>
      </c>
      <c r="E326">
        <v>0</v>
      </c>
      <c r="F326">
        <v>3</v>
      </c>
      <c r="G326">
        <v>5.0449999999999999</v>
      </c>
      <c r="H326">
        <v>45576.12</v>
      </c>
      <c r="I326">
        <v>12041.65</v>
      </c>
      <c r="J326">
        <v>15262.48</v>
      </c>
      <c r="K326">
        <v>0</v>
      </c>
      <c r="L326">
        <v>0</v>
      </c>
      <c r="M326">
        <v>0</v>
      </c>
    </row>
    <row r="327" spans="1:13">
      <c r="A327">
        <v>2</v>
      </c>
      <c r="B327" t="s">
        <v>200</v>
      </c>
      <c r="C327">
        <v>19</v>
      </c>
      <c r="D327">
        <v>1</v>
      </c>
      <c r="E327">
        <v>0</v>
      </c>
      <c r="F327" t="s">
        <v>202</v>
      </c>
      <c r="G327">
        <v>5.92</v>
      </c>
      <c r="H327">
        <v>55894.84</v>
      </c>
      <c r="I327">
        <v>11544</v>
      </c>
      <c r="J327">
        <v>15262.48</v>
      </c>
      <c r="K327">
        <v>0</v>
      </c>
      <c r="L327">
        <v>0</v>
      </c>
      <c r="M327">
        <v>0</v>
      </c>
    </row>
    <row r="328" spans="1:13">
      <c r="A328">
        <v>2</v>
      </c>
      <c r="B328" t="s">
        <v>200</v>
      </c>
      <c r="C328">
        <v>20</v>
      </c>
      <c r="D328">
        <v>1</v>
      </c>
      <c r="E328">
        <v>0</v>
      </c>
      <c r="F328" t="s">
        <v>201</v>
      </c>
      <c r="G328">
        <v>0</v>
      </c>
      <c r="H328">
        <v>55894.84</v>
      </c>
      <c r="I328">
        <v>11544</v>
      </c>
      <c r="J328">
        <v>15262.48</v>
      </c>
      <c r="K328">
        <v>0</v>
      </c>
      <c r="L328">
        <v>0</v>
      </c>
      <c r="M328">
        <v>0</v>
      </c>
    </row>
    <row r="329" spans="1:13">
      <c r="A329">
        <v>2</v>
      </c>
      <c r="B329" t="s">
        <v>200</v>
      </c>
      <c r="C329">
        <v>20</v>
      </c>
      <c r="D329">
        <v>1</v>
      </c>
      <c r="E329">
        <v>0</v>
      </c>
      <c r="F329" t="s">
        <v>202</v>
      </c>
      <c r="G329">
        <v>0.27500000000000002</v>
      </c>
      <c r="H329">
        <v>59047.94</v>
      </c>
      <c r="I329">
        <v>11387.59</v>
      </c>
      <c r="J329">
        <v>15262.48</v>
      </c>
      <c r="K329">
        <v>0</v>
      </c>
      <c r="L329">
        <v>0</v>
      </c>
      <c r="M329">
        <v>0</v>
      </c>
    </row>
    <row r="330" spans="1:13">
      <c r="A330">
        <v>2</v>
      </c>
      <c r="B330" t="s">
        <v>200</v>
      </c>
      <c r="C330">
        <v>21</v>
      </c>
      <c r="D330">
        <v>0</v>
      </c>
      <c r="E330">
        <v>1</v>
      </c>
      <c r="F330" t="s">
        <v>201</v>
      </c>
      <c r="G330">
        <v>0</v>
      </c>
      <c r="H330">
        <v>0</v>
      </c>
      <c r="I330">
        <v>0</v>
      </c>
      <c r="J330">
        <v>0</v>
      </c>
      <c r="K330">
        <v>-3279.36</v>
      </c>
      <c r="L330">
        <v>19251.169999999998</v>
      </c>
      <c r="M330">
        <v>0</v>
      </c>
    </row>
    <row r="331" spans="1:13">
      <c r="A331">
        <v>2</v>
      </c>
      <c r="B331" t="s">
        <v>200</v>
      </c>
      <c r="C331">
        <v>21</v>
      </c>
      <c r="D331">
        <v>0</v>
      </c>
      <c r="E331">
        <v>1</v>
      </c>
      <c r="F331" t="s">
        <v>202</v>
      </c>
      <c r="G331">
        <v>0.27500000000000002</v>
      </c>
      <c r="H331">
        <v>0</v>
      </c>
      <c r="I331">
        <v>0</v>
      </c>
      <c r="J331">
        <v>0</v>
      </c>
      <c r="K331">
        <v>-696.5</v>
      </c>
      <c r="L331">
        <v>890.09</v>
      </c>
      <c r="M331">
        <v>0</v>
      </c>
    </row>
    <row r="332" spans="1:13">
      <c r="A332">
        <v>2</v>
      </c>
      <c r="B332" t="s">
        <v>200</v>
      </c>
      <c r="C332">
        <v>22</v>
      </c>
      <c r="D332">
        <v>0</v>
      </c>
      <c r="E332">
        <v>1</v>
      </c>
      <c r="F332" t="s">
        <v>201</v>
      </c>
      <c r="G332">
        <v>0</v>
      </c>
      <c r="H332">
        <v>0</v>
      </c>
      <c r="I332">
        <v>0</v>
      </c>
      <c r="J332">
        <v>0</v>
      </c>
      <c r="K332">
        <v>-696.5</v>
      </c>
      <c r="L332">
        <v>890.09</v>
      </c>
      <c r="M332">
        <v>0</v>
      </c>
    </row>
    <row r="333" spans="1:13">
      <c r="A333">
        <v>2</v>
      </c>
      <c r="B333" t="s">
        <v>200</v>
      </c>
      <c r="C333">
        <v>22</v>
      </c>
      <c r="D333">
        <v>1</v>
      </c>
      <c r="E333">
        <v>0</v>
      </c>
      <c r="F333" t="s">
        <v>202</v>
      </c>
      <c r="G333">
        <v>1.5649999999999999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</row>
    <row r="334" spans="1:13">
      <c r="A334">
        <v>2</v>
      </c>
      <c r="B334" t="s">
        <v>200</v>
      </c>
      <c r="C334">
        <v>23</v>
      </c>
      <c r="D334">
        <v>0</v>
      </c>
      <c r="E334">
        <v>1</v>
      </c>
      <c r="F334" t="s">
        <v>201</v>
      </c>
      <c r="G334">
        <v>0</v>
      </c>
      <c r="H334">
        <v>0</v>
      </c>
      <c r="I334">
        <v>0</v>
      </c>
      <c r="J334">
        <v>0</v>
      </c>
      <c r="K334">
        <v>-74082.63</v>
      </c>
      <c r="L334">
        <v>18242.09</v>
      </c>
      <c r="M334">
        <v>-6876.21</v>
      </c>
    </row>
    <row r="335" spans="1:13">
      <c r="A335">
        <v>2</v>
      </c>
      <c r="B335" t="s">
        <v>200</v>
      </c>
      <c r="C335">
        <v>23</v>
      </c>
      <c r="D335">
        <v>0</v>
      </c>
      <c r="E335">
        <v>1</v>
      </c>
      <c r="F335" t="s">
        <v>202</v>
      </c>
      <c r="G335">
        <v>1.175</v>
      </c>
      <c r="H335">
        <v>0</v>
      </c>
      <c r="I335">
        <v>0</v>
      </c>
      <c r="J335">
        <v>0</v>
      </c>
      <c r="K335">
        <v>-52648.18</v>
      </c>
      <c r="L335">
        <v>18242.09</v>
      </c>
      <c r="M335">
        <v>-6876.21</v>
      </c>
    </row>
    <row r="336" spans="1:13">
      <c r="A336">
        <v>2</v>
      </c>
      <c r="B336" t="s">
        <v>200</v>
      </c>
      <c r="C336">
        <v>24</v>
      </c>
      <c r="D336">
        <v>0</v>
      </c>
      <c r="E336">
        <v>1</v>
      </c>
      <c r="F336" t="s">
        <v>201</v>
      </c>
      <c r="G336">
        <v>0</v>
      </c>
      <c r="H336">
        <v>0</v>
      </c>
      <c r="I336">
        <v>0</v>
      </c>
      <c r="J336">
        <v>0</v>
      </c>
      <c r="K336">
        <v>-61959.91</v>
      </c>
      <c r="L336">
        <v>14697.06</v>
      </c>
      <c r="M336">
        <v>-26569.74</v>
      </c>
    </row>
    <row r="337" spans="1:13">
      <c r="A337">
        <v>2</v>
      </c>
      <c r="B337" t="s">
        <v>200</v>
      </c>
      <c r="C337">
        <v>24</v>
      </c>
      <c r="D337">
        <v>0</v>
      </c>
      <c r="E337">
        <v>1</v>
      </c>
      <c r="F337" t="s">
        <v>202</v>
      </c>
      <c r="G337">
        <v>1.175</v>
      </c>
      <c r="H337">
        <v>0</v>
      </c>
      <c r="I337">
        <v>0</v>
      </c>
      <c r="J337">
        <v>0</v>
      </c>
      <c r="K337">
        <v>-44690.879999999997</v>
      </c>
      <c r="L337">
        <v>14697.06</v>
      </c>
      <c r="M337">
        <v>-26569.74</v>
      </c>
    </row>
    <row r="338" spans="1:13">
      <c r="A338">
        <v>2</v>
      </c>
      <c r="B338" t="s">
        <v>200</v>
      </c>
      <c r="C338">
        <v>25</v>
      </c>
      <c r="D338">
        <v>0</v>
      </c>
      <c r="E338">
        <v>1</v>
      </c>
      <c r="F338" t="s">
        <v>201</v>
      </c>
      <c r="G338">
        <v>0</v>
      </c>
      <c r="H338">
        <v>0</v>
      </c>
      <c r="I338">
        <v>0</v>
      </c>
      <c r="J338">
        <v>0</v>
      </c>
      <c r="K338">
        <v>-30167.96</v>
      </c>
      <c r="L338">
        <v>7106.87</v>
      </c>
      <c r="M338">
        <v>-24439.15</v>
      </c>
    </row>
    <row r="339" spans="1:13">
      <c r="A339">
        <v>2</v>
      </c>
      <c r="B339" t="s">
        <v>200</v>
      </c>
      <c r="C339">
        <v>25</v>
      </c>
      <c r="D339">
        <v>0</v>
      </c>
      <c r="E339">
        <v>1</v>
      </c>
      <c r="F339" t="s">
        <v>202</v>
      </c>
      <c r="G339">
        <v>1.175</v>
      </c>
      <c r="H339">
        <v>0</v>
      </c>
      <c r="I339">
        <v>0</v>
      </c>
      <c r="J339">
        <v>0</v>
      </c>
      <c r="K339">
        <v>-21817.38</v>
      </c>
      <c r="L339">
        <v>7106.87</v>
      </c>
      <c r="M339">
        <v>-24439.15</v>
      </c>
    </row>
    <row r="340" spans="1:13">
      <c r="A340">
        <v>2</v>
      </c>
      <c r="B340" t="s">
        <v>200</v>
      </c>
      <c r="C340">
        <v>26</v>
      </c>
      <c r="D340">
        <v>1</v>
      </c>
      <c r="E340">
        <v>0</v>
      </c>
      <c r="F340" t="s">
        <v>201</v>
      </c>
      <c r="G340">
        <v>0</v>
      </c>
      <c r="H340">
        <v>2916.68</v>
      </c>
      <c r="I340">
        <v>-691.58</v>
      </c>
      <c r="J340">
        <v>-21161.01</v>
      </c>
      <c r="K340">
        <v>0</v>
      </c>
      <c r="L340">
        <v>0</v>
      </c>
      <c r="M340">
        <v>0</v>
      </c>
    </row>
    <row r="341" spans="1:13">
      <c r="A341">
        <v>2</v>
      </c>
      <c r="B341" t="s">
        <v>200</v>
      </c>
      <c r="C341">
        <v>26</v>
      </c>
      <c r="D341">
        <v>1</v>
      </c>
      <c r="E341">
        <v>0</v>
      </c>
      <c r="F341" t="s">
        <v>202</v>
      </c>
      <c r="G341">
        <v>1.175</v>
      </c>
      <c r="H341">
        <v>2104.0700000000002</v>
      </c>
      <c r="I341">
        <v>-691.58</v>
      </c>
      <c r="J341">
        <v>-21161.01</v>
      </c>
      <c r="K341">
        <v>0</v>
      </c>
      <c r="L341">
        <v>0</v>
      </c>
      <c r="M341">
        <v>0</v>
      </c>
    </row>
    <row r="342" spans="1:13">
      <c r="A342">
        <v>2</v>
      </c>
      <c r="B342" t="s">
        <v>200</v>
      </c>
      <c r="C342">
        <v>27</v>
      </c>
      <c r="D342">
        <v>1</v>
      </c>
      <c r="E342">
        <v>0</v>
      </c>
      <c r="F342" t="s">
        <v>201</v>
      </c>
      <c r="G342">
        <v>0</v>
      </c>
      <c r="H342">
        <v>35081.230000000003</v>
      </c>
      <c r="I342">
        <v>-8291.35</v>
      </c>
      <c r="J342">
        <v>-23924.22</v>
      </c>
      <c r="K342">
        <v>0</v>
      </c>
      <c r="L342">
        <v>0</v>
      </c>
      <c r="M342">
        <v>0</v>
      </c>
    </row>
    <row r="343" spans="1:13">
      <c r="A343">
        <v>2</v>
      </c>
      <c r="B343" t="s">
        <v>200</v>
      </c>
      <c r="C343">
        <v>27</v>
      </c>
      <c r="D343">
        <v>1</v>
      </c>
      <c r="E343">
        <v>0</v>
      </c>
      <c r="F343" t="s">
        <v>202</v>
      </c>
      <c r="G343">
        <v>1.175</v>
      </c>
      <c r="H343">
        <v>25338.9</v>
      </c>
      <c r="I343">
        <v>-8291.35</v>
      </c>
      <c r="J343">
        <v>-23924.22</v>
      </c>
      <c r="K343">
        <v>0</v>
      </c>
      <c r="L343">
        <v>0</v>
      </c>
      <c r="M343">
        <v>0</v>
      </c>
    </row>
    <row r="344" spans="1:13">
      <c r="A344">
        <v>2</v>
      </c>
      <c r="B344" t="s">
        <v>200</v>
      </c>
      <c r="C344">
        <v>28</v>
      </c>
      <c r="D344">
        <v>1</v>
      </c>
      <c r="E344">
        <v>0</v>
      </c>
      <c r="F344" t="s">
        <v>201</v>
      </c>
      <c r="G344">
        <v>0</v>
      </c>
      <c r="H344">
        <v>66392.5</v>
      </c>
      <c r="I344">
        <v>-15800.61</v>
      </c>
      <c r="J344">
        <v>-22888.16</v>
      </c>
      <c r="K344">
        <v>0</v>
      </c>
      <c r="L344">
        <v>0</v>
      </c>
      <c r="M344">
        <v>0</v>
      </c>
    </row>
    <row r="345" spans="1:13">
      <c r="A345">
        <v>2</v>
      </c>
      <c r="B345" t="s">
        <v>200</v>
      </c>
      <c r="C345">
        <v>28</v>
      </c>
      <c r="D345">
        <v>1</v>
      </c>
      <c r="E345">
        <v>0</v>
      </c>
      <c r="F345" t="s">
        <v>202</v>
      </c>
      <c r="G345">
        <v>1.175</v>
      </c>
      <c r="H345">
        <v>47826.79</v>
      </c>
      <c r="I345">
        <v>-15800.61</v>
      </c>
      <c r="J345">
        <v>-22888.16</v>
      </c>
      <c r="K345">
        <v>0</v>
      </c>
      <c r="L345">
        <v>0</v>
      </c>
      <c r="M345">
        <v>0</v>
      </c>
    </row>
    <row r="346" spans="1:13">
      <c r="A346">
        <v>2</v>
      </c>
      <c r="B346" t="s">
        <v>200</v>
      </c>
      <c r="C346">
        <v>29</v>
      </c>
      <c r="D346">
        <v>1</v>
      </c>
      <c r="E346">
        <v>0</v>
      </c>
      <c r="F346" t="s">
        <v>201</v>
      </c>
      <c r="G346">
        <v>0</v>
      </c>
      <c r="H346">
        <v>62325.54</v>
      </c>
      <c r="I346">
        <v>-15262.48</v>
      </c>
      <c r="J346">
        <v>-7849.78</v>
      </c>
      <c r="K346">
        <v>0</v>
      </c>
      <c r="L346">
        <v>0</v>
      </c>
      <c r="M346">
        <v>0</v>
      </c>
    </row>
    <row r="347" spans="1:13">
      <c r="A347">
        <v>2</v>
      </c>
      <c r="B347" t="s">
        <v>200</v>
      </c>
      <c r="C347">
        <v>29</v>
      </c>
      <c r="D347">
        <v>1</v>
      </c>
      <c r="E347">
        <v>0</v>
      </c>
      <c r="F347" t="s">
        <v>202</v>
      </c>
      <c r="G347">
        <v>1.175</v>
      </c>
      <c r="H347">
        <v>44392.13</v>
      </c>
      <c r="I347">
        <v>-15262.48</v>
      </c>
      <c r="J347">
        <v>-7849.78</v>
      </c>
      <c r="K347">
        <v>0</v>
      </c>
      <c r="L347">
        <v>0</v>
      </c>
      <c r="M347">
        <v>0</v>
      </c>
    </row>
    <row r="348" spans="1:13">
      <c r="A348">
        <v>2</v>
      </c>
      <c r="B348" t="s">
        <v>200</v>
      </c>
      <c r="C348">
        <v>30</v>
      </c>
      <c r="D348">
        <v>0</v>
      </c>
      <c r="E348">
        <v>1</v>
      </c>
      <c r="F348" t="s">
        <v>201</v>
      </c>
      <c r="G348">
        <v>0</v>
      </c>
      <c r="H348">
        <v>0</v>
      </c>
      <c r="I348">
        <v>0</v>
      </c>
      <c r="J348">
        <v>0</v>
      </c>
      <c r="K348">
        <v>-52648.18</v>
      </c>
      <c r="L348">
        <v>18242.09</v>
      </c>
      <c r="M348">
        <v>-6876.21</v>
      </c>
    </row>
    <row r="349" spans="1:13">
      <c r="A349">
        <v>2</v>
      </c>
      <c r="B349" t="s">
        <v>200</v>
      </c>
      <c r="C349">
        <v>30</v>
      </c>
      <c r="D349">
        <v>0</v>
      </c>
      <c r="E349">
        <v>1</v>
      </c>
      <c r="F349" t="s">
        <v>202</v>
      </c>
      <c r="G349">
        <v>6.1749999999999998</v>
      </c>
      <c r="H349">
        <v>0</v>
      </c>
      <c r="I349">
        <v>0</v>
      </c>
      <c r="J349">
        <v>0</v>
      </c>
      <c r="K349">
        <v>-41817.85</v>
      </c>
      <c r="L349">
        <v>18242.09</v>
      </c>
      <c r="M349">
        <v>-8357.41</v>
      </c>
    </row>
    <row r="350" spans="1:13">
      <c r="A350">
        <v>2</v>
      </c>
      <c r="B350" t="s">
        <v>200</v>
      </c>
      <c r="C350">
        <v>31</v>
      </c>
      <c r="D350">
        <v>1</v>
      </c>
      <c r="E350">
        <v>0</v>
      </c>
      <c r="F350" t="s">
        <v>201</v>
      </c>
      <c r="G350">
        <v>0</v>
      </c>
      <c r="H350">
        <v>59260.04</v>
      </c>
      <c r="I350">
        <v>18336.7</v>
      </c>
      <c r="J350">
        <v>-4039.31</v>
      </c>
      <c r="K350">
        <v>0</v>
      </c>
      <c r="L350">
        <v>0</v>
      </c>
      <c r="M350">
        <v>0</v>
      </c>
    </row>
    <row r="351" spans="1:13">
      <c r="A351">
        <v>2</v>
      </c>
      <c r="B351" t="s">
        <v>200</v>
      </c>
      <c r="C351">
        <v>31</v>
      </c>
      <c r="D351">
        <v>0</v>
      </c>
      <c r="E351">
        <v>1</v>
      </c>
      <c r="F351" t="s">
        <v>202</v>
      </c>
      <c r="G351">
        <v>6.1749999999999998</v>
      </c>
      <c r="H351">
        <v>0</v>
      </c>
      <c r="I351">
        <v>0</v>
      </c>
      <c r="J351">
        <v>0</v>
      </c>
      <c r="K351">
        <v>-43730.47</v>
      </c>
      <c r="L351">
        <v>14697.06</v>
      </c>
      <c r="M351">
        <v>-28050.94</v>
      </c>
    </row>
    <row r="352" spans="1:13">
      <c r="A352">
        <v>2</v>
      </c>
      <c r="B352" t="s">
        <v>200</v>
      </c>
      <c r="C352">
        <v>32</v>
      </c>
      <c r="D352">
        <v>0</v>
      </c>
      <c r="E352">
        <v>1</v>
      </c>
      <c r="F352" t="s">
        <v>201</v>
      </c>
      <c r="G352">
        <v>0</v>
      </c>
      <c r="H352">
        <v>0</v>
      </c>
      <c r="I352">
        <v>0</v>
      </c>
      <c r="J352">
        <v>0</v>
      </c>
      <c r="K352">
        <v>-35947.47</v>
      </c>
      <c r="L352">
        <v>14599.33</v>
      </c>
      <c r="M352">
        <v>-24830.78</v>
      </c>
    </row>
    <row r="353" spans="1:13">
      <c r="A353">
        <v>2</v>
      </c>
      <c r="B353" t="s">
        <v>200</v>
      </c>
      <c r="C353">
        <v>32</v>
      </c>
      <c r="D353">
        <v>1</v>
      </c>
      <c r="E353">
        <v>0</v>
      </c>
      <c r="F353" t="s">
        <v>202</v>
      </c>
      <c r="G353">
        <v>6.1749999999999998</v>
      </c>
      <c r="H353">
        <v>45842.04</v>
      </c>
      <c r="I353">
        <v>14599.33</v>
      </c>
      <c r="J353">
        <v>-26311.98</v>
      </c>
      <c r="K353">
        <v>0</v>
      </c>
      <c r="L353">
        <v>0</v>
      </c>
      <c r="M353">
        <v>0</v>
      </c>
    </row>
    <row r="354" spans="1:13">
      <c r="A354">
        <v>2</v>
      </c>
      <c r="B354" t="s">
        <v>200</v>
      </c>
      <c r="C354">
        <v>33</v>
      </c>
      <c r="D354">
        <v>0</v>
      </c>
      <c r="E354">
        <v>1</v>
      </c>
      <c r="F354" t="s">
        <v>201</v>
      </c>
      <c r="G354">
        <v>0</v>
      </c>
      <c r="H354">
        <v>0</v>
      </c>
      <c r="I354">
        <v>0</v>
      </c>
      <c r="J354">
        <v>0</v>
      </c>
      <c r="K354">
        <v>-21593.34</v>
      </c>
      <c r="L354">
        <v>7050.89</v>
      </c>
      <c r="M354">
        <v>-23687.72</v>
      </c>
    </row>
    <row r="355" spans="1:13">
      <c r="A355">
        <v>2</v>
      </c>
      <c r="B355" t="s">
        <v>200</v>
      </c>
      <c r="C355">
        <v>33</v>
      </c>
      <c r="D355">
        <v>0</v>
      </c>
      <c r="E355">
        <v>1</v>
      </c>
      <c r="F355" t="s">
        <v>202</v>
      </c>
      <c r="G355">
        <v>6.1749999999999998</v>
      </c>
      <c r="H355">
        <v>0</v>
      </c>
      <c r="I355">
        <v>0</v>
      </c>
      <c r="J355">
        <v>0</v>
      </c>
      <c r="K355">
        <v>-17528.82</v>
      </c>
      <c r="L355">
        <v>7050.89</v>
      </c>
      <c r="M355">
        <v>-25168.92</v>
      </c>
    </row>
    <row r="356" spans="1:13">
      <c r="A356">
        <v>2</v>
      </c>
      <c r="B356" t="s">
        <v>200</v>
      </c>
      <c r="C356">
        <v>34</v>
      </c>
      <c r="D356">
        <v>1</v>
      </c>
      <c r="E356">
        <v>0</v>
      </c>
      <c r="F356" t="s">
        <v>201</v>
      </c>
      <c r="G356">
        <v>0</v>
      </c>
      <c r="H356">
        <v>22004.5</v>
      </c>
      <c r="I356">
        <v>7035.15</v>
      </c>
      <c r="J356">
        <v>-24200.5</v>
      </c>
      <c r="K356">
        <v>0</v>
      </c>
      <c r="L356">
        <v>0</v>
      </c>
      <c r="M356">
        <v>0</v>
      </c>
    </row>
    <row r="357" spans="1:13">
      <c r="A357">
        <v>2</v>
      </c>
      <c r="B357" t="s">
        <v>200</v>
      </c>
      <c r="C357">
        <v>34</v>
      </c>
      <c r="D357">
        <v>1</v>
      </c>
      <c r="E357">
        <v>0</v>
      </c>
      <c r="F357" t="s">
        <v>202</v>
      </c>
      <c r="G357">
        <v>6.1749999999999998</v>
      </c>
      <c r="H357">
        <v>2088.09</v>
      </c>
      <c r="I357">
        <v>-707.32</v>
      </c>
      <c r="J357">
        <v>-23155</v>
      </c>
      <c r="K357">
        <v>0</v>
      </c>
      <c r="L357">
        <v>0</v>
      </c>
      <c r="M357">
        <v>0</v>
      </c>
    </row>
    <row r="358" spans="1:13">
      <c r="A358">
        <v>2</v>
      </c>
      <c r="B358" t="s">
        <v>200</v>
      </c>
      <c r="C358">
        <v>35</v>
      </c>
      <c r="D358">
        <v>1</v>
      </c>
      <c r="E358">
        <v>0</v>
      </c>
      <c r="F358" t="s">
        <v>201</v>
      </c>
      <c r="G358">
        <v>0</v>
      </c>
      <c r="H358">
        <v>1985.13</v>
      </c>
      <c r="I358">
        <v>-759.71</v>
      </c>
      <c r="J358">
        <v>-22321.22</v>
      </c>
      <c r="K358">
        <v>0</v>
      </c>
      <c r="L358">
        <v>0</v>
      </c>
      <c r="M358">
        <v>0</v>
      </c>
    </row>
    <row r="359" spans="1:13">
      <c r="A359">
        <v>2</v>
      </c>
      <c r="B359" t="s">
        <v>200</v>
      </c>
      <c r="C359">
        <v>35</v>
      </c>
      <c r="D359">
        <v>0</v>
      </c>
      <c r="E359">
        <v>1</v>
      </c>
      <c r="F359" t="s">
        <v>202</v>
      </c>
      <c r="G359">
        <v>6.1749999999999998</v>
      </c>
      <c r="H359">
        <v>0</v>
      </c>
      <c r="I359">
        <v>0</v>
      </c>
      <c r="J359">
        <v>0</v>
      </c>
      <c r="K359">
        <v>-2307.39</v>
      </c>
      <c r="L359">
        <v>-759.71</v>
      </c>
      <c r="M359">
        <v>-23802.42</v>
      </c>
    </row>
    <row r="360" spans="1:13">
      <c r="A360">
        <v>2</v>
      </c>
      <c r="B360" t="s">
        <v>200</v>
      </c>
      <c r="C360">
        <v>36</v>
      </c>
      <c r="D360">
        <v>1</v>
      </c>
      <c r="E360">
        <v>0</v>
      </c>
      <c r="F360" t="s">
        <v>201</v>
      </c>
      <c r="G360">
        <v>0</v>
      </c>
      <c r="H360">
        <v>26052.21</v>
      </c>
      <c r="I360">
        <v>-8473.32</v>
      </c>
      <c r="J360">
        <v>-28081.93</v>
      </c>
      <c r="K360">
        <v>0</v>
      </c>
      <c r="L360">
        <v>0</v>
      </c>
      <c r="M360">
        <v>0</v>
      </c>
    </row>
    <row r="361" spans="1:13">
      <c r="A361">
        <v>2</v>
      </c>
      <c r="B361" t="s">
        <v>200</v>
      </c>
      <c r="C361">
        <v>36</v>
      </c>
      <c r="D361">
        <v>1</v>
      </c>
      <c r="E361">
        <v>0</v>
      </c>
      <c r="F361" t="s">
        <v>202</v>
      </c>
      <c r="G361">
        <v>6.1749999999999998</v>
      </c>
      <c r="H361">
        <v>20083.099999999999</v>
      </c>
      <c r="I361">
        <v>-8473.32</v>
      </c>
      <c r="J361">
        <v>-29563.13</v>
      </c>
      <c r="K361">
        <v>0</v>
      </c>
      <c r="L361">
        <v>0</v>
      </c>
      <c r="M361">
        <v>0</v>
      </c>
    </row>
    <row r="362" spans="1:13">
      <c r="A362">
        <v>2</v>
      </c>
      <c r="B362" t="s">
        <v>203</v>
      </c>
      <c r="C362">
        <v>1</v>
      </c>
      <c r="D362">
        <v>1</v>
      </c>
      <c r="E362">
        <v>1</v>
      </c>
      <c r="F362" t="s">
        <v>201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</row>
    <row r="363" spans="1:13">
      <c r="A363">
        <v>2</v>
      </c>
      <c r="B363" t="s">
        <v>203</v>
      </c>
      <c r="C363">
        <v>1</v>
      </c>
      <c r="D363">
        <v>0</v>
      </c>
      <c r="E363">
        <v>1</v>
      </c>
      <c r="F363" t="s">
        <v>202</v>
      </c>
      <c r="G363">
        <v>1.5649999999999999</v>
      </c>
      <c r="H363">
        <v>0</v>
      </c>
      <c r="I363">
        <v>0</v>
      </c>
      <c r="J363">
        <v>0</v>
      </c>
      <c r="K363">
        <v>-696.5</v>
      </c>
      <c r="L363">
        <v>-890.09</v>
      </c>
      <c r="M363">
        <v>0</v>
      </c>
    </row>
    <row r="364" spans="1:13">
      <c r="A364">
        <v>2</v>
      </c>
      <c r="B364" t="s">
        <v>203</v>
      </c>
      <c r="C364">
        <v>2</v>
      </c>
      <c r="D364">
        <v>0</v>
      </c>
      <c r="E364">
        <v>1</v>
      </c>
      <c r="F364" t="s">
        <v>201</v>
      </c>
      <c r="G364">
        <v>0</v>
      </c>
      <c r="H364">
        <v>0</v>
      </c>
      <c r="I364">
        <v>0</v>
      </c>
      <c r="J364">
        <v>0</v>
      </c>
      <c r="K364">
        <v>-696.5</v>
      </c>
      <c r="L364">
        <v>-890.09</v>
      </c>
      <c r="M364">
        <v>0</v>
      </c>
    </row>
    <row r="365" spans="1:13">
      <c r="A365">
        <v>2</v>
      </c>
      <c r="B365" t="s">
        <v>203</v>
      </c>
      <c r="C365">
        <v>2</v>
      </c>
      <c r="D365">
        <v>0</v>
      </c>
      <c r="E365">
        <v>1</v>
      </c>
      <c r="F365" t="s">
        <v>202</v>
      </c>
      <c r="G365">
        <v>0.27500000000000002</v>
      </c>
      <c r="H365">
        <v>0</v>
      </c>
      <c r="I365">
        <v>0</v>
      </c>
      <c r="J365">
        <v>0</v>
      </c>
      <c r="K365">
        <v>-3268.13</v>
      </c>
      <c r="L365">
        <v>-19247.93</v>
      </c>
      <c r="M365">
        <v>0</v>
      </c>
    </row>
    <row r="366" spans="1:13">
      <c r="A366">
        <v>2</v>
      </c>
      <c r="B366" t="s">
        <v>203</v>
      </c>
      <c r="C366">
        <v>3</v>
      </c>
      <c r="D366">
        <v>1</v>
      </c>
      <c r="E366">
        <v>1</v>
      </c>
      <c r="F366" t="s">
        <v>201</v>
      </c>
      <c r="G366">
        <v>0</v>
      </c>
      <c r="H366">
        <v>12355.99</v>
      </c>
      <c r="I366">
        <v>584.67999999999995</v>
      </c>
      <c r="J366">
        <v>3805.07</v>
      </c>
      <c r="K366">
        <v>70816.350000000006</v>
      </c>
      <c r="L366">
        <v>-12357.11</v>
      </c>
      <c r="M366">
        <v>18242.09</v>
      </c>
    </row>
    <row r="367" spans="1:13">
      <c r="A367">
        <v>2</v>
      </c>
      <c r="B367" t="s">
        <v>203</v>
      </c>
      <c r="C367">
        <v>3</v>
      </c>
      <c r="D367">
        <v>1</v>
      </c>
      <c r="E367">
        <v>1</v>
      </c>
      <c r="F367" t="s">
        <v>202</v>
      </c>
      <c r="G367">
        <v>0.27500000000000002</v>
      </c>
      <c r="H367">
        <v>12495.27</v>
      </c>
      <c r="I367">
        <v>428.28</v>
      </c>
      <c r="J367">
        <v>3805.07</v>
      </c>
      <c r="K367">
        <v>67396.639999999999</v>
      </c>
      <c r="L367">
        <v>-12513.52</v>
      </c>
      <c r="M367">
        <v>18242.09</v>
      </c>
    </row>
    <row r="368" spans="1:13">
      <c r="A368">
        <v>2</v>
      </c>
      <c r="B368" t="s">
        <v>203</v>
      </c>
      <c r="C368">
        <v>4</v>
      </c>
      <c r="D368">
        <v>1</v>
      </c>
      <c r="E368">
        <v>1</v>
      </c>
      <c r="F368" t="s">
        <v>201</v>
      </c>
      <c r="G368">
        <v>0</v>
      </c>
      <c r="H368">
        <v>12495.27</v>
      </c>
      <c r="I368">
        <v>428.28</v>
      </c>
      <c r="J368">
        <v>3805.07</v>
      </c>
      <c r="K368">
        <v>67396.639999999999</v>
      </c>
      <c r="L368">
        <v>-12513.52</v>
      </c>
      <c r="M368">
        <v>18242.09</v>
      </c>
    </row>
    <row r="369" spans="1:13">
      <c r="A369">
        <v>2</v>
      </c>
      <c r="B369" t="s">
        <v>203</v>
      </c>
      <c r="C369">
        <v>4</v>
      </c>
      <c r="D369">
        <v>1</v>
      </c>
      <c r="E369">
        <v>1</v>
      </c>
      <c r="F369">
        <v>1</v>
      </c>
      <c r="G369">
        <v>0.875</v>
      </c>
      <c r="H369">
        <v>12870.01</v>
      </c>
      <c r="I369">
        <v>428.28</v>
      </c>
      <c r="J369">
        <v>3805.07</v>
      </c>
      <c r="K369">
        <v>56447.31</v>
      </c>
      <c r="L369">
        <v>-12513.52</v>
      </c>
      <c r="M369">
        <v>18242.09</v>
      </c>
    </row>
    <row r="370" spans="1:13">
      <c r="A370">
        <v>2</v>
      </c>
      <c r="B370" t="s">
        <v>203</v>
      </c>
      <c r="C370">
        <v>4</v>
      </c>
      <c r="D370">
        <v>0</v>
      </c>
      <c r="E370">
        <v>1</v>
      </c>
      <c r="F370">
        <v>2</v>
      </c>
      <c r="G370">
        <v>2.9609999999999999</v>
      </c>
      <c r="H370">
        <v>0</v>
      </c>
      <c r="I370">
        <v>0</v>
      </c>
      <c r="J370">
        <v>0</v>
      </c>
      <c r="K370">
        <v>21801.77</v>
      </c>
      <c r="L370">
        <v>-17600.490000000002</v>
      </c>
      <c r="M370">
        <v>18242.09</v>
      </c>
    </row>
    <row r="371" spans="1:13">
      <c r="A371">
        <v>2</v>
      </c>
      <c r="B371" t="s">
        <v>203</v>
      </c>
      <c r="C371">
        <v>4</v>
      </c>
      <c r="D371">
        <v>0</v>
      </c>
      <c r="E371">
        <v>1</v>
      </c>
      <c r="F371">
        <v>3</v>
      </c>
      <c r="G371">
        <v>5.0460000000000003</v>
      </c>
      <c r="H371">
        <v>0</v>
      </c>
      <c r="I371">
        <v>0</v>
      </c>
      <c r="J371">
        <v>0</v>
      </c>
      <c r="K371">
        <v>-16131.5</v>
      </c>
      <c r="L371">
        <v>-18786.34</v>
      </c>
      <c r="M371">
        <v>18242.09</v>
      </c>
    </row>
    <row r="372" spans="1:13">
      <c r="A372">
        <v>2</v>
      </c>
      <c r="B372" t="s">
        <v>203</v>
      </c>
      <c r="C372">
        <v>4</v>
      </c>
      <c r="D372">
        <v>0</v>
      </c>
      <c r="E372">
        <v>1</v>
      </c>
      <c r="F372" t="s">
        <v>202</v>
      </c>
      <c r="G372">
        <v>5.92</v>
      </c>
      <c r="H372">
        <v>0</v>
      </c>
      <c r="I372">
        <v>0</v>
      </c>
      <c r="J372">
        <v>0</v>
      </c>
      <c r="K372">
        <v>-32767.98</v>
      </c>
      <c r="L372">
        <v>-19283.43</v>
      </c>
      <c r="M372">
        <v>18242.09</v>
      </c>
    </row>
    <row r="373" spans="1:13">
      <c r="A373">
        <v>2</v>
      </c>
      <c r="B373" t="s">
        <v>203</v>
      </c>
      <c r="C373">
        <v>5</v>
      </c>
      <c r="D373">
        <v>0</v>
      </c>
      <c r="E373">
        <v>1</v>
      </c>
      <c r="F373" t="s">
        <v>201</v>
      </c>
      <c r="G373">
        <v>0</v>
      </c>
      <c r="H373">
        <v>0</v>
      </c>
      <c r="I373">
        <v>0</v>
      </c>
      <c r="J373">
        <v>0</v>
      </c>
      <c r="K373">
        <v>-32767.98</v>
      </c>
      <c r="L373">
        <v>-19283.43</v>
      </c>
      <c r="M373">
        <v>18242.09</v>
      </c>
    </row>
    <row r="374" spans="1:13">
      <c r="A374">
        <v>2</v>
      </c>
      <c r="B374" t="s">
        <v>203</v>
      </c>
      <c r="C374">
        <v>5</v>
      </c>
      <c r="D374">
        <v>0</v>
      </c>
      <c r="E374">
        <v>1</v>
      </c>
      <c r="F374" t="s">
        <v>202</v>
      </c>
      <c r="G374">
        <v>0.27500000000000002</v>
      </c>
      <c r="H374">
        <v>0</v>
      </c>
      <c r="I374">
        <v>0</v>
      </c>
      <c r="J374">
        <v>0</v>
      </c>
      <c r="K374">
        <v>-38092.43</v>
      </c>
      <c r="L374">
        <v>-19439.830000000002</v>
      </c>
      <c r="M374">
        <v>18242.09</v>
      </c>
    </row>
    <row r="375" spans="1:13">
      <c r="A375">
        <v>2</v>
      </c>
      <c r="B375" t="s">
        <v>203</v>
      </c>
      <c r="C375">
        <v>6</v>
      </c>
      <c r="D375">
        <v>1</v>
      </c>
      <c r="E375">
        <v>0</v>
      </c>
      <c r="F375" t="s">
        <v>201</v>
      </c>
      <c r="G375">
        <v>0</v>
      </c>
      <c r="H375">
        <v>-689.58</v>
      </c>
      <c r="I375">
        <v>13668.88</v>
      </c>
      <c r="J375">
        <v>6832.68</v>
      </c>
      <c r="K375">
        <v>0</v>
      </c>
      <c r="L375">
        <v>0</v>
      </c>
      <c r="M375">
        <v>0</v>
      </c>
    </row>
    <row r="376" spans="1:13">
      <c r="A376">
        <v>2</v>
      </c>
      <c r="B376" t="s">
        <v>203</v>
      </c>
      <c r="C376">
        <v>6</v>
      </c>
      <c r="D376">
        <v>1</v>
      </c>
      <c r="E376">
        <v>1</v>
      </c>
      <c r="F376" t="s">
        <v>202</v>
      </c>
      <c r="G376">
        <v>0.27500000000000002</v>
      </c>
      <c r="H376">
        <v>1363.68</v>
      </c>
      <c r="I376">
        <v>806.34</v>
      </c>
      <c r="J376">
        <v>6832.68</v>
      </c>
      <c r="K376">
        <v>24119.3</v>
      </c>
      <c r="L376">
        <v>-5756.84</v>
      </c>
      <c r="M376">
        <v>32939.14</v>
      </c>
    </row>
    <row r="377" spans="1:13">
      <c r="A377">
        <v>2</v>
      </c>
      <c r="B377" t="s">
        <v>203</v>
      </c>
      <c r="C377">
        <v>7</v>
      </c>
      <c r="D377">
        <v>1</v>
      </c>
      <c r="E377">
        <v>1</v>
      </c>
      <c r="F377" t="s">
        <v>201</v>
      </c>
      <c r="G377">
        <v>0</v>
      </c>
      <c r="H377">
        <v>1363.68</v>
      </c>
      <c r="I377">
        <v>806.34</v>
      </c>
      <c r="J377">
        <v>6832.68</v>
      </c>
      <c r="K377">
        <v>24119.3</v>
      </c>
      <c r="L377">
        <v>-5756.84</v>
      </c>
      <c r="M377">
        <v>32939.14</v>
      </c>
    </row>
    <row r="378" spans="1:13">
      <c r="A378">
        <v>2</v>
      </c>
      <c r="B378" t="s">
        <v>203</v>
      </c>
      <c r="C378">
        <v>7</v>
      </c>
      <c r="D378">
        <v>1</v>
      </c>
      <c r="E378">
        <v>1</v>
      </c>
      <c r="F378">
        <v>1</v>
      </c>
      <c r="G378">
        <v>0.875</v>
      </c>
      <c r="H378">
        <v>1851.49</v>
      </c>
      <c r="I378">
        <v>308.68</v>
      </c>
      <c r="J378">
        <v>6832.68</v>
      </c>
      <c r="K378">
        <v>18864.34</v>
      </c>
      <c r="L378">
        <v>-6254.5</v>
      </c>
      <c r="M378">
        <v>32939.14</v>
      </c>
    </row>
    <row r="379" spans="1:13">
      <c r="A379">
        <v>2</v>
      </c>
      <c r="B379" t="s">
        <v>203</v>
      </c>
      <c r="C379">
        <v>7</v>
      </c>
      <c r="D379">
        <v>0</v>
      </c>
      <c r="E379">
        <v>1</v>
      </c>
      <c r="F379">
        <v>2</v>
      </c>
      <c r="G379">
        <v>2.96</v>
      </c>
      <c r="H379">
        <v>0</v>
      </c>
      <c r="I379">
        <v>0</v>
      </c>
      <c r="J379">
        <v>0</v>
      </c>
      <c r="K379">
        <v>4587.4799999999996</v>
      </c>
      <c r="L379">
        <v>-7440.34</v>
      </c>
      <c r="M379">
        <v>32939.14</v>
      </c>
    </row>
    <row r="380" spans="1:13">
      <c r="A380">
        <v>2</v>
      </c>
      <c r="B380" t="s">
        <v>203</v>
      </c>
      <c r="C380">
        <v>7</v>
      </c>
      <c r="D380">
        <v>0</v>
      </c>
      <c r="E380">
        <v>1</v>
      </c>
      <c r="F380">
        <v>3</v>
      </c>
      <c r="G380">
        <v>5.0449999999999999</v>
      </c>
      <c r="H380">
        <v>0</v>
      </c>
      <c r="I380">
        <v>0</v>
      </c>
      <c r="J380">
        <v>0</v>
      </c>
      <c r="K380">
        <v>-12161.87</v>
      </c>
      <c r="L380">
        <v>-8626.18</v>
      </c>
      <c r="M380">
        <v>32939.14</v>
      </c>
    </row>
    <row r="381" spans="1:13">
      <c r="A381">
        <v>2</v>
      </c>
      <c r="B381" t="s">
        <v>203</v>
      </c>
      <c r="C381">
        <v>7</v>
      </c>
      <c r="D381">
        <v>0</v>
      </c>
      <c r="E381">
        <v>1</v>
      </c>
      <c r="F381" t="s">
        <v>202</v>
      </c>
      <c r="G381">
        <v>5.92</v>
      </c>
      <c r="H381">
        <v>0</v>
      </c>
      <c r="I381">
        <v>0</v>
      </c>
      <c r="J381">
        <v>0</v>
      </c>
      <c r="K381">
        <v>-19927.5</v>
      </c>
      <c r="L381">
        <v>-9123.84</v>
      </c>
      <c r="M381">
        <v>32939.14</v>
      </c>
    </row>
    <row r="382" spans="1:13">
      <c r="A382">
        <v>2</v>
      </c>
      <c r="B382" t="s">
        <v>203</v>
      </c>
      <c r="C382">
        <v>8</v>
      </c>
      <c r="D382">
        <v>0</v>
      </c>
      <c r="E382">
        <v>1</v>
      </c>
      <c r="F382" t="s">
        <v>201</v>
      </c>
      <c r="G382">
        <v>0</v>
      </c>
      <c r="H382">
        <v>0</v>
      </c>
      <c r="I382">
        <v>0</v>
      </c>
      <c r="J382">
        <v>0</v>
      </c>
      <c r="K382">
        <v>-19927.5</v>
      </c>
      <c r="L382">
        <v>-9123.84</v>
      </c>
      <c r="M382">
        <v>32939.14</v>
      </c>
    </row>
    <row r="383" spans="1:13">
      <c r="A383">
        <v>2</v>
      </c>
      <c r="B383" t="s">
        <v>203</v>
      </c>
      <c r="C383">
        <v>8</v>
      </c>
      <c r="D383">
        <v>0</v>
      </c>
      <c r="E383">
        <v>1</v>
      </c>
      <c r="F383" t="s">
        <v>202</v>
      </c>
      <c r="G383">
        <v>0.27500000000000002</v>
      </c>
      <c r="H383">
        <v>0</v>
      </c>
      <c r="I383">
        <v>0</v>
      </c>
      <c r="J383">
        <v>0</v>
      </c>
      <c r="K383">
        <v>-22458.06</v>
      </c>
      <c r="L383">
        <v>-9280.25</v>
      </c>
      <c r="M383">
        <v>32939.14</v>
      </c>
    </row>
    <row r="384" spans="1:13">
      <c r="A384">
        <v>2</v>
      </c>
      <c r="B384" t="s">
        <v>203</v>
      </c>
      <c r="C384">
        <v>9</v>
      </c>
      <c r="D384">
        <v>1</v>
      </c>
      <c r="E384">
        <v>0</v>
      </c>
      <c r="F384" t="s">
        <v>201</v>
      </c>
      <c r="G384">
        <v>0</v>
      </c>
      <c r="H384">
        <v>1669.94</v>
      </c>
      <c r="I384">
        <v>16776.060000000001</v>
      </c>
      <c r="J384">
        <v>8290.39</v>
      </c>
      <c r="K384">
        <v>0</v>
      </c>
      <c r="L384">
        <v>0</v>
      </c>
      <c r="M384">
        <v>0</v>
      </c>
    </row>
    <row r="385" spans="1:13">
      <c r="A385">
        <v>2</v>
      </c>
      <c r="B385" t="s">
        <v>203</v>
      </c>
      <c r="C385">
        <v>9</v>
      </c>
      <c r="D385">
        <v>1</v>
      </c>
      <c r="E385">
        <v>1</v>
      </c>
      <c r="F385" t="s">
        <v>202</v>
      </c>
      <c r="G385">
        <v>0.27500000000000002</v>
      </c>
      <c r="H385">
        <v>3024.67</v>
      </c>
      <c r="I385">
        <v>82.02</v>
      </c>
      <c r="J385">
        <v>8290.39</v>
      </c>
      <c r="K385">
        <v>8626.2099999999991</v>
      </c>
      <c r="L385">
        <v>-1469.93</v>
      </c>
      <c r="M385">
        <v>40046.019999999997</v>
      </c>
    </row>
    <row r="386" spans="1:13">
      <c r="A386">
        <v>2</v>
      </c>
      <c r="B386" t="s">
        <v>203</v>
      </c>
      <c r="C386">
        <v>10</v>
      </c>
      <c r="D386">
        <v>1</v>
      </c>
      <c r="E386">
        <v>1</v>
      </c>
      <c r="F386" t="s">
        <v>201</v>
      </c>
      <c r="G386">
        <v>0</v>
      </c>
      <c r="H386">
        <v>3024.67</v>
      </c>
      <c r="I386">
        <v>82.02</v>
      </c>
      <c r="J386">
        <v>8290.39</v>
      </c>
      <c r="K386">
        <v>8626.2099999999991</v>
      </c>
      <c r="L386">
        <v>-1469.93</v>
      </c>
      <c r="M386">
        <v>40046.019999999997</v>
      </c>
    </row>
    <row r="387" spans="1:13">
      <c r="A387">
        <v>2</v>
      </c>
      <c r="B387" t="s">
        <v>203</v>
      </c>
      <c r="C387">
        <v>10</v>
      </c>
      <c r="D387">
        <v>0</v>
      </c>
      <c r="E387">
        <v>1</v>
      </c>
      <c r="F387">
        <v>1</v>
      </c>
      <c r="G387">
        <v>0.875</v>
      </c>
      <c r="H387">
        <v>0</v>
      </c>
      <c r="I387">
        <v>0</v>
      </c>
      <c r="J387">
        <v>0</v>
      </c>
      <c r="K387">
        <v>7122.3</v>
      </c>
      <c r="L387">
        <v>-1967.59</v>
      </c>
      <c r="M387">
        <v>40046.019999999997</v>
      </c>
    </row>
    <row r="388" spans="1:13">
      <c r="A388">
        <v>2</v>
      </c>
      <c r="B388" t="s">
        <v>203</v>
      </c>
      <c r="C388">
        <v>10</v>
      </c>
      <c r="D388">
        <v>0</v>
      </c>
      <c r="E388">
        <v>1</v>
      </c>
      <c r="F388">
        <v>2</v>
      </c>
      <c r="G388">
        <v>2.96</v>
      </c>
      <c r="H388">
        <v>0</v>
      </c>
      <c r="I388">
        <v>0</v>
      </c>
      <c r="J388">
        <v>0</v>
      </c>
      <c r="K388">
        <v>1783.64</v>
      </c>
      <c r="L388">
        <v>-3153.43</v>
      </c>
      <c r="M388">
        <v>40046.019999999997</v>
      </c>
    </row>
    <row r="389" spans="1:13">
      <c r="A389">
        <v>2</v>
      </c>
      <c r="B389" t="s">
        <v>203</v>
      </c>
      <c r="C389">
        <v>10</v>
      </c>
      <c r="D389">
        <v>0</v>
      </c>
      <c r="E389">
        <v>1</v>
      </c>
      <c r="F389">
        <v>3</v>
      </c>
      <c r="G389">
        <v>5.0449999999999999</v>
      </c>
      <c r="H389">
        <v>0</v>
      </c>
      <c r="I389">
        <v>0</v>
      </c>
      <c r="J389">
        <v>0</v>
      </c>
      <c r="K389">
        <v>-6027.5</v>
      </c>
      <c r="L389">
        <v>-4339.2700000000004</v>
      </c>
      <c r="M389">
        <v>40046.019999999997</v>
      </c>
    </row>
    <row r="390" spans="1:13">
      <c r="A390">
        <v>2</v>
      </c>
      <c r="B390" t="s">
        <v>203</v>
      </c>
      <c r="C390">
        <v>10</v>
      </c>
      <c r="D390">
        <v>0</v>
      </c>
      <c r="E390">
        <v>1</v>
      </c>
      <c r="F390" t="s">
        <v>202</v>
      </c>
      <c r="G390">
        <v>5.92</v>
      </c>
      <c r="H390">
        <v>0</v>
      </c>
      <c r="I390">
        <v>0</v>
      </c>
      <c r="J390">
        <v>0</v>
      </c>
      <c r="K390">
        <v>-10042.09</v>
      </c>
      <c r="L390">
        <v>-4836.93</v>
      </c>
      <c r="M390">
        <v>40046.019999999997</v>
      </c>
    </row>
    <row r="391" spans="1:13">
      <c r="A391">
        <v>2</v>
      </c>
      <c r="B391" t="s">
        <v>203</v>
      </c>
      <c r="C391">
        <v>11</v>
      </c>
      <c r="D391">
        <v>0</v>
      </c>
      <c r="E391">
        <v>1</v>
      </c>
      <c r="F391" t="s">
        <v>201</v>
      </c>
      <c r="G391">
        <v>0</v>
      </c>
      <c r="H391">
        <v>0</v>
      </c>
      <c r="I391">
        <v>0</v>
      </c>
      <c r="J391">
        <v>0</v>
      </c>
      <c r="K391">
        <v>-10042.09</v>
      </c>
      <c r="L391">
        <v>-4836.93</v>
      </c>
      <c r="M391">
        <v>40046.019999999997</v>
      </c>
    </row>
    <row r="392" spans="1:13">
      <c r="A392">
        <v>2</v>
      </c>
      <c r="B392" t="s">
        <v>203</v>
      </c>
      <c r="C392">
        <v>11</v>
      </c>
      <c r="D392">
        <v>0</v>
      </c>
      <c r="E392">
        <v>1</v>
      </c>
      <c r="F392" t="s">
        <v>202</v>
      </c>
      <c r="G392">
        <v>0.27500000000000002</v>
      </c>
      <c r="H392">
        <v>0</v>
      </c>
      <c r="I392">
        <v>0</v>
      </c>
      <c r="J392">
        <v>0</v>
      </c>
      <c r="K392">
        <v>-11393.75</v>
      </c>
      <c r="L392">
        <v>-4993.33</v>
      </c>
      <c r="M392">
        <v>40046.019999999997</v>
      </c>
    </row>
    <row r="393" spans="1:13">
      <c r="A393">
        <v>2</v>
      </c>
      <c r="B393" t="s">
        <v>203</v>
      </c>
      <c r="C393">
        <v>12</v>
      </c>
      <c r="D393">
        <v>1</v>
      </c>
      <c r="E393">
        <v>0</v>
      </c>
      <c r="F393" t="s">
        <v>201</v>
      </c>
      <c r="G393">
        <v>0</v>
      </c>
      <c r="H393">
        <v>-14310.43</v>
      </c>
      <c r="I393">
        <v>6052.38</v>
      </c>
      <c r="J393">
        <v>39354.43</v>
      </c>
      <c r="K393">
        <v>0</v>
      </c>
      <c r="L393">
        <v>0</v>
      </c>
      <c r="M393">
        <v>0</v>
      </c>
    </row>
    <row r="394" spans="1:13">
      <c r="A394">
        <v>2</v>
      </c>
      <c r="B394" t="s">
        <v>203</v>
      </c>
      <c r="C394">
        <v>12</v>
      </c>
      <c r="D394">
        <v>1</v>
      </c>
      <c r="E394">
        <v>0</v>
      </c>
      <c r="F394" t="s">
        <v>202</v>
      </c>
      <c r="G394">
        <v>0.27500000000000002</v>
      </c>
      <c r="H394">
        <v>-12667.53</v>
      </c>
      <c r="I394">
        <v>5895.97</v>
      </c>
      <c r="J394">
        <v>39354.43</v>
      </c>
      <c r="K394">
        <v>0</v>
      </c>
      <c r="L394">
        <v>0</v>
      </c>
      <c r="M394">
        <v>0</v>
      </c>
    </row>
    <row r="395" spans="1:13">
      <c r="A395">
        <v>2</v>
      </c>
      <c r="B395" t="s">
        <v>203</v>
      </c>
      <c r="C395">
        <v>13</v>
      </c>
      <c r="D395">
        <v>1</v>
      </c>
      <c r="E395">
        <v>0</v>
      </c>
      <c r="F395" t="s">
        <v>201</v>
      </c>
      <c r="G395">
        <v>0</v>
      </c>
      <c r="H395">
        <v>-12667.53</v>
      </c>
      <c r="I395">
        <v>5895.97</v>
      </c>
      <c r="J395">
        <v>39354.43</v>
      </c>
      <c r="K395">
        <v>0</v>
      </c>
      <c r="L395">
        <v>0</v>
      </c>
      <c r="M395">
        <v>0</v>
      </c>
    </row>
    <row r="396" spans="1:13">
      <c r="A396">
        <v>2</v>
      </c>
      <c r="B396" t="s">
        <v>203</v>
      </c>
      <c r="C396">
        <v>13</v>
      </c>
      <c r="D396">
        <v>1</v>
      </c>
      <c r="E396">
        <v>0</v>
      </c>
      <c r="F396">
        <v>1</v>
      </c>
      <c r="G396">
        <v>0.875</v>
      </c>
      <c r="H396">
        <v>-7726.28</v>
      </c>
      <c r="I396">
        <v>5398.32</v>
      </c>
      <c r="J396">
        <v>39354.43</v>
      </c>
      <c r="K396">
        <v>0</v>
      </c>
      <c r="L396">
        <v>0</v>
      </c>
      <c r="M396">
        <v>0</v>
      </c>
    </row>
    <row r="397" spans="1:13">
      <c r="A397">
        <v>2</v>
      </c>
      <c r="B397" t="s">
        <v>203</v>
      </c>
      <c r="C397">
        <v>13</v>
      </c>
      <c r="D397">
        <v>1</v>
      </c>
      <c r="E397">
        <v>0</v>
      </c>
      <c r="F397">
        <v>2</v>
      </c>
      <c r="G397">
        <v>2.96</v>
      </c>
      <c r="H397">
        <v>2292.9699999999998</v>
      </c>
      <c r="I397">
        <v>4212.47</v>
      </c>
      <c r="J397">
        <v>39354.43</v>
      </c>
      <c r="K397">
        <v>0</v>
      </c>
      <c r="L397">
        <v>0</v>
      </c>
      <c r="M397">
        <v>0</v>
      </c>
    </row>
    <row r="398" spans="1:13">
      <c r="A398">
        <v>2</v>
      </c>
      <c r="B398" t="s">
        <v>203</v>
      </c>
      <c r="C398">
        <v>13</v>
      </c>
      <c r="D398">
        <v>1</v>
      </c>
      <c r="E398">
        <v>0</v>
      </c>
      <c r="F398">
        <v>3</v>
      </c>
      <c r="G398">
        <v>5.0449999999999999</v>
      </c>
      <c r="H398">
        <v>9839.73</v>
      </c>
      <c r="I398">
        <v>3026.63</v>
      </c>
      <c r="J398">
        <v>39354.43</v>
      </c>
      <c r="K398">
        <v>0</v>
      </c>
      <c r="L398">
        <v>0</v>
      </c>
      <c r="M398">
        <v>0</v>
      </c>
    </row>
    <row r="399" spans="1:13">
      <c r="A399">
        <v>2</v>
      </c>
      <c r="B399" t="s">
        <v>203</v>
      </c>
      <c r="C399">
        <v>13</v>
      </c>
      <c r="D399">
        <v>1</v>
      </c>
      <c r="E399">
        <v>0</v>
      </c>
      <c r="F399" t="s">
        <v>202</v>
      </c>
      <c r="G399">
        <v>5.92</v>
      </c>
      <c r="H399">
        <v>12270.31</v>
      </c>
      <c r="I399">
        <v>2528.9699999999998</v>
      </c>
      <c r="J399">
        <v>39354.43</v>
      </c>
      <c r="K399">
        <v>0</v>
      </c>
      <c r="L399">
        <v>0</v>
      </c>
      <c r="M399">
        <v>0</v>
      </c>
    </row>
    <row r="400" spans="1:13">
      <c r="A400">
        <v>2</v>
      </c>
      <c r="B400" t="s">
        <v>203</v>
      </c>
      <c r="C400">
        <v>14</v>
      </c>
      <c r="D400">
        <v>1</v>
      </c>
      <c r="E400">
        <v>0</v>
      </c>
      <c r="F400" t="s">
        <v>201</v>
      </c>
      <c r="G400">
        <v>0</v>
      </c>
      <c r="H400">
        <v>12270.31</v>
      </c>
      <c r="I400">
        <v>2528.9699999999998</v>
      </c>
      <c r="J400">
        <v>39354.43</v>
      </c>
      <c r="K400">
        <v>0</v>
      </c>
      <c r="L400">
        <v>0</v>
      </c>
      <c r="M400">
        <v>0</v>
      </c>
    </row>
    <row r="401" spans="1:13">
      <c r="A401">
        <v>2</v>
      </c>
      <c r="B401" t="s">
        <v>203</v>
      </c>
      <c r="C401">
        <v>14</v>
      </c>
      <c r="D401">
        <v>0</v>
      </c>
      <c r="E401">
        <v>1</v>
      </c>
      <c r="F401" t="s">
        <v>202</v>
      </c>
      <c r="G401">
        <v>0.27500000000000002</v>
      </c>
      <c r="H401">
        <v>0</v>
      </c>
      <c r="I401">
        <v>0</v>
      </c>
      <c r="J401">
        <v>0</v>
      </c>
      <c r="K401">
        <v>2799.62</v>
      </c>
      <c r="L401">
        <v>-16470.41</v>
      </c>
      <c r="M401">
        <v>8153.32</v>
      </c>
    </row>
    <row r="402" spans="1:13">
      <c r="A402">
        <v>2</v>
      </c>
      <c r="B402" t="s">
        <v>203</v>
      </c>
      <c r="C402">
        <v>15</v>
      </c>
      <c r="D402">
        <v>1</v>
      </c>
      <c r="E402">
        <v>0</v>
      </c>
      <c r="F402" t="s">
        <v>201</v>
      </c>
      <c r="G402">
        <v>0</v>
      </c>
      <c r="H402">
        <v>-23421.24</v>
      </c>
      <c r="I402">
        <v>9868.6</v>
      </c>
      <c r="J402">
        <v>31063.09</v>
      </c>
      <c r="K402">
        <v>0</v>
      </c>
      <c r="L402">
        <v>0</v>
      </c>
      <c r="M402">
        <v>0</v>
      </c>
    </row>
    <row r="403" spans="1:13">
      <c r="A403">
        <v>2</v>
      </c>
      <c r="B403" t="s">
        <v>203</v>
      </c>
      <c r="C403">
        <v>15</v>
      </c>
      <c r="D403">
        <v>1</v>
      </c>
      <c r="E403">
        <v>0</v>
      </c>
      <c r="F403" t="s">
        <v>202</v>
      </c>
      <c r="G403">
        <v>0.27500000000000002</v>
      </c>
      <c r="H403">
        <v>-20728.88</v>
      </c>
      <c r="I403">
        <v>9712.2000000000007</v>
      </c>
      <c r="J403">
        <v>31063.09</v>
      </c>
      <c r="K403">
        <v>0</v>
      </c>
      <c r="L403">
        <v>0</v>
      </c>
      <c r="M403">
        <v>0</v>
      </c>
    </row>
    <row r="404" spans="1:13">
      <c r="A404">
        <v>2</v>
      </c>
      <c r="B404" t="s">
        <v>203</v>
      </c>
      <c r="C404">
        <v>16</v>
      </c>
      <c r="D404">
        <v>1</v>
      </c>
      <c r="E404">
        <v>0</v>
      </c>
      <c r="F404" t="s">
        <v>201</v>
      </c>
      <c r="G404">
        <v>0</v>
      </c>
      <c r="H404">
        <v>-20728.88</v>
      </c>
      <c r="I404">
        <v>9712.2000000000007</v>
      </c>
      <c r="J404">
        <v>31063.09</v>
      </c>
      <c r="K404">
        <v>0</v>
      </c>
      <c r="L404">
        <v>0</v>
      </c>
      <c r="M404">
        <v>0</v>
      </c>
    </row>
    <row r="405" spans="1:13">
      <c r="A405">
        <v>2</v>
      </c>
      <c r="B405" t="s">
        <v>203</v>
      </c>
      <c r="C405">
        <v>16</v>
      </c>
      <c r="D405">
        <v>1</v>
      </c>
      <c r="E405">
        <v>0</v>
      </c>
      <c r="F405">
        <v>1</v>
      </c>
      <c r="G405">
        <v>0.875</v>
      </c>
      <c r="H405">
        <v>-12448.43</v>
      </c>
      <c r="I405">
        <v>9214.5400000000009</v>
      </c>
      <c r="J405">
        <v>31063.09</v>
      </c>
      <c r="K405">
        <v>0</v>
      </c>
      <c r="L405">
        <v>0</v>
      </c>
      <c r="M405">
        <v>0</v>
      </c>
    </row>
    <row r="406" spans="1:13">
      <c r="A406">
        <v>2</v>
      </c>
      <c r="B406" t="s">
        <v>203</v>
      </c>
      <c r="C406">
        <v>16</v>
      </c>
      <c r="D406">
        <v>1</v>
      </c>
      <c r="E406">
        <v>0</v>
      </c>
      <c r="F406">
        <v>2</v>
      </c>
      <c r="G406">
        <v>2.96</v>
      </c>
      <c r="H406">
        <v>5527.65</v>
      </c>
      <c r="I406">
        <v>8028.7</v>
      </c>
      <c r="J406">
        <v>31063.09</v>
      </c>
      <c r="K406">
        <v>0</v>
      </c>
      <c r="L406">
        <v>0</v>
      </c>
      <c r="M406">
        <v>0</v>
      </c>
    </row>
    <row r="407" spans="1:13">
      <c r="A407">
        <v>2</v>
      </c>
      <c r="B407" t="s">
        <v>203</v>
      </c>
      <c r="C407">
        <v>16</v>
      </c>
      <c r="D407">
        <v>1</v>
      </c>
      <c r="E407">
        <v>1</v>
      </c>
      <c r="F407">
        <v>3</v>
      </c>
      <c r="G407">
        <v>5.0449999999999999</v>
      </c>
      <c r="H407">
        <v>21031.24</v>
      </c>
      <c r="I407">
        <v>6842.85</v>
      </c>
      <c r="J407">
        <v>31063.09</v>
      </c>
      <c r="K407">
        <v>2252.12</v>
      </c>
      <c r="L407">
        <v>-293.57</v>
      </c>
      <c r="M407">
        <v>6493.52</v>
      </c>
    </row>
    <row r="408" spans="1:13">
      <c r="A408">
        <v>2</v>
      </c>
      <c r="B408" t="s">
        <v>203</v>
      </c>
      <c r="C408">
        <v>16</v>
      </c>
      <c r="D408">
        <v>1</v>
      </c>
      <c r="E408">
        <v>1</v>
      </c>
      <c r="F408" t="s">
        <v>202</v>
      </c>
      <c r="G408">
        <v>5.92</v>
      </c>
      <c r="H408">
        <v>26801.01</v>
      </c>
      <c r="I408">
        <v>6345.2</v>
      </c>
      <c r="J408">
        <v>31063.09</v>
      </c>
      <c r="K408">
        <v>1777.52</v>
      </c>
      <c r="L408">
        <v>-791.23</v>
      </c>
      <c r="M408">
        <v>6493.52</v>
      </c>
    </row>
    <row r="409" spans="1:13">
      <c r="A409">
        <v>2</v>
      </c>
      <c r="B409" t="s">
        <v>203</v>
      </c>
      <c r="C409">
        <v>17</v>
      </c>
      <c r="D409">
        <v>1</v>
      </c>
      <c r="E409">
        <v>1</v>
      </c>
      <c r="F409" t="s">
        <v>201</v>
      </c>
      <c r="G409">
        <v>0</v>
      </c>
      <c r="H409">
        <v>26801.01</v>
      </c>
      <c r="I409">
        <v>6345.2</v>
      </c>
      <c r="J409">
        <v>31063.09</v>
      </c>
      <c r="K409">
        <v>1777.52</v>
      </c>
      <c r="L409">
        <v>-791.23</v>
      </c>
      <c r="M409">
        <v>6493.52</v>
      </c>
    </row>
    <row r="410" spans="1:13">
      <c r="A410">
        <v>2</v>
      </c>
      <c r="B410" t="s">
        <v>203</v>
      </c>
      <c r="C410">
        <v>17</v>
      </c>
      <c r="D410">
        <v>0</v>
      </c>
      <c r="E410">
        <v>1</v>
      </c>
      <c r="F410" t="s">
        <v>202</v>
      </c>
      <c r="G410">
        <v>0.27500000000000002</v>
      </c>
      <c r="H410">
        <v>0</v>
      </c>
      <c r="I410">
        <v>0</v>
      </c>
      <c r="J410">
        <v>0</v>
      </c>
      <c r="K410">
        <v>-262.14</v>
      </c>
      <c r="L410">
        <v>-13663.09</v>
      </c>
      <c r="M410">
        <v>6493.52</v>
      </c>
    </row>
    <row r="411" spans="1:13">
      <c r="A411">
        <v>2</v>
      </c>
      <c r="B411" t="s">
        <v>203</v>
      </c>
      <c r="C411">
        <v>18</v>
      </c>
      <c r="D411">
        <v>1</v>
      </c>
      <c r="E411">
        <v>0</v>
      </c>
      <c r="F411" t="s">
        <v>201</v>
      </c>
      <c r="G411">
        <v>0</v>
      </c>
      <c r="H411">
        <v>-39672.04</v>
      </c>
      <c r="I411">
        <v>16337.5</v>
      </c>
      <c r="J411">
        <v>15262.48</v>
      </c>
      <c r="K411">
        <v>0</v>
      </c>
      <c r="L411">
        <v>0</v>
      </c>
      <c r="M411">
        <v>0</v>
      </c>
    </row>
    <row r="412" spans="1:13">
      <c r="A412">
        <v>2</v>
      </c>
      <c r="B412" t="s">
        <v>203</v>
      </c>
      <c r="C412">
        <v>18</v>
      </c>
      <c r="D412">
        <v>1</v>
      </c>
      <c r="E412">
        <v>0</v>
      </c>
      <c r="F412" t="s">
        <v>202</v>
      </c>
      <c r="G412">
        <v>0.27500000000000002</v>
      </c>
      <c r="H412">
        <v>-35200.730000000003</v>
      </c>
      <c r="I412">
        <v>16181.09</v>
      </c>
      <c r="J412">
        <v>15262.48</v>
      </c>
      <c r="K412">
        <v>0</v>
      </c>
      <c r="L412">
        <v>0</v>
      </c>
      <c r="M412">
        <v>0</v>
      </c>
    </row>
    <row r="413" spans="1:13">
      <c r="A413">
        <v>2</v>
      </c>
      <c r="B413" t="s">
        <v>203</v>
      </c>
      <c r="C413">
        <v>19</v>
      </c>
      <c r="D413">
        <v>1</v>
      </c>
      <c r="E413">
        <v>0</v>
      </c>
      <c r="F413" t="s">
        <v>201</v>
      </c>
      <c r="G413">
        <v>0</v>
      </c>
      <c r="H413">
        <v>-35200.730000000003</v>
      </c>
      <c r="I413">
        <v>16181.09</v>
      </c>
      <c r="J413">
        <v>15262.48</v>
      </c>
      <c r="K413">
        <v>0</v>
      </c>
      <c r="L413">
        <v>0</v>
      </c>
      <c r="M413">
        <v>0</v>
      </c>
    </row>
    <row r="414" spans="1:13">
      <c r="A414">
        <v>2</v>
      </c>
      <c r="B414" t="s">
        <v>203</v>
      </c>
      <c r="C414">
        <v>19</v>
      </c>
      <c r="D414">
        <v>1</v>
      </c>
      <c r="E414">
        <v>0</v>
      </c>
      <c r="F414">
        <v>1</v>
      </c>
      <c r="G414">
        <v>0.875</v>
      </c>
      <c r="H414">
        <v>-21042.28</v>
      </c>
      <c r="I414">
        <v>16181.09</v>
      </c>
      <c r="J414">
        <v>15262.48</v>
      </c>
      <c r="K414">
        <v>0</v>
      </c>
      <c r="L414">
        <v>0</v>
      </c>
      <c r="M414">
        <v>0</v>
      </c>
    </row>
    <row r="415" spans="1:13">
      <c r="A415">
        <v>2</v>
      </c>
      <c r="B415" t="s">
        <v>203</v>
      </c>
      <c r="C415">
        <v>19</v>
      </c>
      <c r="D415">
        <v>1</v>
      </c>
      <c r="E415">
        <v>0</v>
      </c>
      <c r="F415">
        <v>2</v>
      </c>
      <c r="G415">
        <v>2.96</v>
      </c>
      <c r="H415">
        <v>12695.29</v>
      </c>
      <c r="I415">
        <v>16181.09</v>
      </c>
      <c r="J415">
        <v>15262.48</v>
      </c>
      <c r="K415">
        <v>0</v>
      </c>
      <c r="L415">
        <v>0</v>
      </c>
      <c r="M415">
        <v>0</v>
      </c>
    </row>
    <row r="416" spans="1:13">
      <c r="A416">
        <v>2</v>
      </c>
      <c r="B416" t="s">
        <v>203</v>
      </c>
      <c r="C416">
        <v>19</v>
      </c>
      <c r="D416">
        <v>1</v>
      </c>
      <c r="E416">
        <v>0</v>
      </c>
      <c r="F416">
        <v>3</v>
      </c>
      <c r="G416">
        <v>5.0449999999999999</v>
      </c>
      <c r="H416">
        <v>45576.12</v>
      </c>
      <c r="I416">
        <v>12041.65</v>
      </c>
      <c r="J416">
        <v>15262.48</v>
      </c>
      <c r="K416">
        <v>0</v>
      </c>
      <c r="L416">
        <v>0</v>
      </c>
      <c r="M416">
        <v>0</v>
      </c>
    </row>
    <row r="417" spans="1:13">
      <c r="A417">
        <v>2</v>
      </c>
      <c r="B417" t="s">
        <v>203</v>
      </c>
      <c r="C417">
        <v>19</v>
      </c>
      <c r="D417">
        <v>1</v>
      </c>
      <c r="E417">
        <v>1</v>
      </c>
      <c r="F417" t="s">
        <v>202</v>
      </c>
      <c r="G417">
        <v>5.92</v>
      </c>
      <c r="H417">
        <v>55894.84</v>
      </c>
      <c r="I417">
        <v>11544</v>
      </c>
      <c r="J417">
        <v>15262.48</v>
      </c>
      <c r="K417">
        <v>10583.83</v>
      </c>
      <c r="L417">
        <v>-88.03</v>
      </c>
      <c r="M417">
        <v>3316.73</v>
      </c>
    </row>
    <row r="418" spans="1:13">
      <c r="A418">
        <v>2</v>
      </c>
      <c r="B418" t="s">
        <v>203</v>
      </c>
      <c r="C418">
        <v>20</v>
      </c>
      <c r="D418">
        <v>1</v>
      </c>
      <c r="E418">
        <v>1</v>
      </c>
      <c r="F418" t="s">
        <v>201</v>
      </c>
      <c r="G418">
        <v>0</v>
      </c>
      <c r="H418">
        <v>55894.84</v>
      </c>
      <c r="I418">
        <v>11544</v>
      </c>
      <c r="J418">
        <v>15262.48</v>
      </c>
      <c r="K418">
        <v>10583.83</v>
      </c>
      <c r="L418">
        <v>-88.03</v>
      </c>
      <c r="M418">
        <v>3316.73</v>
      </c>
    </row>
    <row r="419" spans="1:13">
      <c r="A419">
        <v>2</v>
      </c>
      <c r="B419" t="s">
        <v>203</v>
      </c>
      <c r="C419">
        <v>20</v>
      </c>
      <c r="D419">
        <v>1</v>
      </c>
      <c r="E419">
        <v>1</v>
      </c>
      <c r="F419" t="s">
        <v>202</v>
      </c>
      <c r="G419">
        <v>0.27500000000000002</v>
      </c>
      <c r="H419">
        <v>59047.94</v>
      </c>
      <c r="I419">
        <v>11387.59</v>
      </c>
      <c r="J419">
        <v>15262.48</v>
      </c>
      <c r="K419">
        <v>10538.12</v>
      </c>
      <c r="L419">
        <v>-244.44</v>
      </c>
      <c r="M419">
        <v>3316.73</v>
      </c>
    </row>
    <row r="420" spans="1:13">
      <c r="A420">
        <v>2</v>
      </c>
      <c r="B420" t="s">
        <v>203</v>
      </c>
      <c r="C420">
        <v>21</v>
      </c>
      <c r="D420">
        <v>1</v>
      </c>
      <c r="E420">
        <v>0</v>
      </c>
      <c r="F420" t="s">
        <v>201</v>
      </c>
      <c r="G420">
        <v>0</v>
      </c>
      <c r="H420">
        <v>-3279.36</v>
      </c>
      <c r="I420">
        <v>19251.169999999998</v>
      </c>
      <c r="J420">
        <v>0</v>
      </c>
      <c r="K420">
        <v>0</v>
      </c>
      <c r="L420">
        <v>0</v>
      </c>
      <c r="M420">
        <v>0</v>
      </c>
    </row>
    <row r="421" spans="1:13">
      <c r="A421">
        <v>2</v>
      </c>
      <c r="B421" t="s">
        <v>203</v>
      </c>
      <c r="C421">
        <v>21</v>
      </c>
      <c r="D421">
        <v>1</v>
      </c>
      <c r="E421">
        <v>0</v>
      </c>
      <c r="F421" t="s">
        <v>202</v>
      </c>
      <c r="G421">
        <v>0.27500000000000002</v>
      </c>
      <c r="H421">
        <v>-696.5</v>
      </c>
      <c r="I421">
        <v>890.09</v>
      </c>
      <c r="J421">
        <v>0</v>
      </c>
      <c r="K421">
        <v>0</v>
      </c>
      <c r="L421">
        <v>0</v>
      </c>
      <c r="M421">
        <v>0</v>
      </c>
    </row>
    <row r="422" spans="1:13">
      <c r="A422">
        <v>2</v>
      </c>
      <c r="B422" t="s">
        <v>203</v>
      </c>
      <c r="C422">
        <v>22</v>
      </c>
      <c r="D422">
        <v>1</v>
      </c>
      <c r="E422">
        <v>0</v>
      </c>
      <c r="F422" t="s">
        <v>201</v>
      </c>
      <c r="G422">
        <v>0</v>
      </c>
      <c r="H422">
        <v>-696.5</v>
      </c>
      <c r="I422">
        <v>890.09</v>
      </c>
      <c r="J422">
        <v>0</v>
      </c>
      <c r="K422">
        <v>0</v>
      </c>
      <c r="L422">
        <v>0</v>
      </c>
      <c r="M422">
        <v>0</v>
      </c>
    </row>
    <row r="423" spans="1:13">
      <c r="A423">
        <v>2</v>
      </c>
      <c r="B423" t="s">
        <v>203</v>
      </c>
      <c r="C423">
        <v>22</v>
      </c>
      <c r="D423">
        <v>1</v>
      </c>
      <c r="E423">
        <v>0</v>
      </c>
      <c r="F423" t="s">
        <v>202</v>
      </c>
      <c r="G423">
        <v>1.5649999999999999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</row>
    <row r="424" spans="1:13">
      <c r="A424">
        <v>2</v>
      </c>
      <c r="B424" t="s">
        <v>203</v>
      </c>
      <c r="C424">
        <v>23</v>
      </c>
      <c r="D424">
        <v>1</v>
      </c>
      <c r="E424">
        <v>0</v>
      </c>
      <c r="F424" t="s">
        <v>201</v>
      </c>
      <c r="G424">
        <v>0</v>
      </c>
      <c r="H424">
        <v>-74082.63</v>
      </c>
      <c r="I424">
        <v>18242.09</v>
      </c>
      <c r="J424">
        <v>-6876.21</v>
      </c>
      <c r="K424">
        <v>0</v>
      </c>
      <c r="L424">
        <v>0</v>
      </c>
      <c r="M424">
        <v>0</v>
      </c>
    </row>
    <row r="425" spans="1:13">
      <c r="A425">
        <v>2</v>
      </c>
      <c r="B425" t="s">
        <v>203</v>
      </c>
      <c r="C425">
        <v>23</v>
      </c>
      <c r="D425">
        <v>1</v>
      </c>
      <c r="E425">
        <v>0</v>
      </c>
      <c r="F425" t="s">
        <v>202</v>
      </c>
      <c r="G425">
        <v>1.175</v>
      </c>
      <c r="H425">
        <v>-52648.18</v>
      </c>
      <c r="I425">
        <v>18242.09</v>
      </c>
      <c r="J425">
        <v>-6876.21</v>
      </c>
      <c r="K425">
        <v>0</v>
      </c>
      <c r="L425">
        <v>0</v>
      </c>
      <c r="M425">
        <v>0</v>
      </c>
    </row>
    <row r="426" spans="1:13">
      <c r="A426">
        <v>2</v>
      </c>
      <c r="B426" t="s">
        <v>203</v>
      </c>
      <c r="C426">
        <v>24</v>
      </c>
      <c r="D426">
        <v>1</v>
      </c>
      <c r="E426">
        <v>0</v>
      </c>
      <c r="F426" t="s">
        <v>201</v>
      </c>
      <c r="G426">
        <v>0</v>
      </c>
      <c r="H426">
        <v>-61959.91</v>
      </c>
      <c r="I426">
        <v>14697.06</v>
      </c>
      <c r="J426">
        <v>-26569.74</v>
      </c>
      <c r="K426">
        <v>0</v>
      </c>
      <c r="L426">
        <v>0</v>
      </c>
      <c r="M426">
        <v>0</v>
      </c>
    </row>
    <row r="427" spans="1:13">
      <c r="A427">
        <v>2</v>
      </c>
      <c r="B427" t="s">
        <v>203</v>
      </c>
      <c r="C427">
        <v>24</v>
      </c>
      <c r="D427">
        <v>1</v>
      </c>
      <c r="E427">
        <v>0</v>
      </c>
      <c r="F427" t="s">
        <v>202</v>
      </c>
      <c r="G427">
        <v>1.175</v>
      </c>
      <c r="H427">
        <v>-44690.879999999997</v>
      </c>
      <c r="I427">
        <v>14697.06</v>
      </c>
      <c r="J427">
        <v>-26569.74</v>
      </c>
      <c r="K427">
        <v>0</v>
      </c>
      <c r="L427">
        <v>0</v>
      </c>
      <c r="M427">
        <v>0</v>
      </c>
    </row>
    <row r="428" spans="1:13">
      <c r="A428">
        <v>2</v>
      </c>
      <c r="B428" t="s">
        <v>203</v>
      </c>
      <c r="C428">
        <v>25</v>
      </c>
      <c r="D428">
        <v>1</v>
      </c>
      <c r="E428">
        <v>0</v>
      </c>
      <c r="F428" t="s">
        <v>201</v>
      </c>
      <c r="G428">
        <v>0</v>
      </c>
      <c r="H428">
        <v>-30167.96</v>
      </c>
      <c r="I428">
        <v>7106.87</v>
      </c>
      <c r="J428">
        <v>-24439.15</v>
      </c>
      <c r="K428">
        <v>0</v>
      </c>
      <c r="L428">
        <v>0</v>
      </c>
      <c r="M428">
        <v>0</v>
      </c>
    </row>
    <row r="429" spans="1:13">
      <c r="A429">
        <v>2</v>
      </c>
      <c r="B429" t="s">
        <v>203</v>
      </c>
      <c r="C429">
        <v>25</v>
      </c>
      <c r="D429">
        <v>1</v>
      </c>
      <c r="E429">
        <v>0</v>
      </c>
      <c r="F429" t="s">
        <v>202</v>
      </c>
      <c r="G429">
        <v>1.175</v>
      </c>
      <c r="H429">
        <v>-21817.38</v>
      </c>
      <c r="I429">
        <v>7106.87</v>
      </c>
      <c r="J429">
        <v>-24439.15</v>
      </c>
      <c r="K429">
        <v>0</v>
      </c>
      <c r="L429">
        <v>0</v>
      </c>
      <c r="M429">
        <v>0</v>
      </c>
    </row>
    <row r="430" spans="1:13">
      <c r="A430">
        <v>2</v>
      </c>
      <c r="B430" t="s">
        <v>203</v>
      </c>
      <c r="C430">
        <v>26</v>
      </c>
      <c r="D430">
        <v>0</v>
      </c>
      <c r="E430">
        <v>1</v>
      </c>
      <c r="F430" t="s">
        <v>201</v>
      </c>
      <c r="G430">
        <v>0</v>
      </c>
      <c r="H430">
        <v>0</v>
      </c>
      <c r="I430">
        <v>0</v>
      </c>
      <c r="J430">
        <v>0</v>
      </c>
      <c r="K430">
        <v>2916.68</v>
      </c>
      <c r="L430">
        <v>-691.58</v>
      </c>
      <c r="M430">
        <v>-21161.01</v>
      </c>
    </row>
    <row r="431" spans="1:13">
      <c r="A431">
        <v>2</v>
      </c>
      <c r="B431" t="s">
        <v>203</v>
      </c>
      <c r="C431">
        <v>26</v>
      </c>
      <c r="D431">
        <v>0</v>
      </c>
      <c r="E431">
        <v>1</v>
      </c>
      <c r="F431" t="s">
        <v>202</v>
      </c>
      <c r="G431">
        <v>1.175</v>
      </c>
      <c r="H431">
        <v>0</v>
      </c>
      <c r="I431">
        <v>0</v>
      </c>
      <c r="J431">
        <v>0</v>
      </c>
      <c r="K431">
        <v>2104.0700000000002</v>
      </c>
      <c r="L431">
        <v>-691.58</v>
      </c>
      <c r="M431">
        <v>-21161.01</v>
      </c>
    </row>
    <row r="432" spans="1:13">
      <c r="A432">
        <v>2</v>
      </c>
      <c r="B432" t="s">
        <v>203</v>
      </c>
      <c r="C432">
        <v>27</v>
      </c>
      <c r="D432">
        <v>0</v>
      </c>
      <c r="E432">
        <v>1</v>
      </c>
      <c r="F432" t="s">
        <v>201</v>
      </c>
      <c r="G432">
        <v>0</v>
      </c>
      <c r="H432">
        <v>0</v>
      </c>
      <c r="I432">
        <v>0</v>
      </c>
      <c r="J432">
        <v>0</v>
      </c>
      <c r="K432">
        <v>35081.230000000003</v>
      </c>
      <c r="L432">
        <v>-8291.35</v>
      </c>
      <c r="M432">
        <v>-23924.22</v>
      </c>
    </row>
    <row r="433" spans="1:13">
      <c r="A433">
        <v>2</v>
      </c>
      <c r="B433" t="s">
        <v>203</v>
      </c>
      <c r="C433">
        <v>27</v>
      </c>
      <c r="D433">
        <v>0</v>
      </c>
      <c r="E433">
        <v>1</v>
      </c>
      <c r="F433" t="s">
        <v>202</v>
      </c>
      <c r="G433">
        <v>1.175</v>
      </c>
      <c r="H433">
        <v>0</v>
      </c>
      <c r="I433">
        <v>0</v>
      </c>
      <c r="J433">
        <v>0</v>
      </c>
      <c r="K433">
        <v>25338.9</v>
      </c>
      <c r="L433">
        <v>-8291.35</v>
      </c>
      <c r="M433">
        <v>-23924.22</v>
      </c>
    </row>
    <row r="434" spans="1:13">
      <c r="A434">
        <v>2</v>
      </c>
      <c r="B434" t="s">
        <v>203</v>
      </c>
      <c r="C434">
        <v>28</v>
      </c>
      <c r="D434">
        <v>0</v>
      </c>
      <c r="E434">
        <v>1</v>
      </c>
      <c r="F434" t="s">
        <v>201</v>
      </c>
      <c r="G434">
        <v>0</v>
      </c>
      <c r="H434">
        <v>0</v>
      </c>
      <c r="I434">
        <v>0</v>
      </c>
      <c r="J434">
        <v>0</v>
      </c>
      <c r="K434">
        <v>66392.5</v>
      </c>
      <c r="L434">
        <v>-15800.61</v>
      </c>
      <c r="M434">
        <v>-22888.16</v>
      </c>
    </row>
    <row r="435" spans="1:13">
      <c r="A435">
        <v>2</v>
      </c>
      <c r="B435" t="s">
        <v>203</v>
      </c>
      <c r="C435">
        <v>28</v>
      </c>
      <c r="D435">
        <v>0</v>
      </c>
      <c r="E435">
        <v>1</v>
      </c>
      <c r="F435" t="s">
        <v>202</v>
      </c>
      <c r="G435">
        <v>1.175</v>
      </c>
      <c r="H435">
        <v>0</v>
      </c>
      <c r="I435">
        <v>0</v>
      </c>
      <c r="J435">
        <v>0</v>
      </c>
      <c r="K435">
        <v>47826.79</v>
      </c>
      <c r="L435">
        <v>-15800.61</v>
      </c>
      <c r="M435">
        <v>-22888.16</v>
      </c>
    </row>
    <row r="436" spans="1:13">
      <c r="A436">
        <v>2</v>
      </c>
      <c r="B436" t="s">
        <v>203</v>
      </c>
      <c r="C436">
        <v>29</v>
      </c>
      <c r="D436">
        <v>0</v>
      </c>
      <c r="E436">
        <v>1</v>
      </c>
      <c r="F436" t="s">
        <v>201</v>
      </c>
      <c r="G436">
        <v>0</v>
      </c>
      <c r="H436">
        <v>0</v>
      </c>
      <c r="I436">
        <v>0</v>
      </c>
      <c r="J436">
        <v>0</v>
      </c>
      <c r="K436">
        <v>62325.54</v>
      </c>
      <c r="L436">
        <v>-15262.48</v>
      </c>
      <c r="M436">
        <v>-7849.78</v>
      </c>
    </row>
    <row r="437" spans="1:13">
      <c r="A437">
        <v>2</v>
      </c>
      <c r="B437" t="s">
        <v>203</v>
      </c>
      <c r="C437">
        <v>29</v>
      </c>
      <c r="D437">
        <v>0</v>
      </c>
      <c r="E437">
        <v>1</v>
      </c>
      <c r="F437" t="s">
        <v>202</v>
      </c>
      <c r="G437">
        <v>1.175</v>
      </c>
      <c r="H437">
        <v>0</v>
      </c>
      <c r="I437">
        <v>0</v>
      </c>
      <c r="J437">
        <v>0</v>
      </c>
      <c r="K437">
        <v>44392.13</v>
      </c>
      <c r="L437">
        <v>-15262.48</v>
      </c>
      <c r="M437">
        <v>-7849.78</v>
      </c>
    </row>
    <row r="438" spans="1:13">
      <c r="A438">
        <v>2</v>
      </c>
      <c r="B438" t="s">
        <v>203</v>
      </c>
      <c r="C438">
        <v>30</v>
      </c>
      <c r="D438">
        <v>1</v>
      </c>
      <c r="E438">
        <v>0</v>
      </c>
      <c r="F438" t="s">
        <v>201</v>
      </c>
      <c r="G438">
        <v>0</v>
      </c>
      <c r="H438">
        <v>-52648.18</v>
      </c>
      <c r="I438">
        <v>18242.09</v>
      </c>
      <c r="J438">
        <v>-6876.21</v>
      </c>
      <c r="K438">
        <v>0</v>
      </c>
      <c r="L438">
        <v>0</v>
      </c>
      <c r="M438">
        <v>0</v>
      </c>
    </row>
    <row r="439" spans="1:13">
      <c r="A439">
        <v>2</v>
      </c>
      <c r="B439" t="s">
        <v>203</v>
      </c>
      <c r="C439">
        <v>30</v>
      </c>
      <c r="D439">
        <v>1</v>
      </c>
      <c r="E439">
        <v>0</v>
      </c>
      <c r="F439" t="s">
        <v>202</v>
      </c>
      <c r="G439">
        <v>6.1749999999999998</v>
      </c>
      <c r="H439">
        <v>-41817.85</v>
      </c>
      <c r="I439">
        <v>18242.09</v>
      </c>
      <c r="J439">
        <v>-8357.41</v>
      </c>
      <c r="K439">
        <v>0</v>
      </c>
      <c r="L439">
        <v>0</v>
      </c>
      <c r="M439">
        <v>0</v>
      </c>
    </row>
    <row r="440" spans="1:13">
      <c r="A440">
        <v>2</v>
      </c>
      <c r="B440" t="s">
        <v>203</v>
      </c>
      <c r="C440">
        <v>31</v>
      </c>
      <c r="D440">
        <v>1</v>
      </c>
      <c r="E440">
        <v>0</v>
      </c>
      <c r="F440" t="s">
        <v>201</v>
      </c>
      <c r="G440">
        <v>0</v>
      </c>
      <c r="H440">
        <v>59260.04</v>
      </c>
      <c r="I440">
        <v>18336.7</v>
      </c>
      <c r="J440">
        <v>-4039.31</v>
      </c>
      <c r="K440">
        <v>0</v>
      </c>
      <c r="L440">
        <v>0</v>
      </c>
      <c r="M440">
        <v>0</v>
      </c>
    </row>
    <row r="441" spans="1:13">
      <c r="A441">
        <v>2</v>
      </c>
      <c r="B441" t="s">
        <v>203</v>
      </c>
      <c r="C441">
        <v>31</v>
      </c>
      <c r="D441">
        <v>1</v>
      </c>
      <c r="E441">
        <v>0</v>
      </c>
      <c r="F441" t="s">
        <v>202</v>
      </c>
      <c r="G441">
        <v>6.1749999999999998</v>
      </c>
      <c r="H441">
        <v>-43730.47</v>
      </c>
      <c r="I441">
        <v>14697.06</v>
      </c>
      <c r="J441">
        <v>-28050.94</v>
      </c>
      <c r="K441">
        <v>0</v>
      </c>
      <c r="L441">
        <v>0</v>
      </c>
      <c r="M441">
        <v>0</v>
      </c>
    </row>
    <row r="442" spans="1:13">
      <c r="A442">
        <v>2</v>
      </c>
      <c r="B442" t="s">
        <v>203</v>
      </c>
      <c r="C442">
        <v>32</v>
      </c>
      <c r="D442">
        <v>1</v>
      </c>
      <c r="E442">
        <v>0</v>
      </c>
      <c r="F442" t="s">
        <v>201</v>
      </c>
      <c r="G442">
        <v>0</v>
      </c>
      <c r="H442">
        <v>-35947.47</v>
      </c>
      <c r="I442">
        <v>14599.33</v>
      </c>
      <c r="J442">
        <v>-24830.78</v>
      </c>
      <c r="K442">
        <v>0</v>
      </c>
      <c r="L442">
        <v>0</v>
      </c>
      <c r="M442">
        <v>0</v>
      </c>
    </row>
    <row r="443" spans="1:13">
      <c r="A443">
        <v>2</v>
      </c>
      <c r="B443" t="s">
        <v>203</v>
      </c>
      <c r="C443">
        <v>32</v>
      </c>
      <c r="D443">
        <v>1</v>
      </c>
      <c r="E443">
        <v>0</v>
      </c>
      <c r="F443" t="s">
        <v>202</v>
      </c>
      <c r="G443">
        <v>6.1749999999999998</v>
      </c>
      <c r="H443">
        <v>45842.04</v>
      </c>
      <c r="I443">
        <v>14599.33</v>
      </c>
      <c r="J443">
        <v>-26311.98</v>
      </c>
      <c r="K443">
        <v>0</v>
      </c>
      <c r="L443">
        <v>0</v>
      </c>
      <c r="M443">
        <v>0</v>
      </c>
    </row>
    <row r="444" spans="1:13">
      <c r="A444">
        <v>2</v>
      </c>
      <c r="B444" t="s">
        <v>203</v>
      </c>
      <c r="C444">
        <v>33</v>
      </c>
      <c r="D444">
        <v>1</v>
      </c>
      <c r="E444">
        <v>0</v>
      </c>
      <c r="F444" t="s">
        <v>201</v>
      </c>
      <c r="G444">
        <v>0</v>
      </c>
      <c r="H444">
        <v>-21593.34</v>
      </c>
      <c r="I444">
        <v>7050.89</v>
      </c>
      <c r="J444">
        <v>-23687.72</v>
      </c>
      <c r="K444">
        <v>0</v>
      </c>
      <c r="L444">
        <v>0</v>
      </c>
      <c r="M444">
        <v>0</v>
      </c>
    </row>
    <row r="445" spans="1:13">
      <c r="A445">
        <v>2</v>
      </c>
      <c r="B445" t="s">
        <v>203</v>
      </c>
      <c r="C445">
        <v>33</v>
      </c>
      <c r="D445">
        <v>1</v>
      </c>
      <c r="E445">
        <v>0</v>
      </c>
      <c r="F445" t="s">
        <v>202</v>
      </c>
      <c r="G445">
        <v>6.1749999999999998</v>
      </c>
      <c r="H445">
        <v>-17528.82</v>
      </c>
      <c r="I445">
        <v>7050.89</v>
      </c>
      <c r="J445">
        <v>-25168.92</v>
      </c>
      <c r="K445">
        <v>0</v>
      </c>
      <c r="L445">
        <v>0</v>
      </c>
      <c r="M445">
        <v>0</v>
      </c>
    </row>
    <row r="446" spans="1:13">
      <c r="A446">
        <v>2</v>
      </c>
      <c r="B446" t="s">
        <v>203</v>
      </c>
      <c r="C446">
        <v>34</v>
      </c>
      <c r="D446">
        <v>1</v>
      </c>
      <c r="E446">
        <v>0</v>
      </c>
      <c r="F446" t="s">
        <v>201</v>
      </c>
      <c r="G446">
        <v>0</v>
      </c>
      <c r="H446">
        <v>22004.5</v>
      </c>
      <c r="I446">
        <v>7035.15</v>
      </c>
      <c r="J446">
        <v>-24200.5</v>
      </c>
      <c r="K446">
        <v>0</v>
      </c>
      <c r="L446">
        <v>0</v>
      </c>
      <c r="M446">
        <v>0</v>
      </c>
    </row>
    <row r="447" spans="1:13">
      <c r="A447">
        <v>2</v>
      </c>
      <c r="B447" t="s">
        <v>203</v>
      </c>
      <c r="C447">
        <v>34</v>
      </c>
      <c r="D447">
        <v>0</v>
      </c>
      <c r="E447">
        <v>1</v>
      </c>
      <c r="F447" t="s">
        <v>202</v>
      </c>
      <c r="G447">
        <v>6.1749999999999998</v>
      </c>
      <c r="H447">
        <v>0</v>
      </c>
      <c r="I447">
        <v>0</v>
      </c>
      <c r="J447">
        <v>0</v>
      </c>
      <c r="K447">
        <v>2088.09</v>
      </c>
      <c r="L447">
        <v>-707.32</v>
      </c>
      <c r="M447">
        <v>-23155</v>
      </c>
    </row>
    <row r="448" spans="1:13">
      <c r="A448">
        <v>2</v>
      </c>
      <c r="B448" t="s">
        <v>203</v>
      </c>
      <c r="C448">
        <v>35</v>
      </c>
      <c r="D448">
        <v>0</v>
      </c>
      <c r="E448">
        <v>1</v>
      </c>
      <c r="F448" t="s">
        <v>201</v>
      </c>
      <c r="G448">
        <v>0</v>
      </c>
      <c r="H448">
        <v>0</v>
      </c>
      <c r="I448">
        <v>0</v>
      </c>
      <c r="J448">
        <v>0</v>
      </c>
      <c r="K448">
        <v>1985.13</v>
      </c>
      <c r="L448">
        <v>-759.71</v>
      </c>
      <c r="M448">
        <v>-22321.22</v>
      </c>
    </row>
    <row r="449" spans="1:13">
      <c r="A449">
        <v>2</v>
      </c>
      <c r="B449" t="s">
        <v>203</v>
      </c>
      <c r="C449">
        <v>35</v>
      </c>
      <c r="D449">
        <v>0</v>
      </c>
      <c r="E449">
        <v>1</v>
      </c>
      <c r="F449" t="s">
        <v>202</v>
      </c>
      <c r="G449">
        <v>6.1749999999999998</v>
      </c>
      <c r="H449">
        <v>0</v>
      </c>
      <c r="I449">
        <v>0</v>
      </c>
      <c r="J449">
        <v>0</v>
      </c>
      <c r="K449">
        <v>-2307.39</v>
      </c>
      <c r="L449">
        <v>-759.71</v>
      </c>
      <c r="M449">
        <v>-23802.42</v>
      </c>
    </row>
    <row r="450" spans="1:13">
      <c r="A450">
        <v>2</v>
      </c>
      <c r="B450" t="s">
        <v>203</v>
      </c>
      <c r="C450">
        <v>36</v>
      </c>
      <c r="D450">
        <v>0</v>
      </c>
      <c r="E450">
        <v>1</v>
      </c>
      <c r="F450" t="s">
        <v>201</v>
      </c>
      <c r="G450">
        <v>0</v>
      </c>
      <c r="H450">
        <v>0</v>
      </c>
      <c r="I450">
        <v>0</v>
      </c>
      <c r="J450">
        <v>0</v>
      </c>
      <c r="K450">
        <v>26052.21</v>
      </c>
      <c r="L450">
        <v>-8473.32</v>
      </c>
      <c r="M450">
        <v>-28081.93</v>
      </c>
    </row>
    <row r="451" spans="1:13">
      <c r="A451">
        <v>2</v>
      </c>
      <c r="B451" t="s">
        <v>203</v>
      </c>
      <c r="C451">
        <v>36</v>
      </c>
      <c r="D451">
        <v>0</v>
      </c>
      <c r="E451">
        <v>1</v>
      </c>
      <c r="F451" t="s">
        <v>202</v>
      </c>
      <c r="G451">
        <v>6.1749999999999998</v>
      </c>
      <c r="H451">
        <v>0</v>
      </c>
      <c r="I451">
        <v>0</v>
      </c>
      <c r="J451">
        <v>0</v>
      </c>
      <c r="K451">
        <v>20083.099999999999</v>
      </c>
      <c r="L451">
        <v>-8473.32</v>
      </c>
      <c r="M451">
        <v>-29563.13</v>
      </c>
    </row>
    <row r="452" spans="1:13">
      <c r="A452">
        <v>2</v>
      </c>
      <c r="B452" t="s">
        <v>204</v>
      </c>
      <c r="C452">
        <v>1</v>
      </c>
      <c r="D452">
        <v>1</v>
      </c>
      <c r="E452">
        <v>0</v>
      </c>
      <c r="F452" t="s">
        <v>201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</row>
    <row r="453" spans="1:13">
      <c r="A453">
        <v>2</v>
      </c>
      <c r="B453" t="s">
        <v>204</v>
      </c>
      <c r="C453">
        <v>1</v>
      </c>
      <c r="D453">
        <v>1</v>
      </c>
      <c r="E453">
        <v>0</v>
      </c>
      <c r="F453" t="s">
        <v>202</v>
      </c>
      <c r="G453">
        <v>1.5649999999999999</v>
      </c>
      <c r="H453">
        <v>-696.5</v>
      </c>
      <c r="I453">
        <v>-890.09</v>
      </c>
      <c r="J453">
        <v>0</v>
      </c>
      <c r="K453">
        <v>0</v>
      </c>
      <c r="L453">
        <v>0</v>
      </c>
      <c r="M453">
        <v>0</v>
      </c>
    </row>
    <row r="454" spans="1:13">
      <c r="A454">
        <v>2</v>
      </c>
      <c r="B454" t="s">
        <v>204</v>
      </c>
      <c r="C454">
        <v>2</v>
      </c>
      <c r="D454">
        <v>0</v>
      </c>
      <c r="E454">
        <v>0</v>
      </c>
      <c r="F454" t="s">
        <v>201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</row>
    <row r="455" spans="1:13">
      <c r="A455">
        <v>2</v>
      </c>
      <c r="B455" t="s">
        <v>204</v>
      </c>
      <c r="C455">
        <v>2</v>
      </c>
      <c r="D455">
        <v>0</v>
      </c>
      <c r="E455">
        <v>1</v>
      </c>
      <c r="F455" t="s">
        <v>202</v>
      </c>
      <c r="G455">
        <v>0.27500000000000002</v>
      </c>
      <c r="H455">
        <v>0</v>
      </c>
      <c r="I455">
        <v>0</v>
      </c>
      <c r="J455">
        <v>0</v>
      </c>
      <c r="K455">
        <v>-3266.28</v>
      </c>
      <c r="L455">
        <v>-19233.32</v>
      </c>
      <c r="M455">
        <v>0</v>
      </c>
    </row>
    <row r="456" spans="1:13">
      <c r="A456">
        <v>2</v>
      </c>
      <c r="B456" t="s">
        <v>204</v>
      </c>
      <c r="C456">
        <v>3</v>
      </c>
      <c r="D456">
        <v>1</v>
      </c>
      <c r="E456">
        <v>0</v>
      </c>
      <c r="F456" t="s">
        <v>201</v>
      </c>
      <c r="G456">
        <v>0</v>
      </c>
      <c r="H456">
        <v>70816.350000000006</v>
      </c>
      <c r="I456">
        <v>-12357.11</v>
      </c>
      <c r="J456">
        <v>18242.09</v>
      </c>
      <c r="K456">
        <v>0</v>
      </c>
      <c r="L456">
        <v>0</v>
      </c>
      <c r="M456">
        <v>0</v>
      </c>
    </row>
    <row r="457" spans="1:13">
      <c r="A457">
        <v>2</v>
      </c>
      <c r="B457" t="s">
        <v>204</v>
      </c>
      <c r="C457">
        <v>3</v>
      </c>
      <c r="D457">
        <v>1</v>
      </c>
      <c r="E457">
        <v>0</v>
      </c>
      <c r="F457" t="s">
        <v>202</v>
      </c>
      <c r="G457">
        <v>0.27500000000000002</v>
      </c>
      <c r="H457">
        <v>67396.639999999999</v>
      </c>
      <c r="I457">
        <v>-12513.52</v>
      </c>
      <c r="J457">
        <v>18242.09</v>
      </c>
      <c r="K457">
        <v>0</v>
      </c>
      <c r="L457">
        <v>0</v>
      </c>
      <c r="M457">
        <v>0</v>
      </c>
    </row>
    <row r="458" spans="1:13">
      <c r="A458">
        <v>2</v>
      </c>
      <c r="B458" t="s">
        <v>204</v>
      </c>
      <c r="C458">
        <v>4</v>
      </c>
      <c r="D458">
        <v>1</v>
      </c>
      <c r="E458">
        <v>0</v>
      </c>
      <c r="F458" t="s">
        <v>201</v>
      </c>
      <c r="G458">
        <v>0</v>
      </c>
      <c r="H458">
        <v>67396.639999999999</v>
      </c>
      <c r="I458">
        <v>-12513.52</v>
      </c>
      <c r="J458">
        <v>18242.09</v>
      </c>
      <c r="K458">
        <v>0</v>
      </c>
      <c r="L458">
        <v>0</v>
      </c>
      <c r="M458">
        <v>0</v>
      </c>
    </row>
    <row r="459" spans="1:13">
      <c r="A459">
        <v>2</v>
      </c>
      <c r="B459" t="s">
        <v>204</v>
      </c>
      <c r="C459">
        <v>4</v>
      </c>
      <c r="D459">
        <v>1</v>
      </c>
      <c r="E459">
        <v>0</v>
      </c>
      <c r="F459">
        <v>1</v>
      </c>
      <c r="G459">
        <v>0.875</v>
      </c>
      <c r="H459">
        <v>56447.31</v>
      </c>
      <c r="I459">
        <v>-12513.52</v>
      </c>
      <c r="J459">
        <v>18242.09</v>
      </c>
      <c r="K459">
        <v>0</v>
      </c>
      <c r="L459">
        <v>0</v>
      </c>
      <c r="M459">
        <v>0</v>
      </c>
    </row>
    <row r="460" spans="1:13">
      <c r="A460">
        <v>2</v>
      </c>
      <c r="B460" t="s">
        <v>204</v>
      </c>
      <c r="C460">
        <v>4</v>
      </c>
      <c r="D460">
        <v>1</v>
      </c>
      <c r="E460">
        <v>0</v>
      </c>
      <c r="F460">
        <v>2</v>
      </c>
      <c r="G460">
        <v>2.9609999999999999</v>
      </c>
      <c r="H460">
        <v>21801.77</v>
      </c>
      <c r="I460">
        <v>-17600.490000000002</v>
      </c>
      <c r="J460">
        <v>18242.09</v>
      </c>
      <c r="K460">
        <v>0</v>
      </c>
      <c r="L460">
        <v>0</v>
      </c>
      <c r="M460">
        <v>0</v>
      </c>
    </row>
    <row r="461" spans="1:13">
      <c r="A461">
        <v>2</v>
      </c>
      <c r="B461" t="s">
        <v>204</v>
      </c>
      <c r="C461">
        <v>4</v>
      </c>
      <c r="D461">
        <v>1</v>
      </c>
      <c r="E461">
        <v>0</v>
      </c>
      <c r="F461">
        <v>3</v>
      </c>
      <c r="G461">
        <v>5.0460000000000003</v>
      </c>
      <c r="H461">
        <v>-16131.5</v>
      </c>
      <c r="I461">
        <v>-18786.34</v>
      </c>
      <c r="J461">
        <v>18242.09</v>
      </c>
      <c r="K461">
        <v>0</v>
      </c>
      <c r="L461">
        <v>0</v>
      </c>
      <c r="M461">
        <v>0</v>
      </c>
    </row>
    <row r="462" spans="1:13">
      <c r="A462">
        <v>2</v>
      </c>
      <c r="B462" t="s">
        <v>204</v>
      </c>
      <c r="C462">
        <v>4</v>
      </c>
      <c r="D462">
        <v>1</v>
      </c>
      <c r="E462">
        <v>0</v>
      </c>
      <c r="F462" t="s">
        <v>202</v>
      </c>
      <c r="G462">
        <v>5.92</v>
      </c>
      <c r="H462">
        <v>-32767.98</v>
      </c>
      <c r="I462">
        <v>-19283.43</v>
      </c>
      <c r="J462">
        <v>18242.09</v>
      </c>
      <c r="K462">
        <v>0</v>
      </c>
      <c r="L462">
        <v>0</v>
      </c>
      <c r="M462">
        <v>0</v>
      </c>
    </row>
    <row r="463" spans="1:13">
      <c r="A463">
        <v>2</v>
      </c>
      <c r="B463" t="s">
        <v>204</v>
      </c>
      <c r="C463">
        <v>5</v>
      </c>
      <c r="D463">
        <v>1</v>
      </c>
      <c r="E463">
        <v>0</v>
      </c>
      <c r="F463" t="s">
        <v>201</v>
      </c>
      <c r="G463">
        <v>0</v>
      </c>
      <c r="H463">
        <v>-32767.98</v>
      </c>
      <c r="I463">
        <v>-19283.43</v>
      </c>
      <c r="J463">
        <v>18242.09</v>
      </c>
      <c r="K463">
        <v>0</v>
      </c>
      <c r="L463">
        <v>0</v>
      </c>
      <c r="M463">
        <v>0</v>
      </c>
    </row>
    <row r="464" spans="1:13">
      <c r="A464">
        <v>2</v>
      </c>
      <c r="B464" t="s">
        <v>204</v>
      </c>
      <c r="C464">
        <v>5</v>
      </c>
      <c r="D464">
        <v>1</v>
      </c>
      <c r="E464">
        <v>0</v>
      </c>
      <c r="F464" t="s">
        <v>202</v>
      </c>
      <c r="G464">
        <v>0.27500000000000002</v>
      </c>
      <c r="H464">
        <v>-38092.43</v>
      </c>
      <c r="I464">
        <v>-19439.830000000002</v>
      </c>
      <c r="J464">
        <v>18242.09</v>
      </c>
      <c r="K464">
        <v>0</v>
      </c>
      <c r="L464">
        <v>0</v>
      </c>
      <c r="M464">
        <v>0</v>
      </c>
    </row>
    <row r="465" spans="1:13">
      <c r="A465">
        <v>2</v>
      </c>
      <c r="B465" t="s">
        <v>204</v>
      </c>
      <c r="C465">
        <v>6</v>
      </c>
      <c r="D465">
        <v>1</v>
      </c>
      <c r="E465">
        <v>0</v>
      </c>
      <c r="F465" t="s">
        <v>201</v>
      </c>
      <c r="G465">
        <v>0</v>
      </c>
      <c r="H465">
        <v>23867.48</v>
      </c>
      <c r="I465">
        <v>7129.91</v>
      </c>
      <c r="J465">
        <v>32939.14</v>
      </c>
      <c r="K465">
        <v>0</v>
      </c>
      <c r="L465">
        <v>0</v>
      </c>
      <c r="M465">
        <v>0</v>
      </c>
    </row>
    <row r="466" spans="1:13">
      <c r="A466">
        <v>2</v>
      </c>
      <c r="B466" t="s">
        <v>204</v>
      </c>
      <c r="C466">
        <v>6</v>
      </c>
      <c r="D466">
        <v>1</v>
      </c>
      <c r="E466">
        <v>0</v>
      </c>
      <c r="F466" t="s">
        <v>202</v>
      </c>
      <c r="G466">
        <v>0.27500000000000002</v>
      </c>
      <c r="H466">
        <v>24119.3</v>
      </c>
      <c r="I466">
        <v>-5756.84</v>
      </c>
      <c r="J466">
        <v>32939.14</v>
      </c>
      <c r="K466">
        <v>0</v>
      </c>
      <c r="L466">
        <v>0</v>
      </c>
      <c r="M466">
        <v>0</v>
      </c>
    </row>
    <row r="467" spans="1:13">
      <c r="A467">
        <v>2</v>
      </c>
      <c r="B467" t="s">
        <v>204</v>
      </c>
      <c r="C467">
        <v>7</v>
      </c>
      <c r="D467">
        <v>1</v>
      </c>
      <c r="E467">
        <v>0</v>
      </c>
      <c r="F467" t="s">
        <v>201</v>
      </c>
      <c r="G467">
        <v>0</v>
      </c>
      <c r="H467">
        <v>24119.3</v>
      </c>
      <c r="I467">
        <v>-5756.84</v>
      </c>
      <c r="J467">
        <v>32939.14</v>
      </c>
      <c r="K467">
        <v>0</v>
      </c>
      <c r="L467">
        <v>0</v>
      </c>
      <c r="M467">
        <v>0</v>
      </c>
    </row>
    <row r="468" spans="1:13">
      <c r="A468">
        <v>2</v>
      </c>
      <c r="B468" t="s">
        <v>204</v>
      </c>
      <c r="C468">
        <v>7</v>
      </c>
      <c r="D468">
        <v>1</v>
      </c>
      <c r="E468">
        <v>0</v>
      </c>
      <c r="F468">
        <v>1</v>
      </c>
      <c r="G468">
        <v>0.875</v>
      </c>
      <c r="H468">
        <v>18864.34</v>
      </c>
      <c r="I468">
        <v>-6254.5</v>
      </c>
      <c r="J468">
        <v>32939.14</v>
      </c>
      <c r="K468">
        <v>0</v>
      </c>
      <c r="L468">
        <v>0</v>
      </c>
      <c r="M468">
        <v>0</v>
      </c>
    </row>
    <row r="469" spans="1:13">
      <c r="A469">
        <v>2</v>
      </c>
      <c r="B469" t="s">
        <v>204</v>
      </c>
      <c r="C469">
        <v>7</v>
      </c>
      <c r="D469">
        <v>1</v>
      </c>
      <c r="E469">
        <v>0</v>
      </c>
      <c r="F469">
        <v>2</v>
      </c>
      <c r="G469">
        <v>2.96</v>
      </c>
      <c r="H469">
        <v>4587.4799999999996</v>
      </c>
      <c r="I469">
        <v>-7440.34</v>
      </c>
      <c r="J469">
        <v>32939.14</v>
      </c>
      <c r="K469">
        <v>0</v>
      </c>
      <c r="L469">
        <v>0</v>
      </c>
      <c r="M469">
        <v>0</v>
      </c>
    </row>
    <row r="470" spans="1:13">
      <c r="A470">
        <v>2</v>
      </c>
      <c r="B470" t="s">
        <v>204</v>
      </c>
      <c r="C470">
        <v>7</v>
      </c>
      <c r="D470">
        <v>1</v>
      </c>
      <c r="E470">
        <v>0</v>
      </c>
      <c r="F470">
        <v>3</v>
      </c>
      <c r="G470">
        <v>5.0449999999999999</v>
      </c>
      <c r="H470">
        <v>-12161.87</v>
      </c>
      <c r="I470">
        <v>-8626.18</v>
      </c>
      <c r="J470">
        <v>32939.14</v>
      </c>
      <c r="K470">
        <v>0</v>
      </c>
      <c r="L470">
        <v>0</v>
      </c>
      <c r="M470">
        <v>0</v>
      </c>
    </row>
    <row r="471" spans="1:13">
      <c r="A471">
        <v>2</v>
      </c>
      <c r="B471" t="s">
        <v>204</v>
      </c>
      <c r="C471">
        <v>7</v>
      </c>
      <c r="D471">
        <v>1</v>
      </c>
      <c r="E471">
        <v>0</v>
      </c>
      <c r="F471" t="s">
        <v>202</v>
      </c>
      <c r="G471">
        <v>5.92</v>
      </c>
      <c r="H471">
        <v>-19927.5</v>
      </c>
      <c r="I471">
        <v>-9123.84</v>
      </c>
      <c r="J471">
        <v>32939.14</v>
      </c>
      <c r="K471">
        <v>0</v>
      </c>
      <c r="L471">
        <v>0</v>
      </c>
      <c r="M471">
        <v>0</v>
      </c>
    </row>
    <row r="472" spans="1:13">
      <c r="A472">
        <v>2</v>
      </c>
      <c r="B472" t="s">
        <v>204</v>
      </c>
      <c r="C472">
        <v>8</v>
      </c>
      <c r="D472">
        <v>1</v>
      </c>
      <c r="E472">
        <v>0</v>
      </c>
      <c r="F472" t="s">
        <v>201</v>
      </c>
      <c r="G472">
        <v>0</v>
      </c>
      <c r="H472">
        <v>-19927.5</v>
      </c>
      <c r="I472">
        <v>-9123.84</v>
      </c>
      <c r="J472">
        <v>32939.14</v>
      </c>
      <c r="K472">
        <v>0</v>
      </c>
      <c r="L472">
        <v>0</v>
      </c>
      <c r="M472">
        <v>0</v>
      </c>
    </row>
    <row r="473" spans="1:13">
      <c r="A473">
        <v>2</v>
      </c>
      <c r="B473" t="s">
        <v>204</v>
      </c>
      <c r="C473">
        <v>8</v>
      </c>
      <c r="D473">
        <v>1</v>
      </c>
      <c r="E473">
        <v>0</v>
      </c>
      <c r="F473" t="s">
        <v>202</v>
      </c>
      <c r="G473">
        <v>0.27500000000000002</v>
      </c>
      <c r="H473">
        <v>-22458.06</v>
      </c>
      <c r="I473">
        <v>-9280.25</v>
      </c>
      <c r="J473">
        <v>32939.14</v>
      </c>
      <c r="K473">
        <v>0</v>
      </c>
      <c r="L473">
        <v>0</v>
      </c>
      <c r="M473">
        <v>0</v>
      </c>
    </row>
    <row r="474" spans="1:13">
      <c r="A474">
        <v>2</v>
      </c>
      <c r="B474" t="s">
        <v>204</v>
      </c>
      <c r="C474">
        <v>9</v>
      </c>
      <c r="D474">
        <v>1</v>
      </c>
      <c r="E474">
        <v>0</v>
      </c>
      <c r="F474" t="s">
        <v>201</v>
      </c>
      <c r="G474">
        <v>0</v>
      </c>
      <c r="H474">
        <v>7709.89</v>
      </c>
      <c r="I474">
        <v>15158.91</v>
      </c>
      <c r="J474">
        <v>40046.019999999997</v>
      </c>
      <c r="K474">
        <v>0</v>
      </c>
      <c r="L474">
        <v>0</v>
      </c>
      <c r="M474">
        <v>0</v>
      </c>
    </row>
    <row r="475" spans="1:13">
      <c r="A475">
        <v>2</v>
      </c>
      <c r="B475" t="s">
        <v>204</v>
      </c>
      <c r="C475">
        <v>9</v>
      </c>
      <c r="D475">
        <v>1</v>
      </c>
      <c r="E475">
        <v>0</v>
      </c>
      <c r="F475" t="s">
        <v>202</v>
      </c>
      <c r="G475">
        <v>0.27500000000000002</v>
      </c>
      <c r="H475">
        <v>8626.2099999999991</v>
      </c>
      <c r="I475">
        <v>-1469.93</v>
      </c>
      <c r="J475">
        <v>40046.019999999997</v>
      </c>
      <c r="K475">
        <v>0</v>
      </c>
      <c r="L475">
        <v>0</v>
      </c>
      <c r="M475">
        <v>0</v>
      </c>
    </row>
    <row r="476" spans="1:13">
      <c r="A476">
        <v>2</v>
      </c>
      <c r="B476" t="s">
        <v>204</v>
      </c>
      <c r="C476">
        <v>10</v>
      </c>
      <c r="D476">
        <v>1</v>
      </c>
      <c r="E476">
        <v>0</v>
      </c>
      <c r="F476" t="s">
        <v>201</v>
      </c>
      <c r="G476">
        <v>0</v>
      </c>
      <c r="H476">
        <v>8626.2099999999991</v>
      </c>
      <c r="I476">
        <v>-1469.93</v>
      </c>
      <c r="J476">
        <v>40046.019999999997</v>
      </c>
      <c r="K476">
        <v>0</v>
      </c>
      <c r="L476">
        <v>0</v>
      </c>
      <c r="M476">
        <v>0</v>
      </c>
    </row>
    <row r="477" spans="1:13">
      <c r="A477">
        <v>2</v>
      </c>
      <c r="B477" t="s">
        <v>204</v>
      </c>
      <c r="C477">
        <v>10</v>
      </c>
      <c r="D477">
        <v>1</v>
      </c>
      <c r="E477">
        <v>0</v>
      </c>
      <c r="F477">
        <v>1</v>
      </c>
      <c r="G477">
        <v>0.875</v>
      </c>
      <c r="H477">
        <v>7122.3</v>
      </c>
      <c r="I477">
        <v>-1967.59</v>
      </c>
      <c r="J477">
        <v>40046.019999999997</v>
      </c>
      <c r="K477">
        <v>0</v>
      </c>
      <c r="L477">
        <v>0</v>
      </c>
      <c r="M477">
        <v>0</v>
      </c>
    </row>
    <row r="478" spans="1:13">
      <c r="A478">
        <v>2</v>
      </c>
      <c r="B478" t="s">
        <v>204</v>
      </c>
      <c r="C478">
        <v>10</v>
      </c>
      <c r="D478">
        <v>1</v>
      </c>
      <c r="E478">
        <v>0</v>
      </c>
      <c r="F478">
        <v>2</v>
      </c>
      <c r="G478">
        <v>2.96</v>
      </c>
      <c r="H478">
        <v>1783.64</v>
      </c>
      <c r="I478">
        <v>-3153.43</v>
      </c>
      <c r="J478">
        <v>40046.019999999997</v>
      </c>
      <c r="K478">
        <v>0</v>
      </c>
      <c r="L478">
        <v>0</v>
      </c>
      <c r="M478">
        <v>0</v>
      </c>
    </row>
    <row r="479" spans="1:13">
      <c r="A479">
        <v>2</v>
      </c>
      <c r="B479" t="s">
        <v>204</v>
      </c>
      <c r="C479">
        <v>10</v>
      </c>
      <c r="D479">
        <v>1</v>
      </c>
      <c r="E479">
        <v>0</v>
      </c>
      <c r="F479">
        <v>3</v>
      </c>
      <c r="G479">
        <v>5.0449999999999999</v>
      </c>
      <c r="H479">
        <v>-6027.5</v>
      </c>
      <c r="I479">
        <v>-4339.2700000000004</v>
      </c>
      <c r="J479">
        <v>40046.019999999997</v>
      </c>
      <c r="K479">
        <v>0</v>
      </c>
      <c r="L479">
        <v>0</v>
      </c>
      <c r="M479">
        <v>0</v>
      </c>
    </row>
    <row r="480" spans="1:13">
      <c r="A480">
        <v>2</v>
      </c>
      <c r="B480" t="s">
        <v>204</v>
      </c>
      <c r="C480">
        <v>10</v>
      </c>
      <c r="D480">
        <v>1</v>
      </c>
      <c r="E480">
        <v>0</v>
      </c>
      <c r="F480" t="s">
        <v>202</v>
      </c>
      <c r="G480">
        <v>5.92</v>
      </c>
      <c r="H480">
        <v>-10042.09</v>
      </c>
      <c r="I480">
        <v>-4836.93</v>
      </c>
      <c r="J480">
        <v>40046.019999999997</v>
      </c>
      <c r="K480">
        <v>0</v>
      </c>
      <c r="L480">
        <v>0</v>
      </c>
      <c r="M480">
        <v>0</v>
      </c>
    </row>
    <row r="481" spans="1:13">
      <c r="A481">
        <v>2</v>
      </c>
      <c r="B481" t="s">
        <v>204</v>
      </c>
      <c r="C481">
        <v>11</v>
      </c>
      <c r="D481">
        <v>1</v>
      </c>
      <c r="E481">
        <v>0</v>
      </c>
      <c r="F481" t="s">
        <v>201</v>
      </c>
      <c r="G481">
        <v>0</v>
      </c>
      <c r="H481">
        <v>-10042.09</v>
      </c>
      <c r="I481">
        <v>-4836.93</v>
      </c>
      <c r="J481">
        <v>40046.019999999997</v>
      </c>
      <c r="K481">
        <v>0</v>
      </c>
      <c r="L481">
        <v>0</v>
      </c>
      <c r="M481">
        <v>0</v>
      </c>
    </row>
    <row r="482" spans="1:13">
      <c r="A482">
        <v>2</v>
      </c>
      <c r="B482" t="s">
        <v>204</v>
      </c>
      <c r="C482">
        <v>11</v>
      </c>
      <c r="D482">
        <v>1</v>
      </c>
      <c r="E482">
        <v>0</v>
      </c>
      <c r="F482" t="s">
        <v>202</v>
      </c>
      <c r="G482">
        <v>0.27500000000000002</v>
      </c>
      <c r="H482">
        <v>-11393.75</v>
      </c>
      <c r="I482">
        <v>-4993.33</v>
      </c>
      <c r="J482">
        <v>40046.019999999997</v>
      </c>
      <c r="K482">
        <v>0</v>
      </c>
      <c r="L482">
        <v>0</v>
      </c>
      <c r="M482">
        <v>0</v>
      </c>
    </row>
    <row r="483" spans="1:13">
      <c r="A483">
        <v>2</v>
      </c>
      <c r="B483" t="s">
        <v>204</v>
      </c>
      <c r="C483">
        <v>12</v>
      </c>
      <c r="D483">
        <v>1</v>
      </c>
      <c r="E483">
        <v>0</v>
      </c>
      <c r="F483" t="s">
        <v>201</v>
      </c>
      <c r="G483">
        <v>0</v>
      </c>
      <c r="H483">
        <v>-14310.43</v>
      </c>
      <c r="I483">
        <v>6052.38</v>
      </c>
      <c r="J483">
        <v>39354.43</v>
      </c>
      <c r="K483">
        <v>0</v>
      </c>
      <c r="L483">
        <v>0</v>
      </c>
      <c r="M483">
        <v>0</v>
      </c>
    </row>
    <row r="484" spans="1:13">
      <c r="A484">
        <v>2</v>
      </c>
      <c r="B484" t="s">
        <v>204</v>
      </c>
      <c r="C484">
        <v>12</v>
      </c>
      <c r="D484">
        <v>1</v>
      </c>
      <c r="E484">
        <v>0</v>
      </c>
      <c r="F484" t="s">
        <v>202</v>
      </c>
      <c r="G484">
        <v>0.27500000000000002</v>
      </c>
      <c r="H484">
        <v>-12667.53</v>
      </c>
      <c r="I484">
        <v>5895.97</v>
      </c>
      <c r="J484">
        <v>39354.43</v>
      </c>
      <c r="K484">
        <v>0</v>
      </c>
      <c r="L484">
        <v>0</v>
      </c>
      <c r="M484">
        <v>0</v>
      </c>
    </row>
    <row r="485" spans="1:13">
      <c r="A485">
        <v>2</v>
      </c>
      <c r="B485" t="s">
        <v>204</v>
      </c>
      <c r="C485">
        <v>13</v>
      </c>
      <c r="D485">
        <v>1</v>
      </c>
      <c r="E485">
        <v>0</v>
      </c>
      <c r="F485" t="s">
        <v>201</v>
      </c>
      <c r="G485">
        <v>0</v>
      </c>
      <c r="H485">
        <v>-12667.53</v>
      </c>
      <c r="I485">
        <v>5895.97</v>
      </c>
      <c r="J485">
        <v>39354.43</v>
      </c>
      <c r="K485">
        <v>0</v>
      </c>
      <c r="L485">
        <v>0</v>
      </c>
      <c r="M485">
        <v>0</v>
      </c>
    </row>
    <row r="486" spans="1:13">
      <c r="A486">
        <v>2</v>
      </c>
      <c r="B486" t="s">
        <v>204</v>
      </c>
      <c r="C486">
        <v>13</v>
      </c>
      <c r="D486">
        <v>1</v>
      </c>
      <c r="E486">
        <v>0</v>
      </c>
      <c r="F486">
        <v>1</v>
      </c>
      <c r="G486">
        <v>0.875</v>
      </c>
      <c r="H486">
        <v>-7726.28</v>
      </c>
      <c r="I486">
        <v>5398.32</v>
      </c>
      <c r="J486">
        <v>39354.43</v>
      </c>
      <c r="K486">
        <v>0</v>
      </c>
      <c r="L486">
        <v>0</v>
      </c>
      <c r="M486">
        <v>0</v>
      </c>
    </row>
    <row r="487" spans="1:13">
      <c r="A487">
        <v>2</v>
      </c>
      <c r="B487" t="s">
        <v>204</v>
      </c>
      <c r="C487">
        <v>13</v>
      </c>
      <c r="D487">
        <v>1</v>
      </c>
      <c r="E487">
        <v>0</v>
      </c>
      <c r="F487">
        <v>2</v>
      </c>
      <c r="G487">
        <v>2.96</v>
      </c>
      <c r="H487">
        <v>2292.9699999999998</v>
      </c>
      <c r="I487">
        <v>4212.47</v>
      </c>
      <c r="J487">
        <v>39354.43</v>
      </c>
      <c r="K487">
        <v>0</v>
      </c>
      <c r="L487">
        <v>0</v>
      </c>
      <c r="M487">
        <v>0</v>
      </c>
    </row>
    <row r="488" spans="1:13">
      <c r="A488">
        <v>2</v>
      </c>
      <c r="B488" t="s">
        <v>204</v>
      </c>
      <c r="C488">
        <v>13</v>
      </c>
      <c r="D488">
        <v>1</v>
      </c>
      <c r="E488">
        <v>0</v>
      </c>
      <c r="F488">
        <v>3</v>
      </c>
      <c r="G488">
        <v>5.0449999999999999</v>
      </c>
      <c r="H488">
        <v>9839.73</v>
      </c>
      <c r="I488">
        <v>3026.63</v>
      </c>
      <c r="J488">
        <v>39354.43</v>
      </c>
      <c r="K488">
        <v>0</v>
      </c>
      <c r="L488">
        <v>0</v>
      </c>
      <c r="M488">
        <v>0</v>
      </c>
    </row>
    <row r="489" spans="1:13">
      <c r="A489">
        <v>2</v>
      </c>
      <c r="B489" t="s">
        <v>204</v>
      </c>
      <c r="C489">
        <v>13</v>
      </c>
      <c r="D489">
        <v>1</v>
      </c>
      <c r="E489">
        <v>0</v>
      </c>
      <c r="F489" t="s">
        <v>202</v>
      </c>
      <c r="G489">
        <v>5.92</v>
      </c>
      <c r="H489">
        <v>12270.31</v>
      </c>
      <c r="I489">
        <v>2528.9699999999998</v>
      </c>
      <c r="J489">
        <v>39354.43</v>
      </c>
      <c r="K489">
        <v>0</v>
      </c>
      <c r="L489">
        <v>0</v>
      </c>
      <c r="M489">
        <v>0</v>
      </c>
    </row>
    <row r="490" spans="1:13">
      <c r="A490">
        <v>2</v>
      </c>
      <c r="B490" t="s">
        <v>204</v>
      </c>
      <c r="C490">
        <v>14</v>
      </c>
      <c r="D490">
        <v>1</v>
      </c>
      <c r="E490">
        <v>0</v>
      </c>
      <c r="F490" t="s">
        <v>201</v>
      </c>
      <c r="G490">
        <v>0</v>
      </c>
      <c r="H490">
        <v>12270.31</v>
      </c>
      <c r="I490">
        <v>2528.9699999999998</v>
      </c>
      <c r="J490">
        <v>39354.43</v>
      </c>
      <c r="K490">
        <v>0</v>
      </c>
      <c r="L490">
        <v>0</v>
      </c>
      <c r="M490">
        <v>0</v>
      </c>
    </row>
    <row r="491" spans="1:13">
      <c r="A491">
        <v>2</v>
      </c>
      <c r="B491" t="s">
        <v>204</v>
      </c>
      <c r="C491">
        <v>14</v>
      </c>
      <c r="D491">
        <v>1</v>
      </c>
      <c r="E491">
        <v>0</v>
      </c>
      <c r="F491" t="s">
        <v>202</v>
      </c>
      <c r="G491">
        <v>0.27500000000000002</v>
      </c>
      <c r="H491">
        <v>11659.99</v>
      </c>
      <c r="I491">
        <v>-14055.62</v>
      </c>
      <c r="J491">
        <v>39354.43</v>
      </c>
      <c r="K491">
        <v>0</v>
      </c>
      <c r="L491">
        <v>0</v>
      </c>
      <c r="M491">
        <v>0</v>
      </c>
    </row>
    <row r="492" spans="1:13">
      <c r="A492">
        <v>2</v>
      </c>
      <c r="B492" t="s">
        <v>204</v>
      </c>
      <c r="C492">
        <v>15</v>
      </c>
      <c r="D492">
        <v>1</v>
      </c>
      <c r="E492">
        <v>0</v>
      </c>
      <c r="F492" t="s">
        <v>201</v>
      </c>
      <c r="G492">
        <v>0</v>
      </c>
      <c r="H492">
        <v>-23421.24</v>
      </c>
      <c r="I492">
        <v>9868.6</v>
      </c>
      <c r="J492">
        <v>31063.09</v>
      </c>
      <c r="K492">
        <v>0</v>
      </c>
      <c r="L492">
        <v>0</v>
      </c>
      <c r="M492">
        <v>0</v>
      </c>
    </row>
    <row r="493" spans="1:13">
      <c r="A493">
        <v>2</v>
      </c>
      <c r="B493" t="s">
        <v>204</v>
      </c>
      <c r="C493">
        <v>15</v>
      </c>
      <c r="D493">
        <v>1</v>
      </c>
      <c r="E493">
        <v>0</v>
      </c>
      <c r="F493" t="s">
        <v>202</v>
      </c>
      <c r="G493">
        <v>0.27500000000000002</v>
      </c>
      <c r="H493">
        <v>-20728.88</v>
      </c>
      <c r="I493">
        <v>9712.2000000000007</v>
      </c>
      <c r="J493">
        <v>31063.09</v>
      </c>
      <c r="K493">
        <v>0</v>
      </c>
      <c r="L493">
        <v>0</v>
      </c>
      <c r="M493">
        <v>0</v>
      </c>
    </row>
    <row r="494" spans="1:13">
      <c r="A494">
        <v>2</v>
      </c>
      <c r="B494" t="s">
        <v>204</v>
      </c>
      <c r="C494">
        <v>16</v>
      </c>
      <c r="D494">
        <v>1</v>
      </c>
      <c r="E494">
        <v>0</v>
      </c>
      <c r="F494" t="s">
        <v>201</v>
      </c>
      <c r="G494">
        <v>0</v>
      </c>
      <c r="H494">
        <v>-20728.88</v>
      </c>
      <c r="I494">
        <v>9712.2000000000007</v>
      </c>
      <c r="J494">
        <v>31063.09</v>
      </c>
      <c r="K494">
        <v>0</v>
      </c>
      <c r="L494">
        <v>0</v>
      </c>
      <c r="M494">
        <v>0</v>
      </c>
    </row>
    <row r="495" spans="1:13">
      <c r="A495">
        <v>2</v>
      </c>
      <c r="B495" t="s">
        <v>204</v>
      </c>
      <c r="C495">
        <v>16</v>
      </c>
      <c r="D495">
        <v>1</v>
      </c>
      <c r="E495">
        <v>0</v>
      </c>
      <c r="F495">
        <v>1</v>
      </c>
      <c r="G495">
        <v>0.875</v>
      </c>
      <c r="H495">
        <v>-12448.43</v>
      </c>
      <c r="I495">
        <v>9214.5400000000009</v>
      </c>
      <c r="J495">
        <v>31063.09</v>
      </c>
      <c r="K495">
        <v>0</v>
      </c>
      <c r="L495">
        <v>0</v>
      </c>
      <c r="M495">
        <v>0</v>
      </c>
    </row>
    <row r="496" spans="1:13">
      <c r="A496">
        <v>2</v>
      </c>
      <c r="B496" t="s">
        <v>204</v>
      </c>
      <c r="C496">
        <v>16</v>
      </c>
      <c r="D496">
        <v>1</v>
      </c>
      <c r="E496">
        <v>0</v>
      </c>
      <c r="F496">
        <v>2</v>
      </c>
      <c r="G496">
        <v>2.96</v>
      </c>
      <c r="H496">
        <v>5527.65</v>
      </c>
      <c r="I496">
        <v>8028.7</v>
      </c>
      <c r="J496">
        <v>31063.09</v>
      </c>
      <c r="K496">
        <v>0</v>
      </c>
      <c r="L496">
        <v>0</v>
      </c>
      <c r="M496">
        <v>0</v>
      </c>
    </row>
    <row r="497" spans="1:13">
      <c r="A497">
        <v>2</v>
      </c>
      <c r="B497" t="s">
        <v>204</v>
      </c>
      <c r="C497">
        <v>16</v>
      </c>
      <c r="D497">
        <v>1</v>
      </c>
      <c r="E497">
        <v>0</v>
      </c>
      <c r="F497">
        <v>3</v>
      </c>
      <c r="G497">
        <v>5.0449999999999999</v>
      </c>
      <c r="H497">
        <v>21031.24</v>
      </c>
      <c r="I497">
        <v>6842.85</v>
      </c>
      <c r="J497">
        <v>31063.09</v>
      </c>
      <c r="K497">
        <v>0</v>
      </c>
      <c r="L497">
        <v>0</v>
      </c>
      <c r="M497">
        <v>0</v>
      </c>
    </row>
    <row r="498" spans="1:13">
      <c r="A498">
        <v>2</v>
      </c>
      <c r="B498" t="s">
        <v>204</v>
      </c>
      <c r="C498">
        <v>16</v>
      </c>
      <c r="D498">
        <v>1</v>
      </c>
      <c r="E498">
        <v>0</v>
      </c>
      <c r="F498" t="s">
        <v>202</v>
      </c>
      <c r="G498">
        <v>5.92</v>
      </c>
      <c r="H498">
        <v>26801.01</v>
      </c>
      <c r="I498">
        <v>6345.2</v>
      </c>
      <c r="J498">
        <v>31063.09</v>
      </c>
      <c r="K498">
        <v>0</v>
      </c>
      <c r="L498">
        <v>0</v>
      </c>
      <c r="M498">
        <v>0</v>
      </c>
    </row>
    <row r="499" spans="1:13">
      <c r="A499">
        <v>2</v>
      </c>
      <c r="B499" t="s">
        <v>204</v>
      </c>
      <c r="C499">
        <v>17</v>
      </c>
      <c r="D499">
        <v>1</v>
      </c>
      <c r="E499">
        <v>0</v>
      </c>
      <c r="F499" t="s">
        <v>201</v>
      </c>
      <c r="G499">
        <v>0</v>
      </c>
      <c r="H499">
        <v>26801.01</v>
      </c>
      <c r="I499">
        <v>6345.2</v>
      </c>
      <c r="J499">
        <v>31063.09</v>
      </c>
      <c r="K499">
        <v>0</v>
      </c>
      <c r="L499">
        <v>0</v>
      </c>
      <c r="M499">
        <v>0</v>
      </c>
    </row>
    <row r="500" spans="1:13">
      <c r="A500">
        <v>2</v>
      </c>
      <c r="B500" t="s">
        <v>204</v>
      </c>
      <c r="C500">
        <v>17</v>
      </c>
      <c r="D500">
        <v>1</v>
      </c>
      <c r="E500">
        <v>0</v>
      </c>
      <c r="F500" t="s">
        <v>202</v>
      </c>
      <c r="G500">
        <v>0.27500000000000002</v>
      </c>
      <c r="H500">
        <v>26720.46</v>
      </c>
      <c r="I500">
        <v>-6550.67</v>
      </c>
      <c r="J500">
        <v>31063.09</v>
      </c>
      <c r="K500">
        <v>0</v>
      </c>
      <c r="L500">
        <v>0</v>
      </c>
      <c r="M500">
        <v>0</v>
      </c>
    </row>
    <row r="501" spans="1:13">
      <c r="A501">
        <v>2</v>
      </c>
      <c r="B501" t="s">
        <v>204</v>
      </c>
      <c r="C501">
        <v>18</v>
      </c>
      <c r="D501">
        <v>1</v>
      </c>
      <c r="E501">
        <v>0</v>
      </c>
      <c r="F501" t="s">
        <v>201</v>
      </c>
      <c r="G501">
        <v>0</v>
      </c>
      <c r="H501">
        <v>-39672.04</v>
      </c>
      <c r="I501">
        <v>16337.5</v>
      </c>
      <c r="J501">
        <v>15262.48</v>
      </c>
      <c r="K501">
        <v>0</v>
      </c>
      <c r="L501">
        <v>0</v>
      </c>
      <c r="M501">
        <v>0</v>
      </c>
    </row>
    <row r="502" spans="1:13">
      <c r="A502">
        <v>2</v>
      </c>
      <c r="B502" t="s">
        <v>204</v>
      </c>
      <c r="C502">
        <v>18</v>
      </c>
      <c r="D502">
        <v>1</v>
      </c>
      <c r="E502">
        <v>0</v>
      </c>
      <c r="F502" t="s">
        <v>202</v>
      </c>
      <c r="G502">
        <v>0.27500000000000002</v>
      </c>
      <c r="H502">
        <v>-35200.730000000003</v>
      </c>
      <c r="I502">
        <v>16181.09</v>
      </c>
      <c r="J502">
        <v>15262.48</v>
      </c>
      <c r="K502">
        <v>0</v>
      </c>
      <c r="L502">
        <v>0</v>
      </c>
      <c r="M502">
        <v>0</v>
      </c>
    </row>
    <row r="503" spans="1:13">
      <c r="A503">
        <v>2</v>
      </c>
      <c r="B503" t="s">
        <v>204</v>
      </c>
      <c r="C503">
        <v>19</v>
      </c>
      <c r="D503">
        <v>1</v>
      </c>
      <c r="E503">
        <v>0</v>
      </c>
      <c r="F503" t="s">
        <v>201</v>
      </c>
      <c r="G503">
        <v>0</v>
      </c>
      <c r="H503">
        <v>-35200.730000000003</v>
      </c>
      <c r="I503">
        <v>16181.09</v>
      </c>
      <c r="J503">
        <v>15262.48</v>
      </c>
      <c r="K503">
        <v>0</v>
      </c>
      <c r="L503">
        <v>0</v>
      </c>
      <c r="M503">
        <v>0</v>
      </c>
    </row>
    <row r="504" spans="1:13">
      <c r="A504">
        <v>2</v>
      </c>
      <c r="B504" t="s">
        <v>204</v>
      </c>
      <c r="C504">
        <v>19</v>
      </c>
      <c r="D504">
        <v>1</v>
      </c>
      <c r="E504">
        <v>0</v>
      </c>
      <c r="F504">
        <v>1</v>
      </c>
      <c r="G504">
        <v>0.875</v>
      </c>
      <c r="H504">
        <v>-21042.28</v>
      </c>
      <c r="I504">
        <v>16181.09</v>
      </c>
      <c r="J504">
        <v>15262.48</v>
      </c>
      <c r="K504">
        <v>0</v>
      </c>
      <c r="L504">
        <v>0</v>
      </c>
      <c r="M504">
        <v>0</v>
      </c>
    </row>
    <row r="505" spans="1:13">
      <c r="A505">
        <v>2</v>
      </c>
      <c r="B505" t="s">
        <v>204</v>
      </c>
      <c r="C505">
        <v>19</v>
      </c>
      <c r="D505">
        <v>1</v>
      </c>
      <c r="E505">
        <v>0</v>
      </c>
      <c r="F505">
        <v>2</v>
      </c>
      <c r="G505">
        <v>2.96</v>
      </c>
      <c r="H505">
        <v>12695.29</v>
      </c>
      <c r="I505">
        <v>16181.09</v>
      </c>
      <c r="J505">
        <v>15262.48</v>
      </c>
      <c r="K505">
        <v>0</v>
      </c>
      <c r="L505">
        <v>0</v>
      </c>
      <c r="M505">
        <v>0</v>
      </c>
    </row>
    <row r="506" spans="1:13">
      <c r="A506">
        <v>2</v>
      </c>
      <c r="B506" t="s">
        <v>204</v>
      </c>
      <c r="C506">
        <v>19</v>
      </c>
      <c r="D506">
        <v>1</v>
      </c>
      <c r="E506">
        <v>0</v>
      </c>
      <c r="F506">
        <v>3</v>
      </c>
      <c r="G506">
        <v>5.0449999999999999</v>
      </c>
      <c r="H506">
        <v>45576.12</v>
      </c>
      <c r="I506">
        <v>12041.65</v>
      </c>
      <c r="J506">
        <v>15262.48</v>
      </c>
      <c r="K506">
        <v>0</v>
      </c>
      <c r="L506">
        <v>0</v>
      </c>
      <c r="M506">
        <v>0</v>
      </c>
    </row>
    <row r="507" spans="1:13">
      <c r="A507">
        <v>2</v>
      </c>
      <c r="B507" t="s">
        <v>204</v>
      </c>
      <c r="C507">
        <v>19</v>
      </c>
      <c r="D507">
        <v>1</v>
      </c>
      <c r="E507">
        <v>0</v>
      </c>
      <c r="F507" t="s">
        <v>202</v>
      </c>
      <c r="G507">
        <v>5.92</v>
      </c>
      <c r="H507">
        <v>55894.84</v>
      </c>
      <c r="I507">
        <v>11544</v>
      </c>
      <c r="J507">
        <v>15262.48</v>
      </c>
      <c r="K507">
        <v>0</v>
      </c>
      <c r="L507">
        <v>0</v>
      </c>
      <c r="M507">
        <v>0</v>
      </c>
    </row>
    <row r="508" spans="1:13">
      <c r="A508">
        <v>2</v>
      </c>
      <c r="B508" t="s">
        <v>204</v>
      </c>
      <c r="C508">
        <v>20</v>
      </c>
      <c r="D508">
        <v>1</v>
      </c>
      <c r="E508">
        <v>0</v>
      </c>
      <c r="F508" t="s">
        <v>201</v>
      </c>
      <c r="G508">
        <v>0</v>
      </c>
      <c r="H508">
        <v>55894.84</v>
      </c>
      <c r="I508">
        <v>11544</v>
      </c>
      <c r="J508">
        <v>15262.48</v>
      </c>
      <c r="K508">
        <v>0</v>
      </c>
      <c r="L508">
        <v>0</v>
      </c>
      <c r="M508">
        <v>0</v>
      </c>
    </row>
    <row r="509" spans="1:13">
      <c r="A509">
        <v>2</v>
      </c>
      <c r="B509" t="s">
        <v>204</v>
      </c>
      <c r="C509">
        <v>20</v>
      </c>
      <c r="D509">
        <v>1</v>
      </c>
      <c r="E509">
        <v>0</v>
      </c>
      <c r="F509" t="s">
        <v>202</v>
      </c>
      <c r="G509">
        <v>0.27500000000000002</v>
      </c>
      <c r="H509">
        <v>59047.94</v>
      </c>
      <c r="I509">
        <v>11387.59</v>
      </c>
      <c r="J509">
        <v>15262.48</v>
      </c>
      <c r="K509">
        <v>0</v>
      </c>
      <c r="L509">
        <v>0</v>
      </c>
      <c r="M509">
        <v>0</v>
      </c>
    </row>
    <row r="510" spans="1:13">
      <c r="A510">
        <v>2</v>
      </c>
      <c r="B510" t="s">
        <v>204</v>
      </c>
      <c r="C510">
        <v>21</v>
      </c>
      <c r="D510">
        <v>1</v>
      </c>
      <c r="E510">
        <v>0</v>
      </c>
      <c r="F510" t="s">
        <v>201</v>
      </c>
      <c r="G510">
        <v>0</v>
      </c>
      <c r="H510">
        <v>-3277.61</v>
      </c>
      <c r="I510">
        <v>19237.37</v>
      </c>
      <c r="J510">
        <v>0</v>
      </c>
      <c r="K510">
        <v>0</v>
      </c>
      <c r="L510">
        <v>0</v>
      </c>
      <c r="M510">
        <v>0</v>
      </c>
    </row>
    <row r="511" spans="1:13">
      <c r="A511">
        <v>2</v>
      </c>
      <c r="B511" t="s">
        <v>204</v>
      </c>
      <c r="C511">
        <v>21</v>
      </c>
      <c r="D511">
        <v>1</v>
      </c>
      <c r="E511">
        <v>1</v>
      </c>
      <c r="F511" t="s">
        <v>202</v>
      </c>
      <c r="G511">
        <v>0.27500000000000002</v>
      </c>
      <c r="H511">
        <v>-696.5</v>
      </c>
      <c r="I511">
        <v>890.09</v>
      </c>
      <c r="J511">
        <v>0</v>
      </c>
      <c r="K511">
        <v>-696.5</v>
      </c>
      <c r="L511">
        <v>890.09</v>
      </c>
      <c r="M511">
        <v>0</v>
      </c>
    </row>
    <row r="512" spans="1:13">
      <c r="A512">
        <v>2</v>
      </c>
      <c r="B512" t="s">
        <v>204</v>
      </c>
      <c r="C512">
        <v>22</v>
      </c>
      <c r="D512">
        <v>1</v>
      </c>
      <c r="E512">
        <v>0</v>
      </c>
      <c r="F512" t="s">
        <v>201</v>
      </c>
      <c r="G512">
        <v>0</v>
      </c>
      <c r="H512">
        <v>-696.5</v>
      </c>
      <c r="I512">
        <v>890.09</v>
      </c>
      <c r="J512">
        <v>0</v>
      </c>
      <c r="K512">
        <v>0</v>
      </c>
      <c r="L512">
        <v>0</v>
      </c>
      <c r="M512">
        <v>0</v>
      </c>
    </row>
    <row r="513" spans="1:13">
      <c r="A513">
        <v>2</v>
      </c>
      <c r="B513" t="s">
        <v>204</v>
      </c>
      <c r="C513">
        <v>22</v>
      </c>
      <c r="D513">
        <v>1</v>
      </c>
      <c r="E513">
        <v>0</v>
      </c>
      <c r="F513" t="s">
        <v>202</v>
      </c>
      <c r="G513">
        <v>1.5649999999999999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</row>
    <row r="514" spans="1:13">
      <c r="A514">
        <v>2</v>
      </c>
      <c r="B514" t="s">
        <v>204</v>
      </c>
      <c r="C514">
        <v>23</v>
      </c>
      <c r="D514">
        <v>0</v>
      </c>
      <c r="E514">
        <v>1</v>
      </c>
      <c r="F514" t="s">
        <v>201</v>
      </c>
      <c r="G514">
        <v>0</v>
      </c>
      <c r="H514">
        <v>0</v>
      </c>
      <c r="I514">
        <v>0</v>
      </c>
      <c r="J514">
        <v>0</v>
      </c>
      <c r="K514">
        <v>-15624.12</v>
      </c>
      <c r="L514">
        <v>3805.07</v>
      </c>
      <c r="M514">
        <v>-19832.61</v>
      </c>
    </row>
    <row r="515" spans="1:13">
      <c r="A515">
        <v>2</v>
      </c>
      <c r="B515" t="s">
        <v>204</v>
      </c>
      <c r="C515">
        <v>23</v>
      </c>
      <c r="D515">
        <v>0</v>
      </c>
      <c r="E515">
        <v>1</v>
      </c>
      <c r="F515" t="s">
        <v>202</v>
      </c>
      <c r="G515">
        <v>1.175</v>
      </c>
      <c r="H515">
        <v>0</v>
      </c>
      <c r="I515">
        <v>0</v>
      </c>
      <c r="J515">
        <v>0</v>
      </c>
      <c r="K515">
        <v>-11153.16</v>
      </c>
      <c r="L515">
        <v>3805.07</v>
      </c>
      <c r="M515">
        <v>-19832.61</v>
      </c>
    </row>
    <row r="516" spans="1:13">
      <c r="A516">
        <v>2</v>
      </c>
      <c r="B516" t="s">
        <v>204</v>
      </c>
      <c r="C516">
        <v>24</v>
      </c>
      <c r="D516">
        <v>0</v>
      </c>
      <c r="E516">
        <v>1</v>
      </c>
      <c r="F516" t="s">
        <v>201</v>
      </c>
      <c r="G516">
        <v>0</v>
      </c>
      <c r="H516">
        <v>0</v>
      </c>
      <c r="I516">
        <v>0</v>
      </c>
      <c r="J516">
        <v>0</v>
      </c>
      <c r="K516">
        <v>-61959.91</v>
      </c>
      <c r="L516">
        <v>14697.06</v>
      </c>
      <c r="M516">
        <v>-26569.74</v>
      </c>
    </row>
    <row r="517" spans="1:13">
      <c r="A517">
        <v>2</v>
      </c>
      <c r="B517" t="s">
        <v>204</v>
      </c>
      <c r="C517">
        <v>24</v>
      </c>
      <c r="D517">
        <v>0</v>
      </c>
      <c r="E517">
        <v>1</v>
      </c>
      <c r="F517" t="s">
        <v>202</v>
      </c>
      <c r="G517">
        <v>1.175</v>
      </c>
      <c r="H517">
        <v>0</v>
      </c>
      <c r="I517">
        <v>0</v>
      </c>
      <c r="J517">
        <v>0</v>
      </c>
      <c r="K517">
        <v>-44690.879999999997</v>
      </c>
      <c r="L517">
        <v>14697.06</v>
      </c>
      <c r="M517">
        <v>-26569.74</v>
      </c>
    </row>
    <row r="518" spans="1:13">
      <c r="A518">
        <v>2</v>
      </c>
      <c r="B518" t="s">
        <v>204</v>
      </c>
      <c r="C518">
        <v>25</v>
      </c>
      <c r="D518">
        <v>0</v>
      </c>
      <c r="E518">
        <v>1</v>
      </c>
      <c r="F518" t="s">
        <v>201</v>
      </c>
      <c r="G518">
        <v>0</v>
      </c>
      <c r="H518">
        <v>0</v>
      </c>
      <c r="I518">
        <v>0</v>
      </c>
      <c r="J518">
        <v>0</v>
      </c>
      <c r="K518">
        <v>-30167.96</v>
      </c>
      <c r="L518">
        <v>7106.87</v>
      </c>
      <c r="M518">
        <v>-24439.15</v>
      </c>
    </row>
    <row r="519" spans="1:13">
      <c r="A519">
        <v>2</v>
      </c>
      <c r="B519" t="s">
        <v>204</v>
      </c>
      <c r="C519">
        <v>25</v>
      </c>
      <c r="D519">
        <v>0</v>
      </c>
      <c r="E519">
        <v>1</v>
      </c>
      <c r="F519" t="s">
        <v>202</v>
      </c>
      <c r="G519">
        <v>1.175</v>
      </c>
      <c r="H519">
        <v>0</v>
      </c>
      <c r="I519">
        <v>0</v>
      </c>
      <c r="J519">
        <v>0</v>
      </c>
      <c r="K519">
        <v>-21817.38</v>
      </c>
      <c r="L519">
        <v>7106.87</v>
      </c>
      <c r="M519">
        <v>-24439.15</v>
      </c>
    </row>
    <row r="520" spans="1:13">
      <c r="A520">
        <v>2</v>
      </c>
      <c r="B520" t="s">
        <v>204</v>
      </c>
      <c r="C520">
        <v>26</v>
      </c>
      <c r="D520">
        <v>0</v>
      </c>
      <c r="E520">
        <v>1</v>
      </c>
      <c r="F520" t="s">
        <v>201</v>
      </c>
      <c r="G520">
        <v>0</v>
      </c>
      <c r="H520">
        <v>0</v>
      </c>
      <c r="I520">
        <v>0</v>
      </c>
      <c r="J520">
        <v>0</v>
      </c>
      <c r="K520">
        <v>2916.68</v>
      </c>
      <c r="L520">
        <v>-691.58</v>
      </c>
      <c r="M520">
        <v>-21161.01</v>
      </c>
    </row>
    <row r="521" spans="1:13">
      <c r="A521">
        <v>2</v>
      </c>
      <c r="B521" t="s">
        <v>204</v>
      </c>
      <c r="C521">
        <v>26</v>
      </c>
      <c r="D521">
        <v>0</v>
      </c>
      <c r="E521">
        <v>1</v>
      </c>
      <c r="F521" t="s">
        <v>202</v>
      </c>
      <c r="G521">
        <v>1.175</v>
      </c>
      <c r="H521">
        <v>0</v>
      </c>
      <c r="I521">
        <v>0</v>
      </c>
      <c r="J521">
        <v>0</v>
      </c>
      <c r="K521">
        <v>2104.0700000000002</v>
      </c>
      <c r="L521">
        <v>-691.58</v>
      </c>
      <c r="M521">
        <v>-21161.01</v>
      </c>
    </row>
    <row r="522" spans="1:13">
      <c r="A522">
        <v>2</v>
      </c>
      <c r="B522" t="s">
        <v>204</v>
      </c>
      <c r="C522">
        <v>27</v>
      </c>
      <c r="D522">
        <v>0</v>
      </c>
      <c r="E522">
        <v>1</v>
      </c>
      <c r="F522" t="s">
        <v>201</v>
      </c>
      <c r="G522">
        <v>0</v>
      </c>
      <c r="H522">
        <v>0</v>
      </c>
      <c r="I522">
        <v>0</v>
      </c>
      <c r="J522">
        <v>0</v>
      </c>
      <c r="K522">
        <v>35081.230000000003</v>
      </c>
      <c r="L522">
        <v>-8291.35</v>
      </c>
      <c r="M522">
        <v>-23924.22</v>
      </c>
    </row>
    <row r="523" spans="1:13">
      <c r="A523">
        <v>2</v>
      </c>
      <c r="B523" t="s">
        <v>204</v>
      </c>
      <c r="C523">
        <v>27</v>
      </c>
      <c r="D523">
        <v>0</v>
      </c>
      <c r="E523">
        <v>1</v>
      </c>
      <c r="F523" t="s">
        <v>202</v>
      </c>
      <c r="G523">
        <v>1.175</v>
      </c>
      <c r="H523">
        <v>0</v>
      </c>
      <c r="I523">
        <v>0</v>
      </c>
      <c r="J523">
        <v>0</v>
      </c>
      <c r="K523">
        <v>25338.9</v>
      </c>
      <c r="L523">
        <v>-8291.35</v>
      </c>
      <c r="M523">
        <v>-23924.22</v>
      </c>
    </row>
    <row r="524" spans="1:13">
      <c r="A524">
        <v>2</v>
      </c>
      <c r="B524" t="s">
        <v>204</v>
      </c>
      <c r="C524">
        <v>28</v>
      </c>
      <c r="D524">
        <v>0</v>
      </c>
      <c r="E524">
        <v>1</v>
      </c>
      <c r="F524" t="s">
        <v>201</v>
      </c>
      <c r="G524">
        <v>0</v>
      </c>
      <c r="H524">
        <v>0</v>
      </c>
      <c r="I524">
        <v>0</v>
      </c>
      <c r="J524">
        <v>0</v>
      </c>
      <c r="K524">
        <v>66392.5</v>
      </c>
      <c r="L524">
        <v>-15800.61</v>
      </c>
      <c r="M524">
        <v>-22888.16</v>
      </c>
    </row>
    <row r="525" spans="1:13">
      <c r="A525">
        <v>2</v>
      </c>
      <c r="B525" t="s">
        <v>204</v>
      </c>
      <c r="C525">
        <v>28</v>
      </c>
      <c r="D525">
        <v>0</v>
      </c>
      <c r="E525">
        <v>1</v>
      </c>
      <c r="F525" t="s">
        <v>202</v>
      </c>
      <c r="G525">
        <v>1.175</v>
      </c>
      <c r="H525">
        <v>0</v>
      </c>
      <c r="I525">
        <v>0</v>
      </c>
      <c r="J525">
        <v>0</v>
      </c>
      <c r="K525">
        <v>47826.79</v>
      </c>
      <c r="L525">
        <v>-15800.61</v>
      </c>
      <c r="M525">
        <v>-22888.16</v>
      </c>
    </row>
    <row r="526" spans="1:13">
      <c r="A526">
        <v>2</v>
      </c>
      <c r="B526" t="s">
        <v>204</v>
      </c>
      <c r="C526">
        <v>29</v>
      </c>
      <c r="D526">
        <v>0</v>
      </c>
      <c r="E526">
        <v>1</v>
      </c>
      <c r="F526" t="s">
        <v>201</v>
      </c>
      <c r="G526">
        <v>0</v>
      </c>
      <c r="H526">
        <v>0</v>
      </c>
      <c r="I526">
        <v>0</v>
      </c>
      <c r="J526">
        <v>0</v>
      </c>
      <c r="K526">
        <v>13817.47</v>
      </c>
      <c r="L526">
        <v>-3316.73</v>
      </c>
      <c r="M526">
        <v>-19495.61</v>
      </c>
    </row>
    <row r="527" spans="1:13">
      <c r="A527">
        <v>2</v>
      </c>
      <c r="B527" t="s">
        <v>204</v>
      </c>
      <c r="C527">
        <v>29</v>
      </c>
      <c r="D527">
        <v>0</v>
      </c>
      <c r="E527">
        <v>1</v>
      </c>
      <c r="F527" t="s">
        <v>202</v>
      </c>
      <c r="G527">
        <v>1.175</v>
      </c>
      <c r="H527">
        <v>0</v>
      </c>
      <c r="I527">
        <v>0</v>
      </c>
      <c r="J527">
        <v>0</v>
      </c>
      <c r="K527">
        <v>9920.32</v>
      </c>
      <c r="L527">
        <v>-3316.73</v>
      </c>
      <c r="M527">
        <v>-19495.61</v>
      </c>
    </row>
    <row r="528" spans="1:13">
      <c r="A528">
        <v>2</v>
      </c>
      <c r="B528" t="s">
        <v>204</v>
      </c>
      <c r="C528">
        <v>30</v>
      </c>
      <c r="D528">
        <v>0</v>
      </c>
      <c r="E528">
        <v>1</v>
      </c>
      <c r="F528" t="s">
        <v>201</v>
      </c>
      <c r="G528">
        <v>0</v>
      </c>
      <c r="H528">
        <v>0</v>
      </c>
      <c r="I528">
        <v>0</v>
      </c>
      <c r="J528">
        <v>0</v>
      </c>
      <c r="K528">
        <v>-11153.16</v>
      </c>
      <c r="L528">
        <v>3805.07</v>
      </c>
      <c r="M528">
        <v>-19832.61</v>
      </c>
    </row>
    <row r="529" spans="1:13">
      <c r="A529">
        <v>2</v>
      </c>
      <c r="B529" t="s">
        <v>204</v>
      </c>
      <c r="C529">
        <v>30</v>
      </c>
      <c r="D529">
        <v>0</v>
      </c>
      <c r="E529">
        <v>1</v>
      </c>
      <c r="F529" t="s">
        <v>202</v>
      </c>
      <c r="G529">
        <v>6.1749999999999998</v>
      </c>
      <c r="H529">
        <v>0</v>
      </c>
      <c r="I529">
        <v>0</v>
      </c>
      <c r="J529">
        <v>0</v>
      </c>
      <c r="K529">
        <v>-8624.11</v>
      </c>
      <c r="L529">
        <v>3805.07</v>
      </c>
      <c r="M529">
        <v>-21313.81</v>
      </c>
    </row>
    <row r="530" spans="1:13">
      <c r="A530">
        <v>2</v>
      </c>
      <c r="B530" t="s">
        <v>204</v>
      </c>
      <c r="C530">
        <v>31</v>
      </c>
      <c r="D530">
        <v>0</v>
      </c>
      <c r="E530">
        <v>1</v>
      </c>
      <c r="F530" t="s">
        <v>201</v>
      </c>
      <c r="G530">
        <v>0</v>
      </c>
      <c r="H530">
        <v>0</v>
      </c>
      <c r="I530">
        <v>0</v>
      </c>
      <c r="J530">
        <v>0</v>
      </c>
      <c r="K530">
        <v>11606.5</v>
      </c>
      <c r="L530">
        <v>3899.69</v>
      </c>
      <c r="M530">
        <v>-16995.71</v>
      </c>
    </row>
    <row r="531" spans="1:13">
      <c r="A531">
        <v>2</v>
      </c>
      <c r="B531" t="s">
        <v>204</v>
      </c>
      <c r="C531">
        <v>31</v>
      </c>
      <c r="D531">
        <v>0</v>
      </c>
      <c r="E531">
        <v>1</v>
      </c>
      <c r="F531" t="s">
        <v>202</v>
      </c>
      <c r="G531">
        <v>6.1749999999999998</v>
      </c>
      <c r="H531">
        <v>0</v>
      </c>
      <c r="I531">
        <v>0</v>
      </c>
      <c r="J531">
        <v>0</v>
      </c>
      <c r="K531">
        <v>-43730.47</v>
      </c>
      <c r="L531">
        <v>14697.06</v>
      </c>
      <c r="M531">
        <v>-28050.94</v>
      </c>
    </row>
    <row r="532" spans="1:13">
      <c r="A532">
        <v>2</v>
      </c>
      <c r="B532" t="s">
        <v>204</v>
      </c>
      <c r="C532">
        <v>32</v>
      </c>
      <c r="D532">
        <v>0</v>
      </c>
      <c r="E532">
        <v>1</v>
      </c>
      <c r="F532" t="s">
        <v>201</v>
      </c>
      <c r="G532">
        <v>0</v>
      </c>
      <c r="H532">
        <v>0</v>
      </c>
      <c r="I532">
        <v>0</v>
      </c>
      <c r="J532">
        <v>0</v>
      </c>
      <c r="K532">
        <v>-35947.47</v>
      </c>
      <c r="L532">
        <v>14599.33</v>
      </c>
      <c r="M532">
        <v>-24830.78</v>
      </c>
    </row>
    <row r="533" spans="1:13">
      <c r="A533">
        <v>2</v>
      </c>
      <c r="B533" t="s">
        <v>204</v>
      </c>
      <c r="C533">
        <v>32</v>
      </c>
      <c r="D533">
        <v>0</v>
      </c>
      <c r="E533">
        <v>1</v>
      </c>
      <c r="F533" t="s">
        <v>202</v>
      </c>
      <c r="G533">
        <v>6.1749999999999998</v>
      </c>
      <c r="H533">
        <v>0</v>
      </c>
      <c r="I533">
        <v>0</v>
      </c>
      <c r="J533">
        <v>0</v>
      </c>
      <c r="K533">
        <v>45842.04</v>
      </c>
      <c r="L533">
        <v>14599.33</v>
      </c>
      <c r="M533">
        <v>-26311.98</v>
      </c>
    </row>
    <row r="534" spans="1:13">
      <c r="A534">
        <v>2</v>
      </c>
      <c r="B534" t="s">
        <v>204</v>
      </c>
      <c r="C534">
        <v>33</v>
      </c>
      <c r="D534">
        <v>0</v>
      </c>
      <c r="E534">
        <v>1</v>
      </c>
      <c r="F534" t="s">
        <v>201</v>
      </c>
      <c r="G534">
        <v>0</v>
      </c>
      <c r="H534">
        <v>0</v>
      </c>
      <c r="I534">
        <v>0</v>
      </c>
      <c r="J534">
        <v>0</v>
      </c>
      <c r="K534">
        <v>-21593.34</v>
      </c>
      <c r="L534">
        <v>7050.89</v>
      </c>
      <c r="M534">
        <v>-23687.72</v>
      </c>
    </row>
    <row r="535" spans="1:13">
      <c r="A535">
        <v>2</v>
      </c>
      <c r="B535" t="s">
        <v>204</v>
      </c>
      <c r="C535">
        <v>33</v>
      </c>
      <c r="D535">
        <v>0</v>
      </c>
      <c r="E535">
        <v>1</v>
      </c>
      <c r="F535" t="s">
        <v>202</v>
      </c>
      <c r="G535">
        <v>6.1749999999999998</v>
      </c>
      <c r="H535">
        <v>0</v>
      </c>
      <c r="I535">
        <v>0</v>
      </c>
      <c r="J535">
        <v>0</v>
      </c>
      <c r="K535">
        <v>-17528.82</v>
      </c>
      <c r="L535">
        <v>7050.89</v>
      </c>
      <c r="M535">
        <v>-25168.92</v>
      </c>
    </row>
    <row r="536" spans="1:13">
      <c r="A536">
        <v>2</v>
      </c>
      <c r="B536" t="s">
        <v>204</v>
      </c>
      <c r="C536">
        <v>34</v>
      </c>
      <c r="D536">
        <v>0</v>
      </c>
      <c r="E536">
        <v>1</v>
      </c>
      <c r="F536" t="s">
        <v>201</v>
      </c>
      <c r="G536">
        <v>0</v>
      </c>
      <c r="H536">
        <v>0</v>
      </c>
      <c r="I536">
        <v>0</v>
      </c>
      <c r="J536">
        <v>0</v>
      </c>
      <c r="K536">
        <v>22004.5</v>
      </c>
      <c r="L536">
        <v>7035.15</v>
      </c>
      <c r="M536">
        <v>-24200.5</v>
      </c>
    </row>
    <row r="537" spans="1:13">
      <c r="A537">
        <v>2</v>
      </c>
      <c r="B537" t="s">
        <v>204</v>
      </c>
      <c r="C537">
        <v>34</v>
      </c>
      <c r="D537">
        <v>0</v>
      </c>
      <c r="E537">
        <v>1</v>
      </c>
      <c r="F537" t="s">
        <v>202</v>
      </c>
      <c r="G537">
        <v>6.1749999999999998</v>
      </c>
      <c r="H537">
        <v>0</v>
      </c>
      <c r="I537">
        <v>0</v>
      </c>
      <c r="J537">
        <v>0</v>
      </c>
      <c r="K537">
        <v>2088.09</v>
      </c>
      <c r="L537">
        <v>-707.32</v>
      </c>
      <c r="M537">
        <v>-23155</v>
      </c>
    </row>
    <row r="538" spans="1:13">
      <c r="A538">
        <v>2</v>
      </c>
      <c r="B538" t="s">
        <v>204</v>
      </c>
      <c r="C538">
        <v>35</v>
      </c>
      <c r="D538">
        <v>0</v>
      </c>
      <c r="E538">
        <v>1</v>
      </c>
      <c r="F538" t="s">
        <v>201</v>
      </c>
      <c r="G538">
        <v>0</v>
      </c>
      <c r="H538">
        <v>0</v>
      </c>
      <c r="I538">
        <v>0</v>
      </c>
      <c r="J538">
        <v>0</v>
      </c>
      <c r="K538">
        <v>1985.13</v>
      </c>
      <c r="L538">
        <v>-759.71</v>
      </c>
      <c r="M538">
        <v>-22321.22</v>
      </c>
    </row>
    <row r="539" spans="1:13">
      <c r="A539">
        <v>2</v>
      </c>
      <c r="B539" t="s">
        <v>204</v>
      </c>
      <c r="C539">
        <v>35</v>
      </c>
      <c r="D539">
        <v>0</v>
      </c>
      <c r="E539">
        <v>1</v>
      </c>
      <c r="F539" t="s">
        <v>202</v>
      </c>
      <c r="G539">
        <v>6.1749999999999998</v>
      </c>
      <c r="H539">
        <v>0</v>
      </c>
      <c r="I539">
        <v>0</v>
      </c>
      <c r="J539">
        <v>0</v>
      </c>
      <c r="K539">
        <v>-2307.39</v>
      </c>
      <c r="L539">
        <v>-759.71</v>
      </c>
      <c r="M539">
        <v>-23802.42</v>
      </c>
    </row>
    <row r="540" spans="1:13">
      <c r="A540">
        <v>2</v>
      </c>
      <c r="B540" t="s">
        <v>204</v>
      </c>
      <c r="C540">
        <v>36</v>
      </c>
      <c r="D540">
        <v>0</v>
      </c>
      <c r="E540">
        <v>1</v>
      </c>
      <c r="F540" t="s">
        <v>201</v>
      </c>
      <c r="G540">
        <v>0</v>
      </c>
      <c r="H540">
        <v>0</v>
      </c>
      <c r="I540">
        <v>0</v>
      </c>
      <c r="J540">
        <v>0</v>
      </c>
      <c r="K540">
        <v>26052.21</v>
      </c>
      <c r="L540">
        <v>-8473.32</v>
      </c>
      <c r="M540">
        <v>-28081.93</v>
      </c>
    </row>
    <row r="541" spans="1:13">
      <c r="A541">
        <v>2</v>
      </c>
      <c r="B541" t="s">
        <v>204</v>
      </c>
      <c r="C541">
        <v>36</v>
      </c>
      <c r="D541">
        <v>0</v>
      </c>
      <c r="E541">
        <v>1</v>
      </c>
      <c r="F541" t="s">
        <v>202</v>
      </c>
      <c r="G541">
        <v>6.1749999999999998</v>
      </c>
      <c r="H541">
        <v>0</v>
      </c>
      <c r="I541">
        <v>0</v>
      </c>
      <c r="J541">
        <v>0</v>
      </c>
      <c r="K541">
        <v>20083.099999999999</v>
      </c>
      <c r="L541">
        <v>-8473.32</v>
      </c>
      <c r="M541">
        <v>-29563.13</v>
      </c>
    </row>
    <row r="542" spans="1:13">
      <c r="A542">
        <v>3</v>
      </c>
      <c r="B542" t="s">
        <v>200</v>
      </c>
      <c r="C542">
        <v>1</v>
      </c>
      <c r="D542">
        <v>1</v>
      </c>
      <c r="E542">
        <v>0</v>
      </c>
      <c r="F542" t="s">
        <v>201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</row>
    <row r="543" spans="1:13">
      <c r="A543">
        <v>3</v>
      </c>
      <c r="B543" t="s">
        <v>200</v>
      </c>
      <c r="C543">
        <v>1</v>
      </c>
      <c r="D543">
        <v>0</v>
      </c>
      <c r="E543">
        <v>1</v>
      </c>
      <c r="F543" t="s">
        <v>202</v>
      </c>
      <c r="G543">
        <v>1.5649999999999999</v>
      </c>
      <c r="H543">
        <v>0</v>
      </c>
      <c r="I543">
        <v>0</v>
      </c>
      <c r="J543">
        <v>0</v>
      </c>
      <c r="K543">
        <v>-696.5</v>
      </c>
      <c r="L543">
        <v>-890.09</v>
      </c>
      <c r="M543">
        <v>0</v>
      </c>
    </row>
    <row r="544" spans="1:13">
      <c r="A544">
        <v>3</v>
      </c>
      <c r="B544" t="s">
        <v>200</v>
      </c>
      <c r="C544">
        <v>2</v>
      </c>
      <c r="D544">
        <v>0</v>
      </c>
      <c r="E544">
        <v>1</v>
      </c>
      <c r="F544" t="s">
        <v>201</v>
      </c>
      <c r="G544">
        <v>0</v>
      </c>
      <c r="H544">
        <v>0</v>
      </c>
      <c r="I544">
        <v>0</v>
      </c>
      <c r="J544">
        <v>0</v>
      </c>
      <c r="K544">
        <v>-696.5</v>
      </c>
      <c r="L544">
        <v>-890.09</v>
      </c>
      <c r="M544">
        <v>0</v>
      </c>
    </row>
    <row r="545" spans="1:13">
      <c r="A545">
        <v>3</v>
      </c>
      <c r="B545" t="s">
        <v>200</v>
      </c>
      <c r="C545">
        <v>2</v>
      </c>
      <c r="D545">
        <v>0</v>
      </c>
      <c r="E545">
        <v>2</v>
      </c>
      <c r="F545" t="s">
        <v>202</v>
      </c>
      <c r="G545">
        <v>0.27500000000000002</v>
      </c>
      <c r="H545">
        <v>0</v>
      </c>
      <c r="I545">
        <v>0</v>
      </c>
      <c r="J545">
        <v>0</v>
      </c>
      <c r="K545">
        <v>-3329.18</v>
      </c>
      <c r="L545">
        <v>-19728.650000000001</v>
      </c>
      <c r="M545">
        <v>0</v>
      </c>
    </row>
    <row r="546" spans="1:13">
      <c r="A546">
        <v>3</v>
      </c>
      <c r="B546" t="s">
        <v>200</v>
      </c>
      <c r="C546">
        <v>3</v>
      </c>
      <c r="D546">
        <v>4</v>
      </c>
      <c r="E546">
        <v>0</v>
      </c>
      <c r="F546" t="s">
        <v>201</v>
      </c>
      <c r="G546">
        <v>0</v>
      </c>
      <c r="H546">
        <v>70937.7</v>
      </c>
      <c r="I546">
        <v>-12377.82</v>
      </c>
      <c r="J546">
        <v>18238.64</v>
      </c>
      <c r="K546">
        <v>0</v>
      </c>
      <c r="L546">
        <v>0</v>
      </c>
      <c r="M546">
        <v>0</v>
      </c>
    </row>
    <row r="547" spans="1:13">
      <c r="A547">
        <v>3</v>
      </c>
      <c r="B547" t="s">
        <v>200</v>
      </c>
      <c r="C547">
        <v>3</v>
      </c>
      <c r="D547">
        <v>4</v>
      </c>
      <c r="E547">
        <v>0</v>
      </c>
      <c r="F547" t="s">
        <v>202</v>
      </c>
      <c r="G547">
        <v>0.27500000000000002</v>
      </c>
      <c r="H547">
        <v>67512.289999999994</v>
      </c>
      <c r="I547">
        <v>-12534.23</v>
      </c>
      <c r="J547">
        <v>18238.64</v>
      </c>
      <c r="K547">
        <v>0</v>
      </c>
      <c r="L547">
        <v>0</v>
      </c>
      <c r="M547">
        <v>0</v>
      </c>
    </row>
    <row r="548" spans="1:13">
      <c r="A548">
        <v>3</v>
      </c>
      <c r="B548" t="s">
        <v>200</v>
      </c>
      <c r="C548">
        <v>4</v>
      </c>
      <c r="D548">
        <v>4</v>
      </c>
      <c r="E548">
        <v>0</v>
      </c>
      <c r="F548" t="s">
        <v>201</v>
      </c>
      <c r="G548">
        <v>0</v>
      </c>
      <c r="H548">
        <v>67512.289999999994</v>
      </c>
      <c r="I548">
        <v>-12534.23</v>
      </c>
      <c r="J548">
        <v>18238.64</v>
      </c>
      <c r="K548">
        <v>0</v>
      </c>
      <c r="L548">
        <v>0</v>
      </c>
      <c r="M548">
        <v>0</v>
      </c>
    </row>
    <row r="549" spans="1:13">
      <c r="A549">
        <v>3</v>
      </c>
      <c r="B549" t="s">
        <v>200</v>
      </c>
      <c r="C549">
        <v>4</v>
      </c>
      <c r="D549">
        <v>2</v>
      </c>
      <c r="E549">
        <v>0</v>
      </c>
      <c r="F549">
        <v>1</v>
      </c>
      <c r="G549">
        <v>0.875</v>
      </c>
      <c r="H549">
        <v>56696.11</v>
      </c>
      <c r="I549">
        <v>-12346.86</v>
      </c>
      <c r="J549">
        <v>18235.71</v>
      </c>
      <c r="K549">
        <v>0</v>
      </c>
      <c r="L549">
        <v>0</v>
      </c>
      <c r="M549">
        <v>0</v>
      </c>
    </row>
    <row r="550" spans="1:13">
      <c r="A550">
        <v>3</v>
      </c>
      <c r="B550" t="s">
        <v>200</v>
      </c>
      <c r="C550">
        <v>4</v>
      </c>
      <c r="D550">
        <v>2</v>
      </c>
      <c r="E550">
        <v>0</v>
      </c>
      <c r="F550">
        <v>2</v>
      </c>
      <c r="G550">
        <v>2.9609999999999999</v>
      </c>
      <c r="H550">
        <v>21884.639999999999</v>
      </c>
      <c r="I550">
        <v>-17707.62</v>
      </c>
      <c r="J550">
        <v>18235.71</v>
      </c>
      <c r="K550">
        <v>0</v>
      </c>
      <c r="L550">
        <v>0</v>
      </c>
      <c r="M550">
        <v>0</v>
      </c>
    </row>
    <row r="551" spans="1:13">
      <c r="A551">
        <v>3</v>
      </c>
      <c r="B551" t="s">
        <v>200</v>
      </c>
      <c r="C551">
        <v>4</v>
      </c>
      <c r="D551">
        <v>0</v>
      </c>
      <c r="E551">
        <v>2</v>
      </c>
      <c r="F551">
        <v>3</v>
      </c>
      <c r="G551">
        <v>5.0460000000000003</v>
      </c>
      <c r="H551">
        <v>0</v>
      </c>
      <c r="I551">
        <v>0</v>
      </c>
      <c r="J551">
        <v>0</v>
      </c>
      <c r="K551">
        <v>-16271.98</v>
      </c>
      <c r="L551">
        <v>-18893.46</v>
      </c>
      <c r="M551">
        <v>18235.71</v>
      </c>
    </row>
    <row r="552" spans="1:13">
      <c r="A552">
        <v>3</v>
      </c>
      <c r="B552" t="s">
        <v>200</v>
      </c>
      <c r="C552">
        <v>4</v>
      </c>
      <c r="D552">
        <v>0</v>
      </c>
      <c r="E552">
        <v>2</v>
      </c>
      <c r="F552" t="s">
        <v>202</v>
      </c>
      <c r="G552">
        <v>5.92</v>
      </c>
      <c r="H552">
        <v>0</v>
      </c>
      <c r="I552">
        <v>0</v>
      </c>
      <c r="J552">
        <v>0</v>
      </c>
      <c r="K552">
        <v>-33002.120000000003</v>
      </c>
      <c r="L552">
        <v>-19390.55</v>
      </c>
      <c r="M552">
        <v>18235.71</v>
      </c>
    </row>
    <row r="553" spans="1:13">
      <c r="A553">
        <v>3</v>
      </c>
      <c r="B553" t="s">
        <v>200</v>
      </c>
      <c r="C553">
        <v>5</v>
      </c>
      <c r="D553">
        <v>0</v>
      </c>
      <c r="E553">
        <v>2</v>
      </c>
      <c r="F553" t="s">
        <v>201</v>
      </c>
      <c r="G553">
        <v>0</v>
      </c>
      <c r="H553">
        <v>0</v>
      </c>
      <c r="I553">
        <v>0</v>
      </c>
      <c r="J553">
        <v>0</v>
      </c>
      <c r="K553">
        <v>-33002.120000000003</v>
      </c>
      <c r="L553">
        <v>-19390.55</v>
      </c>
      <c r="M553">
        <v>18235.71</v>
      </c>
    </row>
    <row r="554" spans="1:13">
      <c r="A554">
        <v>3</v>
      </c>
      <c r="B554" t="s">
        <v>200</v>
      </c>
      <c r="C554">
        <v>5</v>
      </c>
      <c r="D554">
        <v>0</v>
      </c>
      <c r="E554">
        <v>2</v>
      </c>
      <c r="F554" t="s">
        <v>202</v>
      </c>
      <c r="G554">
        <v>0.27500000000000002</v>
      </c>
      <c r="H554">
        <v>0</v>
      </c>
      <c r="I554">
        <v>0</v>
      </c>
      <c r="J554">
        <v>0</v>
      </c>
      <c r="K554">
        <v>-38356.019999999997</v>
      </c>
      <c r="L554">
        <v>-19546.96</v>
      </c>
      <c r="M554">
        <v>18235.71</v>
      </c>
    </row>
    <row r="555" spans="1:13">
      <c r="A555">
        <v>3</v>
      </c>
      <c r="B555" t="s">
        <v>200</v>
      </c>
      <c r="C555">
        <v>6</v>
      </c>
      <c r="D555">
        <v>1</v>
      </c>
      <c r="E555">
        <v>2</v>
      </c>
      <c r="F555" t="s">
        <v>201</v>
      </c>
      <c r="G555">
        <v>0</v>
      </c>
      <c r="H555">
        <v>23909.88</v>
      </c>
      <c r="I555">
        <v>7095.24</v>
      </c>
      <c r="J555">
        <v>32937.47</v>
      </c>
      <c r="K555">
        <v>-952.54</v>
      </c>
      <c r="L555">
        <v>14117.59</v>
      </c>
      <c r="M555">
        <v>6835.25</v>
      </c>
    </row>
    <row r="556" spans="1:13">
      <c r="A556">
        <v>3</v>
      </c>
      <c r="B556" t="s">
        <v>200</v>
      </c>
      <c r="C556">
        <v>6</v>
      </c>
      <c r="D556">
        <v>4</v>
      </c>
      <c r="E556">
        <v>0</v>
      </c>
      <c r="F556" t="s">
        <v>202</v>
      </c>
      <c r="G556">
        <v>0.27500000000000002</v>
      </c>
      <c r="H556">
        <v>24162.49</v>
      </c>
      <c r="I556">
        <v>-5768.09</v>
      </c>
      <c r="J556">
        <v>32936.15</v>
      </c>
      <c r="K556">
        <v>0</v>
      </c>
      <c r="L556">
        <v>0</v>
      </c>
      <c r="M556">
        <v>0</v>
      </c>
    </row>
    <row r="557" spans="1:13">
      <c r="A557">
        <v>3</v>
      </c>
      <c r="B557" t="s">
        <v>200</v>
      </c>
      <c r="C557">
        <v>7</v>
      </c>
      <c r="D557">
        <v>4</v>
      </c>
      <c r="E557">
        <v>0</v>
      </c>
      <c r="F557" t="s">
        <v>201</v>
      </c>
      <c r="G557">
        <v>0</v>
      </c>
      <c r="H557">
        <v>24162.49</v>
      </c>
      <c r="I557">
        <v>-5768.09</v>
      </c>
      <c r="J557">
        <v>32936.15</v>
      </c>
      <c r="K557">
        <v>0</v>
      </c>
      <c r="L557">
        <v>0</v>
      </c>
      <c r="M557">
        <v>0</v>
      </c>
    </row>
    <row r="558" spans="1:13">
      <c r="A558">
        <v>3</v>
      </c>
      <c r="B558" t="s">
        <v>200</v>
      </c>
      <c r="C558">
        <v>7</v>
      </c>
      <c r="D558">
        <v>4</v>
      </c>
      <c r="E558">
        <v>0</v>
      </c>
      <c r="F558">
        <v>1</v>
      </c>
      <c r="G558">
        <v>0.875</v>
      </c>
      <c r="H558">
        <v>18897.689999999999</v>
      </c>
      <c r="I558">
        <v>-6265.74</v>
      </c>
      <c r="J558">
        <v>32936.15</v>
      </c>
      <c r="K558">
        <v>0</v>
      </c>
      <c r="L558">
        <v>0</v>
      </c>
      <c r="M558">
        <v>0</v>
      </c>
    </row>
    <row r="559" spans="1:13">
      <c r="A559">
        <v>3</v>
      </c>
      <c r="B559" t="s">
        <v>200</v>
      </c>
      <c r="C559">
        <v>7</v>
      </c>
      <c r="D559">
        <v>1</v>
      </c>
      <c r="E559">
        <v>0</v>
      </c>
      <c r="F559">
        <v>2</v>
      </c>
      <c r="G559">
        <v>2.96</v>
      </c>
      <c r="H559">
        <v>4598.59</v>
      </c>
      <c r="I559">
        <v>-7448.86</v>
      </c>
      <c r="J559">
        <v>32937.47</v>
      </c>
      <c r="K559">
        <v>0</v>
      </c>
      <c r="L559">
        <v>0</v>
      </c>
      <c r="M559">
        <v>0</v>
      </c>
    </row>
    <row r="560" spans="1:13">
      <c r="A560">
        <v>3</v>
      </c>
      <c r="B560" t="s">
        <v>200</v>
      </c>
      <c r="C560">
        <v>7</v>
      </c>
      <c r="D560">
        <v>0</v>
      </c>
      <c r="E560">
        <v>4</v>
      </c>
      <c r="F560">
        <v>3</v>
      </c>
      <c r="G560">
        <v>5.0449999999999999</v>
      </c>
      <c r="H560">
        <v>0</v>
      </c>
      <c r="I560">
        <v>0</v>
      </c>
      <c r="J560">
        <v>0</v>
      </c>
      <c r="K560">
        <v>-12175.42</v>
      </c>
      <c r="L560">
        <v>-8637.43</v>
      </c>
      <c r="M560">
        <v>32936.15</v>
      </c>
    </row>
    <row r="561" spans="1:13">
      <c r="A561">
        <v>3</v>
      </c>
      <c r="B561" t="s">
        <v>200</v>
      </c>
      <c r="C561">
        <v>7</v>
      </c>
      <c r="D561">
        <v>0</v>
      </c>
      <c r="E561">
        <v>4</v>
      </c>
      <c r="F561" t="s">
        <v>202</v>
      </c>
      <c r="G561">
        <v>5.92</v>
      </c>
      <c r="H561">
        <v>0</v>
      </c>
      <c r="I561">
        <v>0</v>
      </c>
      <c r="J561">
        <v>0</v>
      </c>
      <c r="K561">
        <v>-19950.900000000001</v>
      </c>
      <c r="L561">
        <v>-9135.09</v>
      </c>
      <c r="M561">
        <v>32936.15</v>
      </c>
    </row>
    <row r="562" spans="1:13">
      <c r="A562">
        <v>3</v>
      </c>
      <c r="B562" t="s">
        <v>200</v>
      </c>
      <c r="C562">
        <v>8</v>
      </c>
      <c r="D562">
        <v>0</v>
      </c>
      <c r="E562">
        <v>4</v>
      </c>
      <c r="F562" t="s">
        <v>201</v>
      </c>
      <c r="G562">
        <v>0</v>
      </c>
      <c r="H562">
        <v>0</v>
      </c>
      <c r="I562">
        <v>0</v>
      </c>
      <c r="J562">
        <v>0</v>
      </c>
      <c r="K562">
        <v>-19950.900000000001</v>
      </c>
      <c r="L562">
        <v>-9135.09</v>
      </c>
      <c r="M562">
        <v>32936.15</v>
      </c>
    </row>
    <row r="563" spans="1:13">
      <c r="A563">
        <v>3</v>
      </c>
      <c r="B563" t="s">
        <v>200</v>
      </c>
      <c r="C563">
        <v>8</v>
      </c>
      <c r="D563">
        <v>0</v>
      </c>
      <c r="E563">
        <v>4</v>
      </c>
      <c r="F563" t="s">
        <v>202</v>
      </c>
      <c r="G563">
        <v>0.27500000000000002</v>
      </c>
      <c r="H563">
        <v>0</v>
      </c>
      <c r="I563">
        <v>0</v>
      </c>
      <c r="J563">
        <v>0</v>
      </c>
      <c r="K563">
        <v>-22484.55</v>
      </c>
      <c r="L563">
        <v>-9291.49</v>
      </c>
      <c r="M563">
        <v>32936.15</v>
      </c>
    </row>
    <row r="564" spans="1:13">
      <c r="A564">
        <v>3</v>
      </c>
      <c r="B564" t="s">
        <v>200</v>
      </c>
      <c r="C564">
        <v>9</v>
      </c>
      <c r="D564">
        <v>2</v>
      </c>
      <c r="E564">
        <v>0</v>
      </c>
      <c r="F564" t="s">
        <v>201</v>
      </c>
      <c r="G564">
        <v>0</v>
      </c>
      <c r="H564">
        <v>7866.29</v>
      </c>
      <c r="I564">
        <v>15586.73</v>
      </c>
      <c r="J564">
        <v>40044.03</v>
      </c>
      <c r="K564">
        <v>0</v>
      </c>
      <c r="L564">
        <v>0</v>
      </c>
      <c r="M564">
        <v>0</v>
      </c>
    </row>
    <row r="565" spans="1:13">
      <c r="A565">
        <v>3</v>
      </c>
      <c r="B565" t="s">
        <v>200</v>
      </c>
      <c r="C565">
        <v>9</v>
      </c>
      <c r="D565">
        <v>2</v>
      </c>
      <c r="E565">
        <v>0</v>
      </c>
      <c r="F565" t="s">
        <v>202</v>
      </c>
      <c r="G565">
        <v>0.27500000000000002</v>
      </c>
      <c r="H565">
        <v>8807.77</v>
      </c>
      <c r="I565">
        <v>-1526.97</v>
      </c>
      <c r="J565">
        <v>40044.03</v>
      </c>
      <c r="K565">
        <v>0</v>
      </c>
      <c r="L565">
        <v>0</v>
      </c>
      <c r="M565">
        <v>0</v>
      </c>
    </row>
    <row r="566" spans="1:13">
      <c r="A566">
        <v>3</v>
      </c>
      <c r="B566" t="s">
        <v>200</v>
      </c>
      <c r="C566">
        <v>10</v>
      </c>
      <c r="D566">
        <v>2</v>
      </c>
      <c r="E566">
        <v>0</v>
      </c>
      <c r="F566" t="s">
        <v>201</v>
      </c>
      <c r="G566">
        <v>0</v>
      </c>
      <c r="H566">
        <v>8807.77</v>
      </c>
      <c r="I566">
        <v>-1526.97</v>
      </c>
      <c r="J566">
        <v>40044.03</v>
      </c>
      <c r="K566">
        <v>0</v>
      </c>
      <c r="L566">
        <v>0</v>
      </c>
      <c r="M566">
        <v>0</v>
      </c>
    </row>
    <row r="567" spans="1:13">
      <c r="A567">
        <v>3</v>
      </c>
      <c r="B567" t="s">
        <v>200</v>
      </c>
      <c r="C567">
        <v>10</v>
      </c>
      <c r="D567">
        <v>2</v>
      </c>
      <c r="E567">
        <v>0</v>
      </c>
      <c r="F567">
        <v>1</v>
      </c>
      <c r="G567">
        <v>0.875</v>
      </c>
      <c r="H567">
        <v>7253.94</v>
      </c>
      <c r="I567">
        <v>-2024.63</v>
      </c>
      <c r="J567">
        <v>40044.03</v>
      </c>
      <c r="K567">
        <v>0</v>
      </c>
      <c r="L567">
        <v>0</v>
      </c>
      <c r="M567">
        <v>0</v>
      </c>
    </row>
    <row r="568" spans="1:13">
      <c r="A568">
        <v>3</v>
      </c>
      <c r="B568" t="s">
        <v>200</v>
      </c>
      <c r="C568">
        <v>10</v>
      </c>
      <c r="D568">
        <v>2</v>
      </c>
      <c r="E568">
        <v>0</v>
      </c>
      <c r="F568">
        <v>2</v>
      </c>
      <c r="G568">
        <v>2.96</v>
      </c>
      <c r="H568">
        <v>1798.45</v>
      </c>
      <c r="I568">
        <v>-3165.59</v>
      </c>
      <c r="J568">
        <v>40045.5</v>
      </c>
      <c r="K568">
        <v>0</v>
      </c>
      <c r="L568">
        <v>0</v>
      </c>
      <c r="M568">
        <v>0</v>
      </c>
    </row>
    <row r="569" spans="1:13">
      <c r="A569">
        <v>3</v>
      </c>
      <c r="B569" t="s">
        <v>200</v>
      </c>
      <c r="C569">
        <v>10</v>
      </c>
      <c r="D569">
        <v>0</v>
      </c>
      <c r="E569">
        <v>4</v>
      </c>
      <c r="F569">
        <v>3</v>
      </c>
      <c r="G569">
        <v>5.0449999999999999</v>
      </c>
      <c r="H569">
        <v>0</v>
      </c>
      <c r="I569">
        <v>0</v>
      </c>
      <c r="J569">
        <v>0</v>
      </c>
      <c r="K569">
        <v>-6134.63</v>
      </c>
      <c r="L569">
        <v>-4385.8100000000004</v>
      </c>
      <c r="M569">
        <v>40045.25</v>
      </c>
    </row>
    <row r="570" spans="1:13">
      <c r="A570">
        <v>3</v>
      </c>
      <c r="B570" t="s">
        <v>200</v>
      </c>
      <c r="C570">
        <v>10</v>
      </c>
      <c r="D570">
        <v>0</v>
      </c>
      <c r="E570">
        <v>2</v>
      </c>
      <c r="F570" t="s">
        <v>202</v>
      </c>
      <c r="G570">
        <v>5.92</v>
      </c>
      <c r="H570">
        <v>0</v>
      </c>
      <c r="I570">
        <v>0</v>
      </c>
      <c r="J570">
        <v>0</v>
      </c>
      <c r="K570">
        <v>-10198.24</v>
      </c>
      <c r="L570">
        <v>-4893.97</v>
      </c>
      <c r="M570">
        <v>40044.03</v>
      </c>
    </row>
    <row r="571" spans="1:13">
      <c r="A571">
        <v>3</v>
      </c>
      <c r="B571" t="s">
        <v>200</v>
      </c>
      <c r="C571">
        <v>11</v>
      </c>
      <c r="D571">
        <v>0</v>
      </c>
      <c r="E571">
        <v>2</v>
      </c>
      <c r="F571" t="s">
        <v>201</v>
      </c>
      <c r="G571">
        <v>0</v>
      </c>
      <c r="H571">
        <v>0</v>
      </c>
      <c r="I571">
        <v>0</v>
      </c>
      <c r="J571">
        <v>0</v>
      </c>
      <c r="K571">
        <v>-10198.24</v>
      </c>
      <c r="L571">
        <v>-4893.97</v>
      </c>
      <c r="M571">
        <v>40044.03</v>
      </c>
    </row>
    <row r="572" spans="1:13">
      <c r="A572">
        <v>3</v>
      </c>
      <c r="B572" t="s">
        <v>200</v>
      </c>
      <c r="C572">
        <v>11</v>
      </c>
      <c r="D572">
        <v>0</v>
      </c>
      <c r="E572">
        <v>2</v>
      </c>
      <c r="F572" t="s">
        <v>202</v>
      </c>
      <c r="G572">
        <v>0.27500000000000002</v>
      </c>
      <c r="H572">
        <v>0</v>
      </c>
      <c r="I572">
        <v>0</v>
      </c>
      <c r="J572">
        <v>0</v>
      </c>
      <c r="K572">
        <v>-11565.58</v>
      </c>
      <c r="L572">
        <v>-5050.38</v>
      </c>
      <c r="M572">
        <v>40044.03</v>
      </c>
    </row>
    <row r="573" spans="1:13">
      <c r="A573">
        <v>3</v>
      </c>
      <c r="B573" t="s">
        <v>200</v>
      </c>
      <c r="C573">
        <v>12</v>
      </c>
      <c r="D573">
        <v>0</v>
      </c>
      <c r="E573">
        <v>4</v>
      </c>
      <c r="F573" t="s">
        <v>201</v>
      </c>
      <c r="G573">
        <v>0</v>
      </c>
      <c r="H573">
        <v>0</v>
      </c>
      <c r="I573">
        <v>0</v>
      </c>
      <c r="J573">
        <v>0</v>
      </c>
      <c r="K573">
        <v>-14482.27</v>
      </c>
      <c r="L573">
        <v>6109.43</v>
      </c>
      <c r="M573">
        <v>39352.449999999997</v>
      </c>
    </row>
    <row r="574" spans="1:13">
      <c r="A574">
        <v>3</v>
      </c>
      <c r="B574" t="s">
        <v>200</v>
      </c>
      <c r="C574">
        <v>12</v>
      </c>
      <c r="D574">
        <v>0</v>
      </c>
      <c r="E574">
        <v>4</v>
      </c>
      <c r="F574" t="s">
        <v>202</v>
      </c>
      <c r="G574">
        <v>0.27500000000000002</v>
      </c>
      <c r="H574">
        <v>0</v>
      </c>
      <c r="I574">
        <v>0</v>
      </c>
      <c r="J574">
        <v>0</v>
      </c>
      <c r="K574">
        <v>-12823.68</v>
      </c>
      <c r="L574">
        <v>5953.02</v>
      </c>
      <c r="M574">
        <v>39352.449999999997</v>
      </c>
    </row>
    <row r="575" spans="1:13">
      <c r="A575">
        <v>3</v>
      </c>
      <c r="B575" t="s">
        <v>200</v>
      </c>
      <c r="C575">
        <v>13</v>
      </c>
      <c r="D575">
        <v>0</v>
      </c>
      <c r="E575">
        <v>4</v>
      </c>
      <c r="F575" t="s">
        <v>201</v>
      </c>
      <c r="G575">
        <v>0</v>
      </c>
      <c r="H575">
        <v>0</v>
      </c>
      <c r="I575">
        <v>0</v>
      </c>
      <c r="J575">
        <v>0</v>
      </c>
      <c r="K575">
        <v>-12823.68</v>
      </c>
      <c r="L575">
        <v>5953.02</v>
      </c>
      <c r="M575">
        <v>39352.449999999997</v>
      </c>
    </row>
    <row r="576" spans="1:13">
      <c r="A576">
        <v>3</v>
      </c>
      <c r="B576" t="s">
        <v>200</v>
      </c>
      <c r="C576">
        <v>13</v>
      </c>
      <c r="D576">
        <v>0</v>
      </c>
      <c r="E576">
        <v>2</v>
      </c>
      <c r="F576">
        <v>1</v>
      </c>
      <c r="G576">
        <v>0.875</v>
      </c>
      <c r="H576">
        <v>0</v>
      </c>
      <c r="I576">
        <v>0</v>
      </c>
      <c r="J576">
        <v>0</v>
      </c>
      <c r="K576">
        <v>-7833.41</v>
      </c>
      <c r="L576">
        <v>5444.85</v>
      </c>
      <c r="M576">
        <v>39353.67</v>
      </c>
    </row>
    <row r="577" spans="1:13">
      <c r="A577">
        <v>3</v>
      </c>
      <c r="B577" t="s">
        <v>200</v>
      </c>
      <c r="C577">
        <v>13</v>
      </c>
      <c r="D577">
        <v>4</v>
      </c>
      <c r="E577">
        <v>0</v>
      </c>
      <c r="F577">
        <v>2</v>
      </c>
      <c r="G577">
        <v>2.96</v>
      </c>
      <c r="H577">
        <v>2307.7800000000002</v>
      </c>
      <c r="I577">
        <v>4224.63</v>
      </c>
      <c r="J577">
        <v>39353.919999999998</v>
      </c>
      <c r="K577">
        <v>0</v>
      </c>
      <c r="L577">
        <v>0</v>
      </c>
      <c r="M577">
        <v>0</v>
      </c>
    </row>
    <row r="578" spans="1:13">
      <c r="A578">
        <v>3</v>
      </c>
      <c r="B578" t="s">
        <v>200</v>
      </c>
      <c r="C578">
        <v>13</v>
      </c>
      <c r="D578">
        <v>4</v>
      </c>
      <c r="E578">
        <v>0</v>
      </c>
      <c r="F578">
        <v>3</v>
      </c>
      <c r="G578">
        <v>5.0449999999999999</v>
      </c>
      <c r="H578">
        <v>9971.3799999999992</v>
      </c>
      <c r="I578">
        <v>3083.67</v>
      </c>
      <c r="J578">
        <v>39352.449999999997</v>
      </c>
      <c r="K578">
        <v>0</v>
      </c>
      <c r="L578">
        <v>0</v>
      </c>
      <c r="M578">
        <v>0</v>
      </c>
    </row>
    <row r="579" spans="1:13">
      <c r="A579">
        <v>3</v>
      </c>
      <c r="B579" t="s">
        <v>200</v>
      </c>
      <c r="C579">
        <v>13</v>
      </c>
      <c r="D579">
        <v>4</v>
      </c>
      <c r="E579">
        <v>0</v>
      </c>
      <c r="F579" t="s">
        <v>202</v>
      </c>
      <c r="G579">
        <v>5.92</v>
      </c>
      <c r="H579">
        <v>12451.87</v>
      </c>
      <c r="I579">
        <v>2586.02</v>
      </c>
      <c r="J579">
        <v>39352.449999999997</v>
      </c>
      <c r="K579">
        <v>0</v>
      </c>
      <c r="L579">
        <v>0</v>
      </c>
      <c r="M579">
        <v>0</v>
      </c>
    </row>
    <row r="580" spans="1:13">
      <c r="A580">
        <v>3</v>
      </c>
      <c r="B580" t="s">
        <v>200</v>
      </c>
      <c r="C580">
        <v>14</v>
      </c>
      <c r="D580">
        <v>4</v>
      </c>
      <c r="E580">
        <v>0</v>
      </c>
      <c r="F580" t="s">
        <v>201</v>
      </c>
      <c r="G580">
        <v>0</v>
      </c>
      <c r="H580">
        <v>12451.87</v>
      </c>
      <c r="I580">
        <v>2586.02</v>
      </c>
      <c r="J580">
        <v>39352.449999999997</v>
      </c>
      <c r="K580">
        <v>0</v>
      </c>
      <c r="L580">
        <v>0</v>
      </c>
      <c r="M580">
        <v>0</v>
      </c>
    </row>
    <row r="581" spans="1:13">
      <c r="A581">
        <v>3</v>
      </c>
      <c r="B581" t="s">
        <v>200</v>
      </c>
      <c r="C581">
        <v>14</v>
      </c>
      <c r="D581">
        <v>4</v>
      </c>
      <c r="E581">
        <v>0</v>
      </c>
      <c r="F581" t="s">
        <v>202</v>
      </c>
      <c r="G581">
        <v>0.27500000000000002</v>
      </c>
      <c r="H581">
        <v>11816.38</v>
      </c>
      <c r="I581">
        <v>-14483.44</v>
      </c>
      <c r="J581">
        <v>39352.449999999997</v>
      </c>
      <c r="K581">
        <v>0</v>
      </c>
      <c r="L581">
        <v>0</v>
      </c>
      <c r="M581">
        <v>0</v>
      </c>
    </row>
    <row r="582" spans="1:13">
      <c r="A582">
        <v>3</v>
      </c>
      <c r="B582" t="s">
        <v>200</v>
      </c>
      <c r="C582">
        <v>15</v>
      </c>
      <c r="D582">
        <v>0</v>
      </c>
      <c r="E582">
        <v>2</v>
      </c>
      <c r="F582" t="s">
        <v>201</v>
      </c>
      <c r="G582">
        <v>0</v>
      </c>
      <c r="H582">
        <v>0</v>
      </c>
      <c r="I582">
        <v>0</v>
      </c>
      <c r="J582">
        <v>0</v>
      </c>
      <c r="K582">
        <v>-23447.72</v>
      </c>
      <c r="L582">
        <v>9879.85</v>
      </c>
      <c r="M582">
        <v>31060.1</v>
      </c>
    </row>
    <row r="583" spans="1:13">
      <c r="A583">
        <v>3</v>
      </c>
      <c r="B583" t="s">
        <v>200</v>
      </c>
      <c r="C583">
        <v>15</v>
      </c>
      <c r="D583">
        <v>0</v>
      </c>
      <c r="E583">
        <v>2</v>
      </c>
      <c r="F583" t="s">
        <v>202</v>
      </c>
      <c r="G583">
        <v>0.27500000000000002</v>
      </c>
      <c r="H583">
        <v>0</v>
      </c>
      <c r="I583">
        <v>0</v>
      </c>
      <c r="J583">
        <v>0</v>
      </c>
      <c r="K583">
        <v>-20752.27</v>
      </c>
      <c r="L583">
        <v>9723.44</v>
      </c>
      <c r="M583">
        <v>31060.1</v>
      </c>
    </row>
    <row r="584" spans="1:13">
      <c r="A584">
        <v>3</v>
      </c>
      <c r="B584" t="s">
        <v>200</v>
      </c>
      <c r="C584">
        <v>16</v>
      </c>
      <c r="D584">
        <v>0</v>
      </c>
      <c r="E584">
        <v>2</v>
      </c>
      <c r="F584" t="s">
        <v>201</v>
      </c>
      <c r="G584">
        <v>0</v>
      </c>
      <c r="H584">
        <v>0</v>
      </c>
      <c r="I584">
        <v>0</v>
      </c>
      <c r="J584">
        <v>0</v>
      </c>
      <c r="K584">
        <v>-20752.27</v>
      </c>
      <c r="L584">
        <v>9723.44</v>
      </c>
      <c r="M584">
        <v>31060.1</v>
      </c>
    </row>
    <row r="585" spans="1:13">
      <c r="A585">
        <v>3</v>
      </c>
      <c r="B585" t="s">
        <v>200</v>
      </c>
      <c r="C585">
        <v>16</v>
      </c>
      <c r="D585">
        <v>0</v>
      </c>
      <c r="E585">
        <v>2</v>
      </c>
      <c r="F585">
        <v>1</v>
      </c>
      <c r="G585">
        <v>0.875</v>
      </c>
      <c r="H585">
        <v>0</v>
      </c>
      <c r="I585">
        <v>0</v>
      </c>
      <c r="J585">
        <v>0</v>
      </c>
      <c r="K585">
        <v>-12461.98</v>
      </c>
      <c r="L585">
        <v>9225.7900000000009</v>
      </c>
      <c r="M585">
        <v>31060.1</v>
      </c>
    </row>
    <row r="586" spans="1:13">
      <c r="A586">
        <v>3</v>
      </c>
      <c r="B586" t="s">
        <v>200</v>
      </c>
      <c r="C586">
        <v>16</v>
      </c>
      <c r="D586">
        <v>1</v>
      </c>
      <c r="E586">
        <v>0</v>
      </c>
      <c r="F586">
        <v>2</v>
      </c>
      <c r="G586">
        <v>2.96</v>
      </c>
      <c r="H586">
        <v>5538.76</v>
      </c>
      <c r="I586">
        <v>8037.22</v>
      </c>
      <c r="J586">
        <v>31061.41</v>
      </c>
      <c r="K586">
        <v>0</v>
      </c>
      <c r="L586">
        <v>0</v>
      </c>
      <c r="M586">
        <v>0</v>
      </c>
    </row>
    <row r="587" spans="1:13">
      <c r="A587">
        <v>3</v>
      </c>
      <c r="B587" t="s">
        <v>200</v>
      </c>
      <c r="C587">
        <v>16</v>
      </c>
      <c r="D587">
        <v>2</v>
      </c>
      <c r="E587">
        <v>0</v>
      </c>
      <c r="F587">
        <v>3</v>
      </c>
      <c r="G587">
        <v>5.0449999999999999</v>
      </c>
      <c r="H587">
        <v>21064.59</v>
      </c>
      <c r="I587">
        <v>6854.1</v>
      </c>
      <c r="J587">
        <v>31060.1</v>
      </c>
      <c r="K587">
        <v>0</v>
      </c>
      <c r="L587">
        <v>0</v>
      </c>
      <c r="M587">
        <v>0</v>
      </c>
    </row>
    <row r="588" spans="1:13">
      <c r="A588">
        <v>3</v>
      </c>
      <c r="B588" t="s">
        <v>200</v>
      </c>
      <c r="C588">
        <v>16</v>
      </c>
      <c r="D588">
        <v>2</v>
      </c>
      <c r="E588">
        <v>0</v>
      </c>
      <c r="F588" t="s">
        <v>202</v>
      </c>
      <c r="G588">
        <v>5.92</v>
      </c>
      <c r="H588">
        <v>26844.2</v>
      </c>
      <c r="I588">
        <v>6356.44</v>
      </c>
      <c r="J588">
        <v>31060.1</v>
      </c>
      <c r="K588">
        <v>0</v>
      </c>
      <c r="L588">
        <v>0</v>
      </c>
      <c r="M588">
        <v>0</v>
      </c>
    </row>
    <row r="589" spans="1:13">
      <c r="A589">
        <v>3</v>
      </c>
      <c r="B589" t="s">
        <v>200</v>
      </c>
      <c r="C589">
        <v>17</v>
      </c>
      <c r="D589">
        <v>2</v>
      </c>
      <c r="E589">
        <v>0</v>
      </c>
      <c r="F589" t="s">
        <v>201</v>
      </c>
      <c r="G589">
        <v>0</v>
      </c>
      <c r="H589">
        <v>26844.2</v>
      </c>
      <c r="I589">
        <v>6356.44</v>
      </c>
      <c r="J589">
        <v>31060.1</v>
      </c>
      <c r="K589">
        <v>0</v>
      </c>
      <c r="L589">
        <v>0</v>
      </c>
      <c r="M589">
        <v>0</v>
      </c>
    </row>
    <row r="590" spans="1:13">
      <c r="A590">
        <v>3</v>
      </c>
      <c r="B590" t="s">
        <v>200</v>
      </c>
      <c r="C590">
        <v>17</v>
      </c>
      <c r="D590">
        <v>1</v>
      </c>
      <c r="E590">
        <v>4</v>
      </c>
      <c r="F590" t="s">
        <v>202</v>
      </c>
      <c r="G590">
        <v>0.27500000000000002</v>
      </c>
      <c r="H590">
        <v>26762.86</v>
      </c>
      <c r="I590">
        <v>-6516</v>
      </c>
      <c r="J590">
        <v>31061.41</v>
      </c>
      <c r="K590">
        <v>-525.1</v>
      </c>
      <c r="L590">
        <v>-14111.8</v>
      </c>
      <c r="M590">
        <v>6496.09</v>
      </c>
    </row>
    <row r="591" spans="1:13">
      <c r="A591">
        <v>3</v>
      </c>
      <c r="B591" t="s">
        <v>200</v>
      </c>
      <c r="C591">
        <v>18</v>
      </c>
      <c r="D591">
        <v>0</v>
      </c>
      <c r="E591">
        <v>4</v>
      </c>
      <c r="F591" t="s">
        <v>201</v>
      </c>
      <c r="G591">
        <v>0</v>
      </c>
      <c r="H591">
        <v>0</v>
      </c>
      <c r="I591">
        <v>0</v>
      </c>
      <c r="J591">
        <v>0</v>
      </c>
      <c r="K591">
        <v>-39935.629999999997</v>
      </c>
      <c r="L591">
        <v>16444.62</v>
      </c>
      <c r="M591">
        <v>15256.1</v>
      </c>
    </row>
    <row r="592" spans="1:13">
      <c r="A592">
        <v>3</v>
      </c>
      <c r="B592" t="s">
        <v>200</v>
      </c>
      <c r="C592">
        <v>18</v>
      </c>
      <c r="D592">
        <v>0</v>
      </c>
      <c r="E592">
        <v>4</v>
      </c>
      <c r="F592" t="s">
        <v>202</v>
      </c>
      <c r="G592">
        <v>0.27500000000000002</v>
      </c>
      <c r="H592">
        <v>0</v>
      </c>
      <c r="I592">
        <v>0</v>
      </c>
      <c r="J592">
        <v>0</v>
      </c>
      <c r="K592">
        <v>-35434.870000000003</v>
      </c>
      <c r="L592">
        <v>16288.21</v>
      </c>
      <c r="M592">
        <v>15256.1</v>
      </c>
    </row>
    <row r="593" spans="1:13">
      <c r="A593">
        <v>3</v>
      </c>
      <c r="B593" t="s">
        <v>200</v>
      </c>
      <c r="C593">
        <v>19</v>
      </c>
      <c r="D593">
        <v>0</v>
      </c>
      <c r="E593">
        <v>4</v>
      </c>
      <c r="F593" t="s">
        <v>201</v>
      </c>
      <c r="G593">
        <v>0</v>
      </c>
      <c r="H593">
        <v>0</v>
      </c>
      <c r="I593">
        <v>0</v>
      </c>
      <c r="J593">
        <v>0</v>
      </c>
      <c r="K593">
        <v>-35434.870000000003</v>
      </c>
      <c r="L593">
        <v>16288.21</v>
      </c>
      <c r="M593">
        <v>15256.1</v>
      </c>
    </row>
    <row r="594" spans="1:13">
      <c r="A594">
        <v>3</v>
      </c>
      <c r="B594" t="s">
        <v>200</v>
      </c>
      <c r="C594">
        <v>19</v>
      </c>
      <c r="D594">
        <v>0</v>
      </c>
      <c r="E594">
        <v>4</v>
      </c>
      <c r="F594">
        <v>1</v>
      </c>
      <c r="G594">
        <v>0.875</v>
      </c>
      <c r="H594">
        <v>0</v>
      </c>
      <c r="I594">
        <v>0</v>
      </c>
      <c r="J594">
        <v>0</v>
      </c>
      <c r="K594">
        <v>-21182.68</v>
      </c>
      <c r="L594">
        <v>16288.21</v>
      </c>
      <c r="M594">
        <v>15256.1</v>
      </c>
    </row>
    <row r="595" spans="1:13">
      <c r="A595">
        <v>3</v>
      </c>
      <c r="B595" t="s">
        <v>200</v>
      </c>
      <c r="C595">
        <v>19</v>
      </c>
      <c r="D595">
        <v>4</v>
      </c>
      <c r="E595">
        <v>0</v>
      </c>
      <c r="F595">
        <v>2</v>
      </c>
      <c r="G595">
        <v>2.96</v>
      </c>
      <c r="H595">
        <v>12778.24</v>
      </c>
      <c r="I595">
        <v>16288.21</v>
      </c>
      <c r="J595">
        <v>15256.1</v>
      </c>
      <c r="K595">
        <v>0</v>
      </c>
      <c r="L595">
        <v>0</v>
      </c>
      <c r="M595">
        <v>0</v>
      </c>
    </row>
    <row r="596" spans="1:13">
      <c r="A596">
        <v>3</v>
      </c>
      <c r="B596" t="s">
        <v>200</v>
      </c>
      <c r="C596">
        <v>19</v>
      </c>
      <c r="D596">
        <v>4</v>
      </c>
      <c r="E596">
        <v>0</v>
      </c>
      <c r="F596">
        <v>3</v>
      </c>
      <c r="G596">
        <v>5.0449999999999999</v>
      </c>
      <c r="H596">
        <v>45824.93</v>
      </c>
      <c r="I596">
        <v>11875</v>
      </c>
      <c r="J596">
        <v>15256.1</v>
      </c>
      <c r="K596">
        <v>0</v>
      </c>
      <c r="L596">
        <v>0</v>
      </c>
      <c r="M596">
        <v>0</v>
      </c>
    </row>
    <row r="597" spans="1:13">
      <c r="A597">
        <v>3</v>
      </c>
      <c r="B597" t="s">
        <v>200</v>
      </c>
      <c r="C597">
        <v>19</v>
      </c>
      <c r="D597">
        <v>2</v>
      </c>
      <c r="E597">
        <v>0</v>
      </c>
      <c r="F597" t="s">
        <v>202</v>
      </c>
      <c r="G597">
        <v>5.92</v>
      </c>
      <c r="H597">
        <v>56010.49</v>
      </c>
      <c r="I597">
        <v>11564.71</v>
      </c>
      <c r="J597">
        <v>15259.03</v>
      </c>
      <c r="K597">
        <v>0</v>
      </c>
      <c r="L597">
        <v>0</v>
      </c>
      <c r="M597">
        <v>0</v>
      </c>
    </row>
    <row r="598" spans="1:13">
      <c r="A598">
        <v>3</v>
      </c>
      <c r="B598" t="s">
        <v>200</v>
      </c>
      <c r="C598">
        <v>20</v>
      </c>
      <c r="D598">
        <v>2</v>
      </c>
      <c r="E598">
        <v>0</v>
      </c>
      <c r="F598" t="s">
        <v>201</v>
      </c>
      <c r="G598">
        <v>0</v>
      </c>
      <c r="H598">
        <v>56010.49</v>
      </c>
      <c r="I598">
        <v>11564.71</v>
      </c>
      <c r="J598">
        <v>15259.03</v>
      </c>
      <c r="K598">
        <v>0</v>
      </c>
      <c r="L598">
        <v>0</v>
      </c>
      <c r="M598">
        <v>0</v>
      </c>
    </row>
    <row r="599" spans="1:13">
      <c r="A599">
        <v>3</v>
      </c>
      <c r="B599" t="s">
        <v>200</v>
      </c>
      <c r="C599">
        <v>20</v>
      </c>
      <c r="D599">
        <v>2</v>
      </c>
      <c r="E599">
        <v>0</v>
      </c>
      <c r="F599" t="s">
        <v>202</v>
      </c>
      <c r="G599">
        <v>0.27500000000000002</v>
      </c>
      <c r="H599">
        <v>59169.29</v>
      </c>
      <c r="I599">
        <v>11408.3</v>
      </c>
      <c r="J599">
        <v>15259.03</v>
      </c>
      <c r="K599">
        <v>0</v>
      </c>
      <c r="L599">
        <v>0</v>
      </c>
      <c r="M599">
        <v>0</v>
      </c>
    </row>
    <row r="600" spans="1:13">
      <c r="A600">
        <v>3</v>
      </c>
      <c r="B600" t="s">
        <v>200</v>
      </c>
      <c r="C600">
        <v>21</v>
      </c>
      <c r="D600">
        <v>0</v>
      </c>
      <c r="E600">
        <v>4</v>
      </c>
      <c r="F600" t="s">
        <v>201</v>
      </c>
      <c r="G600">
        <v>0</v>
      </c>
      <c r="H600">
        <v>0</v>
      </c>
      <c r="I600">
        <v>0</v>
      </c>
      <c r="J600">
        <v>0</v>
      </c>
      <c r="K600">
        <v>-3340.41</v>
      </c>
      <c r="L600">
        <v>19731.89</v>
      </c>
      <c r="M600">
        <v>0</v>
      </c>
    </row>
    <row r="601" spans="1:13">
      <c r="A601">
        <v>3</v>
      </c>
      <c r="B601" t="s">
        <v>200</v>
      </c>
      <c r="C601">
        <v>21</v>
      </c>
      <c r="D601">
        <v>0</v>
      </c>
      <c r="E601">
        <v>1</v>
      </c>
      <c r="F601" t="s">
        <v>202</v>
      </c>
      <c r="G601">
        <v>0.27500000000000002</v>
      </c>
      <c r="H601">
        <v>0</v>
      </c>
      <c r="I601">
        <v>0</v>
      </c>
      <c r="J601">
        <v>0</v>
      </c>
      <c r="K601">
        <v>-696.5</v>
      </c>
      <c r="L601">
        <v>890.09</v>
      </c>
      <c r="M601">
        <v>0</v>
      </c>
    </row>
    <row r="602" spans="1:13">
      <c r="A602">
        <v>3</v>
      </c>
      <c r="B602" t="s">
        <v>200</v>
      </c>
      <c r="C602">
        <v>22</v>
      </c>
      <c r="D602">
        <v>0</v>
      </c>
      <c r="E602">
        <v>1</v>
      </c>
      <c r="F602" t="s">
        <v>201</v>
      </c>
      <c r="G602">
        <v>0</v>
      </c>
      <c r="H602">
        <v>0</v>
      </c>
      <c r="I602">
        <v>0</v>
      </c>
      <c r="J602">
        <v>0</v>
      </c>
      <c r="K602">
        <v>-696.5</v>
      </c>
      <c r="L602">
        <v>890.09</v>
      </c>
      <c r="M602">
        <v>0</v>
      </c>
    </row>
    <row r="603" spans="1:13">
      <c r="A603">
        <v>3</v>
      </c>
      <c r="B603" t="s">
        <v>200</v>
      </c>
      <c r="C603">
        <v>22</v>
      </c>
      <c r="D603">
        <v>1</v>
      </c>
      <c r="E603">
        <v>0</v>
      </c>
      <c r="F603" t="s">
        <v>202</v>
      </c>
      <c r="G603">
        <v>1.5649999999999999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</row>
    <row r="604" spans="1:13">
      <c r="A604">
        <v>3</v>
      </c>
      <c r="B604" t="s">
        <v>200</v>
      </c>
      <c r="C604">
        <v>23</v>
      </c>
      <c r="D604">
        <v>0</v>
      </c>
      <c r="E604">
        <v>4</v>
      </c>
      <c r="F604" t="s">
        <v>201</v>
      </c>
      <c r="G604">
        <v>0</v>
      </c>
      <c r="H604">
        <v>0</v>
      </c>
      <c r="I604">
        <v>0</v>
      </c>
      <c r="J604">
        <v>0</v>
      </c>
      <c r="K604">
        <v>-74200</v>
      </c>
      <c r="L604">
        <v>18272.2</v>
      </c>
      <c r="M604">
        <v>-6817.38</v>
      </c>
    </row>
    <row r="605" spans="1:13">
      <c r="A605">
        <v>3</v>
      </c>
      <c r="B605" t="s">
        <v>200</v>
      </c>
      <c r="C605">
        <v>23</v>
      </c>
      <c r="D605">
        <v>0</v>
      </c>
      <c r="E605">
        <v>4</v>
      </c>
      <c r="F605" t="s">
        <v>202</v>
      </c>
      <c r="G605">
        <v>1.175</v>
      </c>
      <c r="H605">
        <v>0</v>
      </c>
      <c r="I605">
        <v>0</v>
      </c>
      <c r="J605">
        <v>0</v>
      </c>
      <c r="K605">
        <v>-52730.16</v>
      </c>
      <c r="L605">
        <v>18272.2</v>
      </c>
      <c r="M605">
        <v>-6817.38</v>
      </c>
    </row>
    <row r="606" spans="1:13">
      <c r="A606">
        <v>3</v>
      </c>
      <c r="B606" t="s">
        <v>200</v>
      </c>
      <c r="C606">
        <v>24</v>
      </c>
      <c r="D606">
        <v>0</v>
      </c>
      <c r="E606">
        <v>2</v>
      </c>
      <c r="F606" t="s">
        <v>201</v>
      </c>
      <c r="G606">
        <v>0</v>
      </c>
      <c r="H606">
        <v>0</v>
      </c>
      <c r="I606">
        <v>0</v>
      </c>
      <c r="J606">
        <v>0</v>
      </c>
      <c r="K606">
        <v>-62124.99</v>
      </c>
      <c r="L606">
        <v>14734.67</v>
      </c>
      <c r="M606">
        <v>-27043.88</v>
      </c>
    </row>
    <row r="607" spans="1:13">
      <c r="A607">
        <v>3</v>
      </c>
      <c r="B607" t="s">
        <v>200</v>
      </c>
      <c r="C607">
        <v>24</v>
      </c>
      <c r="D607">
        <v>0</v>
      </c>
      <c r="E607">
        <v>2</v>
      </c>
      <c r="F607" t="s">
        <v>202</v>
      </c>
      <c r="G607">
        <v>1.175</v>
      </c>
      <c r="H607">
        <v>0</v>
      </c>
      <c r="I607">
        <v>0</v>
      </c>
      <c r="J607">
        <v>0</v>
      </c>
      <c r="K607">
        <v>-44811.76</v>
      </c>
      <c r="L607">
        <v>14734.67</v>
      </c>
      <c r="M607">
        <v>-27043.88</v>
      </c>
    </row>
    <row r="608" spans="1:13">
      <c r="A608">
        <v>3</v>
      </c>
      <c r="B608" t="s">
        <v>200</v>
      </c>
      <c r="C608">
        <v>25</v>
      </c>
      <c r="D608">
        <v>0</v>
      </c>
      <c r="E608">
        <v>2</v>
      </c>
      <c r="F608" t="s">
        <v>201</v>
      </c>
      <c r="G608">
        <v>0</v>
      </c>
      <c r="H608">
        <v>0</v>
      </c>
      <c r="I608">
        <v>0</v>
      </c>
      <c r="J608">
        <v>0</v>
      </c>
      <c r="K608">
        <v>-30314.54</v>
      </c>
      <c r="L608">
        <v>7140.77</v>
      </c>
      <c r="M608">
        <v>-24855.93</v>
      </c>
    </row>
    <row r="609" spans="1:13">
      <c r="A609">
        <v>3</v>
      </c>
      <c r="B609" t="s">
        <v>200</v>
      </c>
      <c r="C609">
        <v>25</v>
      </c>
      <c r="D609">
        <v>0</v>
      </c>
      <c r="E609">
        <v>2</v>
      </c>
      <c r="F609" t="s">
        <v>202</v>
      </c>
      <c r="G609">
        <v>1.175</v>
      </c>
      <c r="H609">
        <v>0</v>
      </c>
      <c r="I609">
        <v>0</v>
      </c>
      <c r="J609">
        <v>0</v>
      </c>
      <c r="K609">
        <v>-21924.13</v>
      </c>
      <c r="L609">
        <v>7140.77</v>
      </c>
      <c r="M609">
        <v>-24855.93</v>
      </c>
    </row>
    <row r="610" spans="1:13">
      <c r="A610">
        <v>3</v>
      </c>
      <c r="B610" t="s">
        <v>200</v>
      </c>
      <c r="C610">
        <v>26</v>
      </c>
      <c r="D610">
        <v>4</v>
      </c>
      <c r="E610">
        <v>0</v>
      </c>
      <c r="F610" t="s">
        <v>201</v>
      </c>
      <c r="G610">
        <v>0</v>
      </c>
      <c r="H610">
        <v>3075.18</v>
      </c>
      <c r="I610">
        <v>-727.85</v>
      </c>
      <c r="J610">
        <v>-21444.39</v>
      </c>
      <c r="K610">
        <v>0</v>
      </c>
      <c r="L610">
        <v>0</v>
      </c>
      <c r="M610">
        <v>0</v>
      </c>
    </row>
    <row r="611" spans="1:13">
      <c r="A611">
        <v>3</v>
      </c>
      <c r="B611" t="s">
        <v>200</v>
      </c>
      <c r="C611">
        <v>26</v>
      </c>
      <c r="D611">
        <v>4</v>
      </c>
      <c r="E611">
        <v>0</v>
      </c>
      <c r="F611" t="s">
        <v>202</v>
      </c>
      <c r="G611">
        <v>1.175</v>
      </c>
      <c r="H611">
        <v>2219.9499999999998</v>
      </c>
      <c r="I611">
        <v>-727.85</v>
      </c>
      <c r="J611">
        <v>-21444.39</v>
      </c>
      <c r="K611">
        <v>0</v>
      </c>
      <c r="L611">
        <v>0</v>
      </c>
      <c r="M611">
        <v>0</v>
      </c>
    </row>
    <row r="612" spans="1:13">
      <c r="A612">
        <v>3</v>
      </c>
      <c r="B612" t="s">
        <v>200</v>
      </c>
      <c r="C612">
        <v>27</v>
      </c>
      <c r="D612">
        <v>4</v>
      </c>
      <c r="E612">
        <v>0</v>
      </c>
      <c r="F612" t="s">
        <v>201</v>
      </c>
      <c r="G612">
        <v>0</v>
      </c>
      <c r="H612">
        <v>35227.81</v>
      </c>
      <c r="I612">
        <v>-8325.25</v>
      </c>
      <c r="J612">
        <v>-24341</v>
      </c>
      <c r="K612">
        <v>0</v>
      </c>
      <c r="L612">
        <v>0</v>
      </c>
      <c r="M612">
        <v>0</v>
      </c>
    </row>
    <row r="613" spans="1:13">
      <c r="A613">
        <v>3</v>
      </c>
      <c r="B613" t="s">
        <v>200</v>
      </c>
      <c r="C613">
        <v>27</v>
      </c>
      <c r="D613">
        <v>4</v>
      </c>
      <c r="E613">
        <v>0</v>
      </c>
      <c r="F613" t="s">
        <v>202</v>
      </c>
      <c r="G613">
        <v>1.175</v>
      </c>
      <c r="H613">
        <v>25445.64</v>
      </c>
      <c r="I613">
        <v>-8325.25</v>
      </c>
      <c r="J613">
        <v>-24341</v>
      </c>
      <c r="K613">
        <v>0</v>
      </c>
      <c r="L613">
        <v>0</v>
      </c>
      <c r="M613">
        <v>0</v>
      </c>
    </row>
    <row r="614" spans="1:13">
      <c r="A614">
        <v>3</v>
      </c>
      <c r="B614" t="s">
        <v>200</v>
      </c>
      <c r="C614">
        <v>28</v>
      </c>
      <c r="D614">
        <v>4</v>
      </c>
      <c r="E614">
        <v>0</v>
      </c>
      <c r="F614" t="s">
        <v>201</v>
      </c>
      <c r="G614">
        <v>0</v>
      </c>
      <c r="H614">
        <v>66557.58</v>
      </c>
      <c r="I614">
        <v>-15838.22</v>
      </c>
      <c r="J614">
        <v>-23362.3</v>
      </c>
      <c r="K614">
        <v>0</v>
      </c>
      <c r="L614">
        <v>0</v>
      </c>
      <c r="M614">
        <v>0</v>
      </c>
    </row>
    <row r="615" spans="1:13">
      <c r="A615">
        <v>3</v>
      </c>
      <c r="B615" t="s">
        <v>200</v>
      </c>
      <c r="C615">
        <v>28</v>
      </c>
      <c r="D615">
        <v>4</v>
      </c>
      <c r="E615">
        <v>0</v>
      </c>
      <c r="F615" t="s">
        <v>202</v>
      </c>
      <c r="G615">
        <v>1.175</v>
      </c>
      <c r="H615">
        <v>47947.67</v>
      </c>
      <c r="I615">
        <v>-15838.22</v>
      </c>
      <c r="J615">
        <v>-23362.3</v>
      </c>
      <c r="K615">
        <v>0</v>
      </c>
      <c r="L615">
        <v>0</v>
      </c>
      <c r="M615">
        <v>0</v>
      </c>
    </row>
    <row r="616" spans="1:13">
      <c r="A616">
        <v>3</v>
      </c>
      <c r="B616" t="s">
        <v>200</v>
      </c>
      <c r="C616">
        <v>29</v>
      </c>
      <c r="D616">
        <v>2</v>
      </c>
      <c r="E616">
        <v>0</v>
      </c>
      <c r="F616" t="s">
        <v>201</v>
      </c>
      <c r="G616">
        <v>0</v>
      </c>
      <c r="H616">
        <v>62442.91</v>
      </c>
      <c r="I616">
        <v>-15292.59</v>
      </c>
      <c r="J616">
        <v>-7790.94</v>
      </c>
      <c r="K616">
        <v>0</v>
      </c>
      <c r="L616">
        <v>0</v>
      </c>
      <c r="M616">
        <v>0</v>
      </c>
    </row>
    <row r="617" spans="1:13">
      <c r="A617">
        <v>3</v>
      </c>
      <c r="B617" t="s">
        <v>200</v>
      </c>
      <c r="C617">
        <v>29</v>
      </c>
      <c r="D617">
        <v>2</v>
      </c>
      <c r="E617">
        <v>0</v>
      </c>
      <c r="F617" t="s">
        <v>202</v>
      </c>
      <c r="G617">
        <v>1.175</v>
      </c>
      <c r="H617">
        <v>44474.12</v>
      </c>
      <c r="I617">
        <v>-15292.59</v>
      </c>
      <c r="J617">
        <v>-7790.94</v>
      </c>
      <c r="K617">
        <v>0</v>
      </c>
      <c r="L617">
        <v>0</v>
      </c>
      <c r="M617">
        <v>0</v>
      </c>
    </row>
    <row r="618" spans="1:13">
      <c r="A618">
        <v>3</v>
      </c>
      <c r="B618" t="s">
        <v>200</v>
      </c>
      <c r="C618">
        <v>30</v>
      </c>
      <c r="D618">
        <v>0</v>
      </c>
      <c r="E618">
        <v>4</v>
      </c>
      <c r="F618" t="s">
        <v>201</v>
      </c>
      <c r="G618">
        <v>0</v>
      </c>
      <c r="H618">
        <v>0</v>
      </c>
      <c r="I618">
        <v>0</v>
      </c>
      <c r="J618">
        <v>0</v>
      </c>
      <c r="K618">
        <v>-52730.16</v>
      </c>
      <c r="L618">
        <v>18272.2</v>
      </c>
      <c r="M618">
        <v>-6817.38</v>
      </c>
    </row>
    <row r="619" spans="1:13">
      <c r="A619">
        <v>3</v>
      </c>
      <c r="B619" t="s">
        <v>200</v>
      </c>
      <c r="C619">
        <v>30</v>
      </c>
      <c r="D619">
        <v>0</v>
      </c>
      <c r="E619">
        <v>2</v>
      </c>
      <c r="F619" t="s">
        <v>202</v>
      </c>
      <c r="G619">
        <v>6.1749999999999998</v>
      </c>
      <c r="H619">
        <v>0</v>
      </c>
      <c r="I619">
        <v>0</v>
      </c>
      <c r="J619">
        <v>0</v>
      </c>
      <c r="K619">
        <v>-41882.92</v>
      </c>
      <c r="L619">
        <v>18269.27</v>
      </c>
      <c r="M619">
        <v>-8954.19</v>
      </c>
    </row>
    <row r="620" spans="1:13">
      <c r="A620">
        <v>3</v>
      </c>
      <c r="B620" t="s">
        <v>200</v>
      </c>
      <c r="C620">
        <v>31</v>
      </c>
      <c r="D620">
        <v>4</v>
      </c>
      <c r="E620">
        <v>0</v>
      </c>
      <c r="F620" t="s">
        <v>201</v>
      </c>
      <c r="G620">
        <v>0</v>
      </c>
      <c r="H620">
        <v>59363.97</v>
      </c>
      <c r="I620">
        <v>18366.810000000001</v>
      </c>
      <c r="J620">
        <v>-3980.48</v>
      </c>
      <c r="K620">
        <v>0</v>
      </c>
      <c r="L620">
        <v>0</v>
      </c>
      <c r="M620">
        <v>0</v>
      </c>
    </row>
    <row r="621" spans="1:13">
      <c r="A621">
        <v>3</v>
      </c>
      <c r="B621" t="s">
        <v>200</v>
      </c>
      <c r="C621">
        <v>31</v>
      </c>
      <c r="D621">
        <v>0</v>
      </c>
      <c r="E621">
        <v>2</v>
      </c>
      <c r="F621" t="s">
        <v>202</v>
      </c>
      <c r="G621">
        <v>6.1749999999999998</v>
      </c>
      <c r="H621">
        <v>0</v>
      </c>
      <c r="I621">
        <v>0</v>
      </c>
      <c r="J621">
        <v>0</v>
      </c>
      <c r="K621">
        <v>-43851.35</v>
      </c>
      <c r="L621">
        <v>14734.67</v>
      </c>
      <c r="M621">
        <v>-28525.08</v>
      </c>
    </row>
    <row r="622" spans="1:13">
      <c r="A622">
        <v>3</v>
      </c>
      <c r="B622" t="s">
        <v>200</v>
      </c>
      <c r="C622">
        <v>32</v>
      </c>
      <c r="D622">
        <v>0</v>
      </c>
      <c r="E622">
        <v>2</v>
      </c>
      <c r="F622" t="s">
        <v>201</v>
      </c>
      <c r="G622">
        <v>0</v>
      </c>
      <c r="H622">
        <v>0</v>
      </c>
      <c r="I622">
        <v>0</v>
      </c>
      <c r="J622">
        <v>0</v>
      </c>
      <c r="K622">
        <v>-36046.730000000003</v>
      </c>
      <c r="L622">
        <v>14636.94</v>
      </c>
      <c r="M622">
        <v>-25304.92</v>
      </c>
    </row>
    <row r="623" spans="1:13">
      <c r="A623">
        <v>3</v>
      </c>
      <c r="B623" t="s">
        <v>200</v>
      </c>
      <c r="C623">
        <v>32</v>
      </c>
      <c r="D623">
        <v>4</v>
      </c>
      <c r="E623">
        <v>0</v>
      </c>
      <c r="F623" t="s">
        <v>202</v>
      </c>
      <c r="G623">
        <v>6.1749999999999998</v>
      </c>
      <c r="H623">
        <v>45955.01</v>
      </c>
      <c r="I623">
        <v>14633.35</v>
      </c>
      <c r="J623">
        <v>-26390.13</v>
      </c>
      <c r="K623">
        <v>0</v>
      </c>
      <c r="L623">
        <v>0</v>
      </c>
      <c r="M623">
        <v>0</v>
      </c>
    </row>
    <row r="624" spans="1:13">
      <c r="A624">
        <v>3</v>
      </c>
      <c r="B624" t="s">
        <v>200</v>
      </c>
      <c r="C624">
        <v>33</v>
      </c>
      <c r="D624">
        <v>0</v>
      </c>
      <c r="E624">
        <v>2</v>
      </c>
      <c r="F624" t="s">
        <v>201</v>
      </c>
      <c r="G624">
        <v>0</v>
      </c>
      <c r="H624">
        <v>0</v>
      </c>
      <c r="I624">
        <v>0</v>
      </c>
      <c r="J624">
        <v>0</v>
      </c>
      <c r="K624">
        <v>-21700.09</v>
      </c>
      <c r="L624">
        <v>7084.79</v>
      </c>
      <c r="M624">
        <v>-24104.5</v>
      </c>
    </row>
    <row r="625" spans="1:13">
      <c r="A625">
        <v>3</v>
      </c>
      <c r="B625" t="s">
        <v>200</v>
      </c>
      <c r="C625">
        <v>33</v>
      </c>
      <c r="D625">
        <v>0</v>
      </c>
      <c r="E625">
        <v>2</v>
      </c>
      <c r="F625" t="s">
        <v>202</v>
      </c>
      <c r="G625">
        <v>6.1749999999999998</v>
      </c>
      <c r="H625">
        <v>0</v>
      </c>
      <c r="I625">
        <v>0</v>
      </c>
      <c r="J625">
        <v>0</v>
      </c>
      <c r="K625">
        <v>-17616.07</v>
      </c>
      <c r="L625">
        <v>7084.79</v>
      </c>
      <c r="M625">
        <v>-25585.7</v>
      </c>
    </row>
    <row r="626" spans="1:13">
      <c r="A626">
        <v>3</v>
      </c>
      <c r="B626" t="s">
        <v>200</v>
      </c>
      <c r="C626">
        <v>34</v>
      </c>
      <c r="D626">
        <v>4</v>
      </c>
      <c r="E626">
        <v>0</v>
      </c>
      <c r="F626" t="s">
        <v>201</v>
      </c>
      <c r="G626">
        <v>0</v>
      </c>
      <c r="H626">
        <v>22121.53</v>
      </c>
      <c r="I626">
        <v>7070.95</v>
      </c>
      <c r="J626">
        <v>-24403.74</v>
      </c>
      <c r="K626">
        <v>0</v>
      </c>
      <c r="L626">
        <v>0</v>
      </c>
      <c r="M626">
        <v>0</v>
      </c>
    </row>
    <row r="627" spans="1:13">
      <c r="A627">
        <v>3</v>
      </c>
      <c r="B627" t="s">
        <v>200</v>
      </c>
      <c r="C627">
        <v>34</v>
      </c>
      <c r="D627">
        <v>4</v>
      </c>
      <c r="E627">
        <v>0</v>
      </c>
      <c r="F627" t="s">
        <v>202</v>
      </c>
      <c r="G627">
        <v>6.1749999999999998</v>
      </c>
      <c r="H627">
        <v>2203.9699999999998</v>
      </c>
      <c r="I627">
        <v>-743.59</v>
      </c>
      <c r="J627">
        <v>-23438.38</v>
      </c>
      <c r="K627">
        <v>0</v>
      </c>
      <c r="L627">
        <v>0</v>
      </c>
      <c r="M627">
        <v>0</v>
      </c>
    </row>
    <row r="628" spans="1:13">
      <c r="A628">
        <v>3</v>
      </c>
      <c r="B628" t="s">
        <v>200</v>
      </c>
      <c r="C628">
        <v>35</v>
      </c>
      <c r="D628">
        <v>4</v>
      </c>
      <c r="E628">
        <v>0</v>
      </c>
      <c r="F628" t="s">
        <v>201</v>
      </c>
      <c r="G628">
        <v>0</v>
      </c>
      <c r="H628">
        <v>2080.16</v>
      </c>
      <c r="I628">
        <v>-795.98</v>
      </c>
      <c r="J628">
        <v>-22604.6</v>
      </c>
      <c r="K628">
        <v>0</v>
      </c>
      <c r="L628">
        <v>0</v>
      </c>
      <c r="M628">
        <v>0</v>
      </c>
    </row>
    <row r="629" spans="1:13">
      <c r="A629">
        <v>3</v>
      </c>
      <c r="B629" t="s">
        <v>200</v>
      </c>
      <c r="C629">
        <v>35</v>
      </c>
      <c r="D629">
        <v>0</v>
      </c>
      <c r="E629">
        <v>2</v>
      </c>
      <c r="F629" t="s">
        <v>202</v>
      </c>
      <c r="G629">
        <v>6.1749999999999998</v>
      </c>
      <c r="H629">
        <v>0</v>
      </c>
      <c r="I629">
        <v>0</v>
      </c>
      <c r="J629">
        <v>0</v>
      </c>
      <c r="K629">
        <v>-2419.73</v>
      </c>
      <c r="L629">
        <v>-793.52</v>
      </c>
      <c r="M629">
        <v>-24085.8</v>
      </c>
    </row>
    <row r="630" spans="1:13">
      <c r="A630">
        <v>3</v>
      </c>
      <c r="B630" t="s">
        <v>200</v>
      </c>
      <c r="C630">
        <v>36</v>
      </c>
      <c r="D630">
        <v>4</v>
      </c>
      <c r="E630">
        <v>0</v>
      </c>
      <c r="F630" t="s">
        <v>201</v>
      </c>
      <c r="G630">
        <v>0</v>
      </c>
      <c r="H630">
        <v>26158.959999999999</v>
      </c>
      <c r="I630">
        <v>-8507.2199999999993</v>
      </c>
      <c r="J630">
        <v>-28498.71</v>
      </c>
      <c r="K630">
        <v>0</v>
      </c>
      <c r="L630">
        <v>0</v>
      </c>
      <c r="M630">
        <v>0</v>
      </c>
    </row>
    <row r="631" spans="1:13">
      <c r="A631">
        <v>3</v>
      </c>
      <c r="B631" t="s">
        <v>200</v>
      </c>
      <c r="C631">
        <v>36</v>
      </c>
      <c r="D631">
        <v>4</v>
      </c>
      <c r="E631">
        <v>0</v>
      </c>
      <c r="F631" t="s">
        <v>202</v>
      </c>
      <c r="G631">
        <v>6.1749999999999998</v>
      </c>
      <c r="H631">
        <v>20170.36</v>
      </c>
      <c r="I631">
        <v>-8507.2199999999993</v>
      </c>
      <c r="J631">
        <v>-29979.91</v>
      </c>
      <c r="K631">
        <v>0</v>
      </c>
      <c r="L631">
        <v>0</v>
      </c>
      <c r="M631">
        <v>0</v>
      </c>
    </row>
    <row r="632" spans="1:13">
      <c r="A632">
        <v>3</v>
      </c>
      <c r="B632" t="s">
        <v>203</v>
      </c>
      <c r="C632">
        <v>1</v>
      </c>
      <c r="D632">
        <v>1</v>
      </c>
      <c r="E632">
        <v>1</v>
      </c>
      <c r="F632" t="s">
        <v>201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</row>
    <row r="633" spans="1:13">
      <c r="A633">
        <v>3</v>
      </c>
      <c r="B633" t="s">
        <v>203</v>
      </c>
      <c r="C633">
        <v>1</v>
      </c>
      <c r="D633">
        <v>0</v>
      </c>
      <c r="E633">
        <v>1</v>
      </c>
      <c r="F633" t="s">
        <v>202</v>
      </c>
      <c r="G633">
        <v>1.5649999999999999</v>
      </c>
      <c r="H633">
        <v>0</v>
      </c>
      <c r="I633">
        <v>0</v>
      </c>
      <c r="J633">
        <v>0</v>
      </c>
      <c r="K633">
        <v>-696.5</v>
      </c>
      <c r="L633">
        <v>-890.09</v>
      </c>
      <c r="M633">
        <v>0</v>
      </c>
    </row>
    <row r="634" spans="1:13">
      <c r="A634">
        <v>3</v>
      </c>
      <c r="B634" t="s">
        <v>203</v>
      </c>
      <c r="C634">
        <v>2</v>
      </c>
      <c r="D634">
        <v>0</v>
      </c>
      <c r="E634">
        <v>1</v>
      </c>
      <c r="F634" t="s">
        <v>201</v>
      </c>
      <c r="G634">
        <v>0</v>
      </c>
      <c r="H634">
        <v>0</v>
      </c>
      <c r="I634">
        <v>0</v>
      </c>
      <c r="J634">
        <v>0</v>
      </c>
      <c r="K634">
        <v>-696.5</v>
      </c>
      <c r="L634">
        <v>-890.09</v>
      </c>
      <c r="M634">
        <v>0</v>
      </c>
    </row>
    <row r="635" spans="1:13">
      <c r="A635">
        <v>3</v>
      </c>
      <c r="B635" t="s">
        <v>203</v>
      </c>
      <c r="C635">
        <v>2</v>
      </c>
      <c r="D635">
        <v>0</v>
      </c>
      <c r="E635">
        <v>2</v>
      </c>
      <c r="F635" t="s">
        <v>202</v>
      </c>
      <c r="G635">
        <v>0.27500000000000002</v>
      </c>
      <c r="H635">
        <v>0</v>
      </c>
      <c r="I635">
        <v>0</v>
      </c>
      <c r="J635">
        <v>0</v>
      </c>
      <c r="K635">
        <v>-3329.18</v>
      </c>
      <c r="L635">
        <v>-19728.650000000001</v>
      </c>
      <c r="M635">
        <v>0</v>
      </c>
    </row>
    <row r="636" spans="1:13">
      <c r="A636">
        <v>3</v>
      </c>
      <c r="B636" t="s">
        <v>203</v>
      </c>
      <c r="C636">
        <v>3</v>
      </c>
      <c r="D636">
        <v>2</v>
      </c>
      <c r="E636">
        <v>1</v>
      </c>
      <c r="F636" t="s">
        <v>201</v>
      </c>
      <c r="G636">
        <v>0</v>
      </c>
      <c r="H636">
        <v>12167.57</v>
      </c>
      <c r="I636">
        <v>809.39</v>
      </c>
      <c r="J636">
        <v>3806.55</v>
      </c>
      <c r="K636">
        <v>70889.38</v>
      </c>
      <c r="L636">
        <v>-12403.16</v>
      </c>
      <c r="M636">
        <v>18240.96</v>
      </c>
    </row>
    <row r="637" spans="1:13">
      <c r="A637">
        <v>3</v>
      </c>
      <c r="B637" t="s">
        <v>203</v>
      </c>
      <c r="C637">
        <v>3</v>
      </c>
      <c r="D637">
        <v>2</v>
      </c>
      <c r="E637">
        <v>1</v>
      </c>
      <c r="F637" t="s">
        <v>202</v>
      </c>
      <c r="G637">
        <v>0.27500000000000002</v>
      </c>
      <c r="H637">
        <v>12368.64</v>
      </c>
      <c r="I637">
        <v>652.98</v>
      </c>
      <c r="J637">
        <v>3806.55</v>
      </c>
      <c r="K637">
        <v>67457.009999999995</v>
      </c>
      <c r="L637">
        <v>-12559.57</v>
      </c>
      <c r="M637">
        <v>18240.96</v>
      </c>
    </row>
    <row r="638" spans="1:13">
      <c r="A638">
        <v>3</v>
      </c>
      <c r="B638" t="s">
        <v>203</v>
      </c>
      <c r="C638">
        <v>4</v>
      </c>
      <c r="D638">
        <v>2</v>
      </c>
      <c r="E638">
        <v>1</v>
      </c>
      <c r="F638" t="s">
        <v>201</v>
      </c>
      <c r="G638">
        <v>0</v>
      </c>
      <c r="H638">
        <v>12368.64</v>
      </c>
      <c r="I638">
        <v>652.98</v>
      </c>
      <c r="J638">
        <v>3806.55</v>
      </c>
      <c r="K638">
        <v>67457.009999999995</v>
      </c>
      <c r="L638">
        <v>-12559.57</v>
      </c>
      <c r="M638">
        <v>18240.96</v>
      </c>
    </row>
    <row r="639" spans="1:13">
      <c r="A639">
        <v>3</v>
      </c>
      <c r="B639" t="s">
        <v>203</v>
      </c>
      <c r="C639">
        <v>4</v>
      </c>
      <c r="D639">
        <v>2</v>
      </c>
      <c r="E639">
        <v>1</v>
      </c>
      <c r="F639">
        <v>1</v>
      </c>
      <c r="G639">
        <v>0.875</v>
      </c>
      <c r="H639">
        <v>12940</v>
      </c>
      <c r="I639">
        <v>652.98</v>
      </c>
      <c r="J639">
        <v>3806.55</v>
      </c>
      <c r="K639">
        <v>56467.38</v>
      </c>
      <c r="L639">
        <v>-12559.57</v>
      </c>
      <c r="M639">
        <v>18240.96</v>
      </c>
    </row>
    <row r="640" spans="1:13">
      <c r="A640">
        <v>3</v>
      </c>
      <c r="B640" t="s">
        <v>203</v>
      </c>
      <c r="C640">
        <v>4</v>
      </c>
      <c r="D640">
        <v>0</v>
      </c>
      <c r="E640">
        <v>2</v>
      </c>
      <c r="F640">
        <v>2</v>
      </c>
      <c r="G640">
        <v>2.9609999999999999</v>
      </c>
      <c r="H640">
        <v>0</v>
      </c>
      <c r="I640">
        <v>0</v>
      </c>
      <c r="J640">
        <v>0</v>
      </c>
      <c r="K640">
        <v>21884.639999999999</v>
      </c>
      <c r="L640">
        <v>-17707.62</v>
      </c>
      <c r="M640">
        <v>18235.71</v>
      </c>
    </row>
    <row r="641" spans="1:13">
      <c r="A641">
        <v>3</v>
      </c>
      <c r="B641" t="s">
        <v>203</v>
      </c>
      <c r="C641">
        <v>4</v>
      </c>
      <c r="D641">
        <v>0</v>
      </c>
      <c r="E641">
        <v>2</v>
      </c>
      <c r="F641">
        <v>3</v>
      </c>
      <c r="G641">
        <v>5.0460000000000003</v>
      </c>
      <c r="H641">
        <v>0</v>
      </c>
      <c r="I641">
        <v>0</v>
      </c>
      <c r="J641">
        <v>0</v>
      </c>
      <c r="K641">
        <v>-16271.98</v>
      </c>
      <c r="L641">
        <v>-18893.46</v>
      </c>
      <c r="M641">
        <v>18235.71</v>
      </c>
    </row>
    <row r="642" spans="1:13">
      <c r="A642">
        <v>3</v>
      </c>
      <c r="B642" t="s">
        <v>203</v>
      </c>
      <c r="C642">
        <v>4</v>
      </c>
      <c r="D642">
        <v>0</v>
      </c>
      <c r="E642">
        <v>2</v>
      </c>
      <c r="F642" t="s">
        <v>202</v>
      </c>
      <c r="G642">
        <v>5.92</v>
      </c>
      <c r="H642">
        <v>0</v>
      </c>
      <c r="I642">
        <v>0</v>
      </c>
      <c r="J642">
        <v>0</v>
      </c>
      <c r="K642">
        <v>-33002.120000000003</v>
      </c>
      <c r="L642">
        <v>-19390.55</v>
      </c>
      <c r="M642">
        <v>18235.71</v>
      </c>
    </row>
    <row r="643" spans="1:13">
      <c r="A643">
        <v>3</v>
      </c>
      <c r="B643" t="s">
        <v>203</v>
      </c>
      <c r="C643">
        <v>5</v>
      </c>
      <c r="D643">
        <v>0</v>
      </c>
      <c r="E643">
        <v>2</v>
      </c>
      <c r="F643" t="s">
        <v>201</v>
      </c>
      <c r="G643">
        <v>0</v>
      </c>
      <c r="H643">
        <v>0</v>
      </c>
      <c r="I643">
        <v>0</v>
      </c>
      <c r="J643">
        <v>0</v>
      </c>
      <c r="K643">
        <v>-33002.120000000003</v>
      </c>
      <c r="L643">
        <v>-19390.55</v>
      </c>
      <c r="M643">
        <v>18235.71</v>
      </c>
    </row>
    <row r="644" spans="1:13">
      <c r="A644">
        <v>3</v>
      </c>
      <c r="B644" t="s">
        <v>203</v>
      </c>
      <c r="C644">
        <v>5</v>
      </c>
      <c r="D644">
        <v>0</v>
      </c>
      <c r="E644">
        <v>2</v>
      </c>
      <c r="F644" t="s">
        <v>202</v>
      </c>
      <c r="G644">
        <v>0.27500000000000002</v>
      </c>
      <c r="H644">
        <v>0</v>
      </c>
      <c r="I644">
        <v>0</v>
      </c>
      <c r="J644">
        <v>0</v>
      </c>
      <c r="K644">
        <v>-38356.019999999997</v>
      </c>
      <c r="L644">
        <v>-19546.96</v>
      </c>
      <c r="M644">
        <v>18235.71</v>
      </c>
    </row>
    <row r="645" spans="1:13">
      <c r="A645">
        <v>3</v>
      </c>
      <c r="B645" t="s">
        <v>203</v>
      </c>
      <c r="C645">
        <v>6</v>
      </c>
      <c r="D645">
        <v>2</v>
      </c>
      <c r="E645">
        <v>0</v>
      </c>
      <c r="F645" t="s">
        <v>201</v>
      </c>
      <c r="G645">
        <v>0</v>
      </c>
      <c r="H645">
        <v>-952.54</v>
      </c>
      <c r="I645">
        <v>14117.59</v>
      </c>
      <c r="J645">
        <v>6835.25</v>
      </c>
      <c r="K645">
        <v>0</v>
      </c>
      <c r="L645">
        <v>0</v>
      </c>
      <c r="M645">
        <v>0</v>
      </c>
    </row>
    <row r="646" spans="1:13">
      <c r="A646">
        <v>3</v>
      </c>
      <c r="B646" t="s">
        <v>203</v>
      </c>
      <c r="C646">
        <v>6</v>
      </c>
      <c r="D646">
        <v>2</v>
      </c>
      <c r="E646">
        <v>4</v>
      </c>
      <c r="F646" t="s">
        <v>202</v>
      </c>
      <c r="G646">
        <v>0.27500000000000002</v>
      </c>
      <c r="H646">
        <v>1172.05</v>
      </c>
      <c r="I646">
        <v>863.58</v>
      </c>
      <c r="J646">
        <v>6835.25</v>
      </c>
      <c r="K646">
        <v>24162.49</v>
      </c>
      <c r="L646">
        <v>-5768.09</v>
      </c>
      <c r="M646">
        <v>32936.15</v>
      </c>
    </row>
    <row r="647" spans="1:13">
      <c r="A647">
        <v>3</v>
      </c>
      <c r="B647" t="s">
        <v>203</v>
      </c>
      <c r="C647">
        <v>7</v>
      </c>
      <c r="D647">
        <v>2</v>
      </c>
      <c r="E647">
        <v>4</v>
      </c>
      <c r="F647" t="s">
        <v>201</v>
      </c>
      <c r="G647">
        <v>0</v>
      </c>
      <c r="H647">
        <v>1172.05</v>
      </c>
      <c r="I647">
        <v>863.58</v>
      </c>
      <c r="J647">
        <v>6835.25</v>
      </c>
      <c r="K647">
        <v>24162.49</v>
      </c>
      <c r="L647">
        <v>-5768.09</v>
      </c>
      <c r="M647">
        <v>32936.15</v>
      </c>
    </row>
    <row r="648" spans="1:13">
      <c r="A648">
        <v>3</v>
      </c>
      <c r="B648" t="s">
        <v>203</v>
      </c>
      <c r="C648">
        <v>7</v>
      </c>
      <c r="D648">
        <v>2</v>
      </c>
      <c r="E648">
        <v>4</v>
      </c>
      <c r="F648">
        <v>1</v>
      </c>
      <c r="G648">
        <v>0.875</v>
      </c>
      <c r="H648">
        <v>1709.95</v>
      </c>
      <c r="I648">
        <v>365.93</v>
      </c>
      <c r="J648">
        <v>6835.25</v>
      </c>
      <c r="K648">
        <v>18897.689999999999</v>
      </c>
      <c r="L648">
        <v>-6265.74</v>
      </c>
      <c r="M648">
        <v>32936.15</v>
      </c>
    </row>
    <row r="649" spans="1:13">
      <c r="A649">
        <v>3</v>
      </c>
      <c r="B649" t="s">
        <v>203</v>
      </c>
      <c r="C649">
        <v>7</v>
      </c>
      <c r="D649">
        <v>0</v>
      </c>
      <c r="E649">
        <v>4</v>
      </c>
      <c r="F649">
        <v>2</v>
      </c>
      <c r="G649">
        <v>2.96</v>
      </c>
      <c r="H649">
        <v>0</v>
      </c>
      <c r="I649">
        <v>0</v>
      </c>
      <c r="J649">
        <v>0</v>
      </c>
      <c r="K649">
        <v>4597.38</v>
      </c>
      <c r="L649">
        <v>-7451.59</v>
      </c>
      <c r="M649">
        <v>32936.15</v>
      </c>
    </row>
    <row r="650" spans="1:13">
      <c r="A650">
        <v>3</v>
      </c>
      <c r="B650" t="s">
        <v>203</v>
      </c>
      <c r="C650">
        <v>7</v>
      </c>
      <c r="D650">
        <v>0</v>
      </c>
      <c r="E650">
        <v>4</v>
      </c>
      <c r="F650">
        <v>3</v>
      </c>
      <c r="G650">
        <v>5.0449999999999999</v>
      </c>
      <c r="H650">
        <v>0</v>
      </c>
      <c r="I650">
        <v>0</v>
      </c>
      <c r="J650">
        <v>0</v>
      </c>
      <c r="K650">
        <v>-12175.42</v>
      </c>
      <c r="L650">
        <v>-8637.43</v>
      </c>
      <c r="M650">
        <v>32936.15</v>
      </c>
    </row>
    <row r="651" spans="1:13">
      <c r="A651">
        <v>3</v>
      </c>
      <c r="B651" t="s">
        <v>203</v>
      </c>
      <c r="C651">
        <v>7</v>
      </c>
      <c r="D651">
        <v>0</v>
      </c>
      <c r="E651">
        <v>4</v>
      </c>
      <c r="F651" t="s">
        <v>202</v>
      </c>
      <c r="G651">
        <v>5.92</v>
      </c>
      <c r="H651">
        <v>0</v>
      </c>
      <c r="I651">
        <v>0</v>
      </c>
      <c r="J651">
        <v>0</v>
      </c>
      <c r="K651">
        <v>-19950.900000000001</v>
      </c>
      <c r="L651">
        <v>-9135.09</v>
      </c>
      <c r="M651">
        <v>32936.15</v>
      </c>
    </row>
    <row r="652" spans="1:13">
      <c r="A652">
        <v>3</v>
      </c>
      <c r="B652" t="s">
        <v>203</v>
      </c>
      <c r="C652">
        <v>8</v>
      </c>
      <c r="D652">
        <v>0</v>
      </c>
      <c r="E652">
        <v>4</v>
      </c>
      <c r="F652" t="s">
        <v>201</v>
      </c>
      <c r="G652">
        <v>0</v>
      </c>
      <c r="H652">
        <v>0</v>
      </c>
      <c r="I652">
        <v>0</v>
      </c>
      <c r="J652">
        <v>0</v>
      </c>
      <c r="K652">
        <v>-19950.900000000001</v>
      </c>
      <c r="L652">
        <v>-9135.09</v>
      </c>
      <c r="M652">
        <v>32936.15</v>
      </c>
    </row>
    <row r="653" spans="1:13">
      <c r="A653">
        <v>3</v>
      </c>
      <c r="B653" t="s">
        <v>203</v>
      </c>
      <c r="C653">
        <v>8</v>
      </c>
      <c r="D653">
        <v>0</v>
      </c>
      <c r="E653">
        <v>4</v>
      </c>
      <c r="F653" t="s">
        <v>202</v>
      </c>
      <c r="G653">
        <v>0.27500000000000002</v>
      </c>
      <c r="H653">
        <v>0</v>
      </c>
      <c r="I653">
        <v>0</v>
      </c>
      <c r="J653">
        <v>0</v>
      </c>
      <c r="K653">
        <v>-22484.55</v>
      </c>
      <c r="L653">
        <v>-9291.49</v>
      </c>
      <c r="M653">
        <v>32936.15</v>
      </c>
    </row>
    <row r="654" spans="1:13">
      <c r="A654">
        <v>3</v>
      </c>
      <c r="B654" t="s">
        <v>203</v>
      </c>
      <c r="C654">
        <v>9</v>
      </c>
      <c r="D654">
        <v>2</v>
      </c>
      <c r="E654">
        <v>0</v>
      </c>
      <c r="F654" t="s">
        <v>201</v>
      </c>
      <c r="G654">
        <v>0</v>
      </c>
      <c r="H654">
        <v>1682.58</v>
      </c>
      <c r="I654">
        <v>17263.169999999998</v>
      </c>
      <c r="J654">
        <v>8289.8799999999992</v>
      </c>
      <c r="K654">
        <v>0</v>
      </c>
      <c r="L654">
        <v>0</v>
      </c>
      <c r="M654">
        <v>0</v>
      </c>
    </row>
    <row r="655" spans="1:13">
      <c r="A655">
        <v>3</v>
      </c>
      <c r="B655" t="s">
        <v>203</v>
      </c>
      <c r="C655">
        <v>9</v>
      </c>
      <c r="D655">
        <v>1</v>
      </c>
      <c r="E655">
        <v>2</v>
      </c>
      <c r="F655" t="s">
        <v>202</v>
      </c>
      <c r="G655">
        <v>0.27500000000000002</v>
      </c>
      <c r="H655">
        <v>3017.4</v>
      </c>
      <c r="I655">
        <v>81.41</v>
      </c>
      <c r="J655">
        <v>8290.98</v>
      </c>
      <c r="K655">
        <v>8807.77</v>
      </c>
      <c r="L655">
        <v>-1526.97</v>
      </c>
      <c r="M655">
        <v>40044.03</v>
      </c>
    </row>
    <row r="656" spans="1:13">
      <c r="A656">
        <v>3</v>
      </c>
      <c r="B656" t="s">
        <v>203</v>
      </c>
      <c r="C656">
        <v>10</v>
      </c>
      <c r="D656">
        <v>1</v>
      </c>
      <c r="E656">
        <v>2</v>
      </c>
      <c r="F656" t="s">
        <v>201</v>
      </c>
      <c r="G656">
        <v>0</v>
      </c>
      <c r="H656">
        <v>3017.4</v>
      </c>
      <c r="I656">
        <v>81.41</v>
      </c>
      <c r="J656">
        <v>8290.98</v>
      </c>
      <c r="K656">
        <v>8807.77</v>
      </c>
      <c r="L656">
        <v>-1526.97</v>
      </c>
      <c r="M656">
        <v>40044.03</v>
      </c>
    </row>
    <row r="657" spans="1:13">
      <c r="A657">
        <v>3</v>
      </c>
      <c r="B657" t="s">
        <v>203</v>
      </c>
      <c r="C657">
        <v>10</v>
      </c>
      <c r="D657">
        <v>0</v>
      </c>
      <c r="E657">
        <v>2</v>
      </c>
      <c r="F657">
        <v>1</v>
      </c>
      <c r="G657">
        <v>0.875</v>
      </c>
      <c r="H657">
        <v>0</v>
      </c>
      <c r="I657">
        <v>0</v>
      </c>
      <c r="J657">
        <v>0</v>
      </c>
      <c r="K657">
        <v>7253.94</v>
      </c>
      <c r="L657">
        <v>-2024.63</v>
      </c>
      <c r="M657">
        <v>40044.03</v>
      </c>
    </row>
    <row r="658" spans="1:13">
      <c r="A658">
        <v>3</v>
      </c>
      <c r="B658" t="s">
        <v>203</v>
      </c>
      <c r="C658">
        <v>10</v>
      </c>
      <c r="D658">
        <v>0</v>
      </c>
      <c r="E658">
        <v>2</v>
      </c>
      <c r="F658">
        <v>2</v>
      </c>
      <c r="G658">
        <v>2.96</v>
      </c>
      <c r="H658">
        <v>0</v>
      </c>
      <c r="I658">
        <v>0</v>
      </c>
      <c r="J658">
        <v>0</v>
      </c>
      <c r="K658">
        <v>1796.35</v>
      </c>
      <c r="L658">
        <v>-3210.47</v>
      </c>
      <c r="M658">
        <v>40044.03</v>
      </c>
    </row>
    <row r="659" spans="1:13">
      <c r="A659">
        <v>3</v>
      </c>
      <c r="B659" t="s">
        <v>203</v>
      </c>
      <c r="C659">
        <v>10</v>
      </c>
      <c r="D659">
        <v>0</v>
      </c>
      <c r="E659">
        <v>2</v>
      </c>
      <c r="F659">
        <v>3</v>
      </c>
      <c r="G659">
        <v>5.0449999999999999</v>
      </c>
      <c r="H659">
        <v>0</v>
      </c>
      <c r="I659">
        <v>0</v>
      </c>
      <c r="J659">
        <v>0</v>
      </c>
      <c r="K659">
        <v>-6133.73</v>
      </c>
      <c r="L659">
        <v>-4396.32</v>
      </c>
      <c r="M659">
        <v>40044.03</v>
      </c>
    </row>
    <row r="660" spans="1:13">
      <c r="A660">
        <v>3</v>
      </c>
      <c r="B660" t="s">
        <v>203</v>
      </c>
      <c r="C660">
        <v>10</v>
      </c>
      <c r="D660">
        <v>0</v>
      </c>
      <c r="E660">
        <v>2</v>
      </c>
      <c r="F660" t="s">
        <v>202</v>
      </c>
      <c r="G660">
        <v>5.92</v>
      </c>
      <c r="H660">
        <v>0</v>
      </c>
      <c r="I660">
        <v>0</v>
      </c>
      <c r="J660">
        <v>0</v>
      </c>
      <c r="K660">
        <v>-10198.24</v>
      </c>
      <c r="L660">
        <v>-4893.97</v>
      </c>
      <c r="M660">
        <v>40044.03</v>
      </c>
    </row>
    <row r="661" spans="1:13">
      <c r="A661">
        <v>3</v>
      </c>
      <c r="B661" t="s">
        <v>203</v>
      </c>
      <c r="C661">
        <v>11</v>
      </c>
      <c r="D661">
        <v>0</v>
      </c>
      <c r="E661">
        <v>2</v>
      </c>
      <c r="F661" t="s">
        <v>201</v>
      </c>
      <c r="G661">
        <v>0</v>
      </c>
      <c r="H661">
        <v>0</v>
      </c>
      <c r="I661">
        <v>0</v>
      </c>
      <c r="J661">
        <v>0</v>
      </c>
      <c r="K661">
        <v>-10198.24</v>
      </c>
      <c r="L661">
        <v>-4893.97</v>
      </c>
      <c r="M661">
        <v>40044.03</v>
      </c>
    </row>
    <row r="662" spans="1:13">
      <c r="A662">
        <v>3</v>
      </c>
      <c r="B662" t="s">
        <v>203</v>
      </c>
      <c r="C662">
        <v>11</v>
      </c>
      <c r="D662">
        <v>0</v>
      </c>
      <c r="E662">
        <v>2</v>
      </c>
      <c r="F662" t="s">
        <v>202</v>
      </c>
      <c r="G662">
        <v>0.27500000000000002</v>
      </c>
      <c r="H662">
        <v>0</v>
      </c>
      <c r="I662">
        <v>0</v>
      </c>
      <c r="J662">
        <v>0</v>
      </c>
      <c r="K662">
        <v>-11565.58</v>
      </c>
      <c r="L662">
        <v>-5050.38</v>
      </c>
      <c r="M662">
        <v>40044.03</v>
      </c>
    </row>
    <row r="663" spans="1:13">
      <c r="A663">
        <v>3</v>
      </c>
      <c r="B663" t="s">
        <v>203</v>
      </c>
      <c r="C663">
        <v>12</v>
      </c>
      <c r="D663">
        <v>4</v>
      </c>
      <c r="E663">
        <v>0</v>
      </c>
      <c r="F663" t="s">
        <v>201</v>
      </c>
      <c r="G663">
        <v>0</v>
      </c>
      <c r="H663">
        <v>-14482.27</v>
      </c>
      <c r="I663">
        <v>6109.43</v>
      </c>
      <c r="J663">
        <v>39352.449999999997</v>
      </c>
      <c r="K663">
        <v>0</v>
      </c>
      <c r="L663">
        <v>0</v>
      </c>
      <c r="M663">
        <v>0</v>
      </c>
    </row>
    <row r="664" spans="1:13">
      <c r="A664">
        <v>3</v>
      </c>
      <c r="B664" t="s">
        <v>203</v>
      </c>
      <c r="C664">
        <v>12</v>
      </c>
      <c r="D664">
        <v>4</v>
      </c>
      <c r="E664">
        <v>0</v>
      </c>
      <c r="F664" t="s">
        <v>202</v>
      </c>
      <c r="G664">
        <v>0.27500000000000002</v>
      </c>
      <c r="H664">
        <v>-12823.68</v>
      </c>
      <c r="I664">
        <v>5953.02</v>
      </c>
      <c r="J664">
        <v>39352.449999999997</v>
      </c>
      <c r="K664">
        <v>0</v>
      </c>
      <c r="L664">
        <v>0</v>
      </c>
      <c r="M664">
        <v>0</v>
      </c>
    </row>
    <row r="665" spans="1:13">
      <c r="A665">
        <v>3</v>
      </c>
      <c r="B665" t="s">
        <v>203</v>
      </c>
      <c r="C665">
        <v>13</v>
      </c>
      <c r="D665">
        <v>4</v>
      </c>
      <c r="E665">
        <v>0</v>
      </c>
      <c r="F665" t="s">
        <v>201</v>
      </c>
      <c r="G665">
        <v>0</v>
      </c>
      <c r="H665">
        <v>-12823.68</v>
      </c>
      <c r="I665">
        <v>5953.02</v>
      </c>
      <c r="J665">
        <v>39352.449999999997</v>
      </c>
      <c r="K665">
        <v>0</v>
      </c>
      <c r="L665">
        <v>0</v>
      </c>
      <c r="M665">
        <v>0</v>
      </c>
    </row>
    <row r="666" spans="1:13">
      <c r="A666">
        <v>3</v>
      </c>
      <c r="B666" t="s">
        <v>203</v>
      </c>
      <c r="C666">
        <v>13</v>
      </c>
      <c r="D666">
        <v>4</v>
      </c>
      <c r="E666">
        <v>0</v>
      </c>
      <c r="F666">
        <v>1</v>
      </c>
      <c r="G666">
        <v>0.875</v>
      </c>
      <c r="H666">
        <v>-7832.51</v>
      </c>
      <c r="I666">
        <v>5455.36</v>
      </c>
      <c r="J666">
        <v>39352.449999999997</v>
      </c>
      <c r="K666">
        <v>0</v>
      </c>
      <c r="L666">
        <v>0</v>
      </c>
      <c r="M666">
        <v>0</v>
      </c>
    </row>
    <row r="667" spans="1:13">
      <c r="A667">
        <v>3</v>
      </c>
      <c r="B667" t="s">
        <v>203</v>
      </c>
      <c r="C667">
        <v>13</v>
      </c>
      <c r="D667">
        <v>4</v>
      </c>
      <c r="E667">
        <v>0</v>
      </c>
      <c r="F667">
        <v>2</v>
      </c>
      <c r="G667">
        <v>2.96</v>
      </c>
      <c r="H667">
        <v>2305.67</v>
      </c>
      <c r="I667">
        <v>4269.5200000000004</v>
      </c>
      <c r="J667">
        <v>39352.449999999997</v>
      </c>
      <c r="K667">
        <v>0</v>
      </c>
      <c r="L667">
        <v>0</v>
      </c>
      <c r="M667">
        <v>0</v>
      </c>
    </row>
    <row r="668" spans="1:13">
      <c r="A668">
        <v>3</v>
      </c>
      <c r="B668" t="s">
        <v>203</v>
      </c>
      <c r="C668">
        <v>13</v>
      </c>
      <c r="D668">
        <v>4</v>
      </c>
      <c r="E668">
        <v>0</v>
      </c>
      <c r="F668">
        <v>3</v>
      </c>
      <c r="G668">
        <v>5.0449999999999999</v>
      </c>
      <c r="H668">
        <v>9971.3799999999992</v>
      </c>
      <c r="I668">
        <v>3083.67</v>
      </c>
      <c r="J668">
        <v>39352.449999999997</v>
      </c>
      <c r="K668">
        <v>0</v>
      </c>
      <c r="L668">
        <v>0</v>
      </c>
      <c r="M668">
        <v>0</v>
      </c>
    </row>
    <row r="669" spans="1:13">
      <c r="A669">
        <v>3</v>
      </c>
      <c r="B669" t="s">
        <v>203</v>
      </c>
      <c r="C669">
        <v>13</v>
      </c>
      <c r="D669">
        <v>4</v>
      </c>
      <c r="E669">
        <v>0</v>
      </c>
      <c r="F669" t="s">
        <v>202</v>
      </c>
      <c r="G669">
        <v>5.92</v>
      </c>
      <c r="H669">
        <v>12451.87</v>
      </c>
      <c r="I669">
        <v>2586.02</v>
      </c>
      <c r="J669">
        <v>39352.449999999997</v>
      </c>
      <c r="K669">
        <v>0</v>
      </c>
      <c r="L669">
        <v>0</v>
      </c>
      <c r="M669">
        <v>0</v>
      </c>
    </row>
    <row r="670" spans="1:13">
      <c r="A670">
        <v>3</v>
      </c>
      <c r="B670" t="s">
        <v>203</v>
      </c>
      <c r="C670">
        <v>14</v>
      </c>
      <c r="D670">
        <v>4</v>
      </c>
      <c r="E670">
        <v>0</v>
      </c>
      <c r="F670" t="s">
        <v>201</v>
      </c>
      <c r="G670">
        <v>0</v>
      </c>
      <c r="H670">
        <v>12451.87</v>
      </c>
      <c r="I670">
        <v>2586.02</v>
      </c>
      <c r="J670">
        <v>39352.449999999997</v>
      </c>
      <c r="K670">
        <v>0</v>
      </c>
      <c r="L670">
        <v>0</v>
      </c>
      <c r="M670">
        <v>0</v>
      </c>
    </row>
    <row r="671" spans="1:13">
      <c r="A671">
        <v>3</v>
      </c>
      <c r="B671" t="s">
        <v>203</v>
      </c>
      <c r="C671">
        <v>14</v>
      </c>
      <c r="D671">
        <v>0</v>
      </c>
      <c r="E671">
        <v>4</v>
      </c>
      <c r="F671" t="s">
        <v>202</v>
      </c>
      <c r="G671">
        <v>0.27500000000000002</v>
      </c>
      <c r="H671">
        <v>0</v>
      </c>
      <c r="I671">
        <v>0</v>
      </c>
      <c r="J671">
        <v>0</v>
      </c>
      <c r="K671">
        <v>2812.27</v>
      </c>
      <c r="L671">
        <v>-16957.52</v>
      </c>
      <c r="M671">
        <v>8152.8</v>
      </c>
    </row>
    <row r="672" spans="1:13">
      <c r="A672">
        <v>3</v>
      </c>
      <c r="B672" t="s">
        <v>203</v>
      </c>
      <c r="C672">
        <v>15</v>
      </c>
      <c r="D672">
        <v>2</v>
      </c>
      <c r="E672">
        <v>0</v>
      </c>
      <c r="F672" t="s">
        <v>201</v>
      </c>
      <c r="G672">
        <v>0</v>
      </c>
      <c r="H672">
        <v>-23447.72</v>
      </c>
      <c r="I672">
        <v>9879.85</v>
      </c>
      <c r="J672">
        <v>31060.1</v>
      </c>
      <c r="K672">
        <v>0</v>
      </c>
      <c r="L672">
        <v>0</v>
      </c>
      <c r="M672">
        <v>0</v>
      </c>
    </row>
    <row r="673" spans="1:13">
      <c r="A673">
        <v>3</v>
      </c>
      <c r="B673" t="s">
        <v>203</v>
      </c>
      <c r="C673">
        <v>15</v>
      </c>
      <c r="D673">
        <v>2</v>
      </c>
      <c r="E673">
        <v>0</v>
      </c>
      <c r="F673" t="s">
        <v>202</v>
      </c>
      <c r="G673">
        <v>0.27500000000000002</v>
      </c>
      <c r="H673">
        <v>-20752.27</v>
      </c>
      <c r="I673">
        <v>9723.44</v>
      </c>
      <c r="J673">
        <v>31060.1</v>
      </c>
      <c r="K673">
        <v>0</v>
      </c>
      <c r="L673">
        <v>0</v>
      </c>
      <c r="M673">
        <v>0</v>
      </c>
    </row>
    <row r="674" spans="1:13">
      <c r="A674">
        <v>3</v>
      </c>
      <c r="B674" t="s">
        <v>203</v>
      </c>
      <c r="C674">
        <v>16</v>
      </c>
      <c r="D674">
        <v>2</v>
      </c>
      <c r="E674">
        <v>0</v>
      </c>
      <c r="F674" t="s">
        <v>201</v>
      </c>
      <c r="G674">
        <v>0</v>
      </c>
      <c r="H674">
        <v>-20752.27</v>
      </c>
      <c r="I674">
        <v>9723.44</v>
      </c>
      <c r="J674">
        <v>31060.1</v>
      </c>
      <c r="K674">
        <v>0</v>
      </c>
      <c r="L674">
        <v>0</v>
      </c>
      <c r="M674">
        <v>0</v>
      </c>
    </row>
    <row r="675" spans="1:13">
      <c r="A675">
        <v>3</v>
      </c>
      <c r="B675" t="s">
        <v>203</v>
      </c>
      <c r="C675">
        <v>16</v>
      </c>
      <c r="D675">
        <v>2</v>
      </c>
      <c r="E675">
        <v>0</v>
      </c>
      <c r="F675">
        <v>1</v>
      </c>
      <c r="G675">
        <v>0.875</v>
      </c>
      <c r="H675">
        <v>-12461.98</v>
      </c>
      <c r="I675">
        <v>9225.7900000000009</v>
      </c>
      <c r="J675">
        <v>31060.1</v>
      </c>
      <c r="K675">
        <v>0</v>
      </c>
      <c r="L675">
        <v>0</v>
      </c>
      <c r="M675">
        <v>0</v>
      </c>
    </row>
    <row r="676" spans="1:13">
      <c r="A676">
        <v>3</v>
      </c>
      <c r="B676" t="s">
        <v>203</v>
      </c>
      <c r="C676">
        <v>16</v>
      </c>
      <c r="D676">
        <v>2</v>
      </c>
      <c r="E676">
        <v>0</v>
      </c>
      <c r="F676">
        <v>2</v>
      </c>
      <c r="G676">
        <v>2.96</v>
      </c>
      <c r="H676">
        <v>5537.55</v>
      </c>
      <c r="I676">
        <v>8039.94</v>
      </c>
      <c r="J676">
        <v>31060.1</v>
      </c>
      <c r="K676">
        <v>0</v>
      </c>
      <c r="L676">
        <v>0</v>
      </c>
      <c r="M676">
        <v>0</v>
      </c>
    </row>
    <row r="677" spans="1:13">
      <c r="A677">
        <v>3</v>
      </c>
      <c r="B677" t="s">
        <v>203</v>
      </c>
      <c r="C677">
        <v>16</v>
      </c>
      <c r="D677">
        <v>2</v>
      </c>
      <c r="E677">
        <v>4</v>
      </c>
      <c r="F677">
        <v>3</v>
      </c>
      <c r="G677">
        <v>5.0449999999999999</v>
      </c>
      <c r="H677">
        <v>21064.59</v>
      </c>
      <c r="I677">
        <v>6854.1</v>
      </c>
      <c r="J677">
        <v>31060.1</v>
      </c>
      <c r="K677">
        <v>2110.58</v>
      </c>
      <c r="L677">
        <v>-350.82</v>
      </c>
      <c r="M677">
        <v>6496.09</v>
      </c>
    </row>
    <row r="678" spans="1:13">
      <c r="A678">
        <v>3</v>
      </c>
      <c r="B678" t="s">
        <v>203</v>
      </c>
      <c r="C678">
        <v>16</v>
      </c>
      <c r="D678">
        <v>2</v>
      </c>
      <c r="E678">
        <v>4</v>
      </c>
      <c r="F678" t="s">
        <v>202</v>
      </c>
      <c r="G678">
        <v>5.92</v>
      </c>
      <c r="H678">
        <v>26844.2</v>
      </c>
      <c r="I678">
        <v>6356.44</v>
      </c>
      <c r="J678">
        <v>31060.1</v>
      </c>
      <c r="K678">
        <v>1585.89</v>
      </c>
      <c r="L678">
        <v>-848.48</v>
      </c>
      <c r="M678">
        <v>6496.09</v>
      </c>
    </row>
    <row r="679" spans="1:13">
      <c r="A679">
        <v>3</v>
      </c>
      <c r="B679" t="s">
        <v>203</v>
      </c>
      <c r="C679">
        <v>17</v>
      </c>
      <c r="D679">
        <v>2</v>
      </c>
      <c r="E679">
        <v>4</v>
      </c>
      <c r="F679" t="s">
        <v>201</v>
      </c>
      <c r="G679">
        <v>0</v>
      </c>
      <c r="H679">
        <v>26844.2</v>
      </c>
      <c r="I679">
        <v>6356.44</v>
      </c>
      <c r="J679">
        <v>31060.1</v>
      </c>
      <c r="K679">
        <v>1585.89</v>
      </c>
      <c r="L679">
        <v>-848.48</v>
      </c>
      <c r="M679">
        <v>6496.09</v>
      </c>
    </row>
    <row r="680" spans="1:13">
      <c r="A680">
        <v>3</v>
      </c>
      <c r="B680" t="s">
        <v>203</v>
      </c>
      <c r="C680">
        <v>17</v>
      </c>
      <c r="D680">
        <v>0</v>
      </c>
      <c r="E680">
        <v>4</v>
      </c>
      <c r="F680" t="s">
        <v>202</v>
      </c>
      <c r="G680">
        <v>0.27500000000000002</v>
      </c>
      <c r="H680">
        <v>0</v>
      </c>
      <c r="I680">
        <v>0</v>
      </c>
      <c r="J680">
        <v>0</v>
      </c>
      <c r="K680">
        <v>-525.1</v>
      </c>
      <c r="L680">
        <v>-14111.8</v>
      </c>
      <c r="M680">
        <v>6496.09</v>
      </c>
    </row>
    <row r="681" spans="1:13">
      <c r="A681">
        <v>3</v>
      </c>
      <c r="B681" t="s">
        <v>203</v>
      </c>
      <c r="C681">
        <v>18</v>
      </c>
      <c r="D681">
        <v>4</v>
      </c>
      <c r="E681">
        <v>0</v>
      </c>
      <c r="F681" t="s">
        <v>201</v>
      </c>
      <c r="G681">
        <v>0</v>
      </c>
      <c r="H681">
        <v>-39935.629999999997</v>
      </c>
      <c r="I681">
        <v>16444.62</v>
      </c>
      <c r="J681">
        <v>15256.1</v>
      </c>
      <c r="K681">
        <v>0</v>
      </c>
      <c r="L681">
        <v>0</v>
      </c>
      <c r="M681">
        <v>0</v>
      </c>
    </row>
    <row r="682" spans="1:13">
      <c r="A682">
        <v>3</v>
      </c>
      <c r="B682" t="s">
        <v>203</v>
      </c>
      <c r="C682">
        <v>18</v>
      </c>
      <c r="D682">
        <v>4</v>
      </c>
      <c r="E682">
        <v>0</v>
      </c>
      <c r="F682" t="s">
        <v>202</v>
      </c>
      <c r="G682">
        <v>0.27500000000000002</v>
      </c>
      <c r="H682">
        <v>-35434.870000000003</v>
      </c>
      <c r="I682">
        <v>16288.21</v>
      </c>
      <c r="J682">
        <v>15256.1</v>
      </c>
      <c r="K682">
        <v>0</v>
      </c>
      <c r="L682">
        <v>0</v>
      </c>
      <c r="M682">
        <v>0</v>
      </c>
    </row>
    <row r="683" spans="1:13">
      <c r="A683">
        <v>3</v>
      </c>
      <c r="B683" t="s">
        <v>203</v>
      </c>
      <c r="C683">
        <v>19</v>
      </c>
      <c r="D683">
        <v>4</v>
      </c>
      <c r="E683">
        <v>0</v>
      </c>
      <c r="F683" t="s">
        <v>201</v>
      </c>
      <c r="G683">
        <v>0</v>
      </c>
      <c r="H683">
        <v>-35434.870000000003</v>
      </c>
      <c r="I683">
        <v>16288.21</v>
      </c>
      <c r="J683">
        <v>15256.1</v>
      </c>
      <c r="K683">
        <v>0</v>
      </c>
      <c r="L683">
        <v>0</v>
      </c>
      <c r="M683">
        <v>0</v>
      </c>
    </row>
    <row r="684" spans="1:13">
      <c r="A684">
        <v>3</v>
      </c>
      <c r="B684" t="s">
        <v>203</v>
      </c>
      <c r="C684">
        <v>19</v>
      </c>
      <c r="D684">
        <v>4</v>
      </c>
      <c r="E684">
        <v>0</v>
      </c>
      <c r="F684">
        <v>1</v>
      </c>
      <c r="G684">
        <v>0.875</v>
      </c>
      <c r="H684">
        <v>-21182.68</v>
      </c>
      <c r="I684">
        <v>16288.21</v>
      </c>
      <c r="J684">
        <v>15256.1</v>
      </c>
      <c r="K684">
        <v>0</v>
      </c>
      <c r="L684">
        <v>0</v>
      </c>
      <c r="M684">
        <v>0</v>
      </c>
    </row>
    <row r="685" spans="1:13">
      <c r="A685">
        <v>3</v>
      </c>
      <c r="B685" t="s">
        <v>203</v>
      </c>
      <c r="C685">
        <v>19</v>
      </c>
      <c r="D685">
        <v>4</v>
      </c>
      <c r="E685">
        <v>0</v>
      </c>
      <c r="F685">
        <v>2</v>
      </c>
      <c r="G685">
        <v>2.96</v>
      </c>
      <c r="H685">
        <v>12778.24</v>
      </c>
      <c r="I685">
        <v>16288.21</v>
      </c>
      <c r="J685">
        <v>15256.1</v>
      </c>
      <c r="K685">
        <v>0</v>
      </c>
      <c r="L685">
        <v>0</v>
      </c>
      <c r="M685">
        <v>0</v>
      </c>
    </row>
    <row r="686" spans="1:13">
      <c r="A686">
        <v>3</v>
      </c>
      <c r="B686" t="s">
        <v>203</v>
      </c>
      <c r="C686">
        <v>19</v>
      </c>
      <c r="D686">
        <v>1</v>
      </c>
      <c r="E686">
        <v>0</v>
      </c>
      <c r="F686">
        <v>3</v>
      </c>
      <c r="G686">
        <v>5.0449999999999999</v>
      </c>
      <c r="H686">
        <v>45596.19</v>
      </c>
      <c r="I686">
        <v>12087.7</v>
      </c>
      <c r="J686">
        <v>15261.35</v>
      </c>
      <c r="K686">
        <v>0</v>
      </c>
      <c r="L686">
        <v>0</v>
      </c>
      <c r="M686">
        <v>0</v>
      </c>
    </row>
    <row r="687" spans="1:13">
      <c r="A687">
        <v>3</v>
      </c>
      <c r="B687" t="s">
        <v>203</v>
      </c>
      <c r="C687">
        <v>19</v>
      </c>
      <c r="D687">
        <v>1</v>
      </c>
      <c r="E687">
        <v>4</v>
      </c>
      <c r="F687" t="s">
        <v>202</v>
      </c>
      <c r="G687">
        <v>5.92</v>
      </c>
      <c r="H687">
        <v>55955.199999999997</v>
      </c>
      <c r="I687">
        <v>11590.05</v>
      </c>
      <c r="J687">
        <v>15261.35</v>
      </c>
      <c r="K687">
        <v>10457.200000000001</v>
      </c>
      <c r="L687">
        <v>-312.73</v>
      </c>
      <c r="M687">
        <v>3318.21</v>
      </c>
    </row>
    <row r="688" spans="1:13">
      <c r="A688">
        <v>3</v>
      </c>
      <c r="B688" t="s">
        <v>203</v>
      </c>
      <c r="C688">
        <v>20</v>
      </c>
      <c r="D688">
        <v>1</v>
      </c>
      <c r="E688">
        <v>4</v>
      </c>
      <c r="F688" t="s">
        <v>201</v>
      </c>
      <c r="G688">
        <v>0</v>
      </c>
      <c r="H688">
        <v>55955.199999999997</v>
      </c>
      <c r="I688">
        <v>11590.05</v>
      </c>
      <c r="J688">
        <v>15261.35</v>
      </c>
      <c r="K688">
        <v>10457.200000000001</v>
      </c>
      <c r="L688">
        <v>-312.73</v>
      </c>
      <c r="M688">
        <v>3318.21</v>
      </c>
    </row>
    <row r="689" spans="1:13">
      <c r="A689">
        <v>3</v>
      </c>
      <c r="B689" t="s">
        <v>203</v>
      </c>
      <c r="C689">
        <v>20</v>
      </c>
      <c r="D689">
        <v>1</v>
      </c>
      <c r="E689">
        <v>4</v>
      </c>
      <c r="F689" t="s">
        <v>202</v>
      </c>
      <c r="G689">
        <v>0.27500000000000002</v>
      </c>
      <c r="H689">
        <v>59120.959999999999</v>
      </c>
      <c r="I689">
        <v>11433.64</v>
      </c>
      <c r="J689">
        <v>15261.35</v>
      </c>
      <c r="K689">
        <v>10349.69</v>
      </c>
      <c r="L689">
        <v>-469.14</v>
      </c>
      <c r="M689">
        <v>3318.21</v>
      </c>
    </row>
    <row r="690" spans="1:13">
      <c r="A690">
        <v>3</v>
      </c>
      <c r="B690" t="s">
        <v>203</v>
      </c>
      <c r="C690">
        <v>21</v>
      </c>
      <c r="D690">
        <v>4</v>
      </c>
      <c r="E690">
        <v>0</v>
      </c>
      <c r="F690" t="s">
        <v>201</v>
      </c>
      <c r="G690">
        <v>0</v>
      </c>
      <c r="H690">
        <v>-3340.41</v>
      </c>
      <c r="I690">
        <v>19731.89</v>
      </c>
      <c r="J690">
        <v>0</v>
      </c>
      <c r="K690">
        <v>0</v>
      </c>
      <c r="L690">
        <v>0</v>
      </c>
      <c r="M690">
        <v>0</v>
      </c>
    </row>
    <row r="691" spans="1:13">
      <c r="A691">
        <v>3</v>
      </c>
      <c r="B691" t="s">
        <v>203</v>
      </c>
      <c r="C691">
        <v>21</v>
      </c>
      <c r="D691">
        <v>1</v>
      </c>
      <c r="E691">
        <v>0</v>
      </c>
      <c r="F691" t="s">
        <v>202</v>
      </c>
      <c r="G691">
        <v>0.27500000000000002</v>
      </c>
      <c r="H691">
        <v>-696.5</v>
      </c>
      <c r="I691">
        <v>890.09</v>
      </c>
      <c r="J691">
        <v>0</v>
      </c>
      <c r="K691">
        <v>0</v>
      </c>
      <c r="L691">
        <v>0</v>
      </c>
      <c r="M691">
        <v>0</v>
      </c>
    </row>
    <row r="692" spans="1:13">
      <c r="A692">
        <v>3</v>
      </c>
      <c r="B692" t="s">
        <v>203</v>
      </c>
      <c r="C692">
        <v>22</v>
      </c>
      <c r="D692">
        <v>1</v>
      </c>
      <c r="E692">
        <v>0</v>
      </c>
      <c r="F692" t="s">
        <v>201</v>
      </c>
      <c r="G692">
        <v>0</v>
      </c>
      <c r="H692">
        <v>-696.5</v>
      </c>
      <c r="I692">
        <v>890.09</v>
      </c>
      <c r="J692">
        <v>0</v>
      </c>
      <c r="K692">
        <v>0</v>
      </c>
      <c r="L692">
        <v>0</v>
      </c>
      <c r="M692">
        <v>0</v>
      </c>
    </row>
    <row r="693" spans="1:13">
      <c r="A693">
        <v>3</v>
      </c>
      <c r="B693" t="s">
        <v>203</v>
      </c>
      <c r="C693">
        <v>22</v>
      </c>
      <c r="D693">
        <v>1</v>
      </c>
      <c r="E693">
        <v>0</v>
      </c>
      <c r="F693" t="s">
        <v>202</v>
      </c>
      <c r="G693">
        <v>1.5649999999999999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</row>
    <row r="694" spans="1:13">
      <c r="A694">
        <v>3</v>
      </c>
      <c r="B694" t="s">
        <v>203</v>
      </c>
      <c r="C694">
        <v>23</v>
      </c>
      <c r="D694">
        <v>4</v>
      </c>
      <c r="E694">
        <v>0</v>
      </c>
      <c r="F694" t="s">
        <v>201</v>
      </c>
      <c r="G694">
        <v>0</v>
      </c>
      <c r="H694">
        <v>-74200</v>
      </c>
      <c r="I694">
        <v>18272.2</v>
      </c>
      <c r="J694">
        <v>-6817.38</v>
      </c>
      <c r="K694">
        <v>0</v>
      </c>
      <c r="L694">
        <v>0</v>
      </c>
      <c r="M694">
        <v>0</v>
      </c>
    </row>
    <row r="695" spans="1:13">
      <c r="A695">
        <v>3</v>
      </c>
      <c r="B695" t="s">
        <v>203</v>
      </c>
      <c r="C695">
        <v>23</v>
      </c>
      <c r="D695">
        <v>4</v>
      </c>
      <c r="E695">
        <v>0</v>
      </c>
      <c r="F695" t="s">
        <v>202</v>
      </c>
      <c r="G695">
        <v>1.175</v>
      </c>
      <c r="H695">
        <v>-52730.16</v>
      </c>
      <c r="I695">
        <v>18272.2</v>
      </c>
      <c r="J695">
        <v>-6817.38</v>
      </c>
      <c r="K695">
        <v>0</v>
      </c>
      <c r="L695">
        <v>0</v>
      </c>
      <c r="M695">
        <v>0</v>
      </c>
    </row>
    <row r="696" spans="1:13">
      <c r="A696">
        <v>3</v>
      </c>
      <c r="B696" t="s">
        <v>203</v>
      </c>
      <c r="C696">
        <v>24</v>
      </c>
      <c r="D696">
        <v>2</v>
      </c>
      <c r="E696">
        <v>0</v>
      </c>
      <c r="F696" t="s">
        <v>201</v>
      </c>
      <c r="G696">
        <v>0</v>
      </c>
      <c r="H696">
        <v>-62124.99</v>
      </c>
      <c r="I696">
        <v>14734.67</v>
      </c>
      <c r="J696">
        <v>-27043.88</v>
      </c>
      <c r="K696">
        <v>0</v>
      </c>
      <c r="L696">
        <v>0</v>
      </c>
      <c r="M696">
        <v>0</v>
      </c>
    </row>
    <row r="697" spans="1:13">
      <c r="A697">
        <v>3</v>
      </c>
      <c r="B697" t="s">
        <v>203</v>
      </c>
      <c r="C697">
        <v>24</v>
      </c>
      <c r="D697">
        <v>2</v>
      </c>
      <c r="E697">
        <v>0</v>
      </c>
      <c r="F697" t="s">
        <v>202</v>
      </c>
      <c r="G697">
        <v>1.175</v>
      </c>
      <c r="H697">
        <v>-44811.76</v>
      </c>
      <c r="I697">
        <v>14734.67</v>
      </c>
      <c r="J697">
        <v>-27043.88</v>
      </c>
      <c r="K697">
        <v>0</v>
      </c>
      <c r="L697">
        <v>0</v>
      </c>
      <c r="M697">
        <v>0</v>
      </c>
    </row>
    <row r="698" spans="1:13">
      <c r="A698">
        <v>3</v>
      </c>
      <c r="B698" t="s">
        <v>203</v>
      </c>
      <c r="C698">
        <v>25</v>
      </c>
      <c r="D698">
        <v>4</v>
      </c>
      <c r="E698">
        <v>0</v>
      </c>
      <c r="F698" t="s">
        <v>201</v>
      </c>
      <c r="G698">
        <v>0</v>
      </c>
      <c r="H698">
        <v>-30314.02</v>
      </c>
      <c r="I698">
        <v>7142.67</v>
      </c>
      <c r="J698">
        <v>-24642.39</v>
      </c>
      <c r="K698">
        <v>0</v>
      </c>
      <c r="L698">
        <v>0</v>
      </c>
      <c r="M698">
        <v>0</v>
      </c>
    </row>
    <row r="699" spans="1:13">
      <c r="A699">
        <v>3</v>
      </c>
      <c r="B699" t="s">
        <v>203</v>
      </c>
      <c r="C699">
        <v>25</v>
      </c>
      <c r="D699">
        <v>4</v>
      </c>
      <c r="E699">
        <v>0</v>
      </c>
      <c r="F699" t="s">
        <v>202</v>
      </c>
      <c r="G699">
        <v>1.175</v>
      </c>
      <c r="H699">
        <v>-21921.39</v>
      </c>
      <c r="I699">
        <v>7142.67</v>
      </c>
      <c r="J699">
        <v>-24642.39</v>
      </c>
      <c r="K699">
        <v>0</v>
      </c>
      <c r="L699">
        <v>0</v>
      </c>
      <c r="M699">
        <v>0</v>
      </c>
    </row>
    <row r="700" spans="1:13">
      <c r="A700">
        <v>3</v>
      </c>
      <c r="B700" t="s">
        <v>203</v>
      </c>
      <c r="C700">
        <v>26</v>
      </c>
      <c r="D700">
        <v>0</v>
      </c>
      <c r="E700">
        <v>4</v>
      </c>
      <c r="F700" t="s">
        <v>201</v>
      </c>
      <c r="G700">
        <v>0</v>
      </c>
      <c r="H700">
        <v>0</v>
      </c>
      <c r="I700">
        <v>0</v>
      </c>
      <c r="J700">
        <v>0</v>
      </c>
      <c r="K700">
        <v>3075.18</v>
      </c>
      <c r="L700">
        <v>-727.85</v>
      </c>
      <c r="M700">
        <v>-21444.39</v>
      </c>
    </row>
    <row r="701" spans="1:13">
      <c r="A701">
        <v>3</v>
      </c>
      <c r="B701" t="s">
        <v>203</v>
      </c>
      <c r="C701">
        <v>26</v>
      </c>
      <c r="D701">
        <v>0</v>
      </c>
      <c r="E701">
        <v>4</v>
      </c>
      <c r="F701" t="s">
        <v>202</v>
      </c>
      <c r="G701">
        <v>1.175</v>
      </c>
      <c r="H701">
        <v>0</v>
      </c>
      <c r="I701">
        <v>0</v>
      </c>
      <c r="J701">
        <v>0</v>
      </c>
      <c r="K701">
        <v>2219.9499999999998</v>
      </c>
      <c r="L701">
        <v>-727.85</v>
      </c>
      <c r="M701">
        <v>-21444.39</v>
      </c>
    </row>
    <row r="702" spans="1:13">
      <c r="A702">
        <v>3</v>
      </c>
      <c r="B702" t="s">
        <v>203</v>
      </c>
      <c r="C702">
        <v>27</v>
      </c>
      <c r="D702">
        <v>0</v>
      </c>
      <c r="E702">
        <v>2</v>
      </c>
      <c r="F702" t="s">
        <v>201</v>
      </c>
      <c r="G702">
        <v>0</v>
      </c>
      <c r="H702">
        <v>0</v>
      </c>
      <c r="I702">
        <v>0</v>
      </c>
      <c r="J702">
        <v>0</v>
      </c>
      <c r="K702">
        <v>35227.29</v>
      </c>
      <c r="L702">
        <v>-8327.14</v>
      </c>
      <c r="M702">
        <v>-24127.46</v>
      </c>
    </row>
    <row r="703" spans="1:13">
      <c r="A703">
        <v>3</v>
      </c>
      <c r="B703" t="s">
        <v>203</v>
      </c>
      <c r="C703">
        <v>27</v>
      </c>
      <c r="D703">
        <v>0</v>
      </c>
      <c r="E703">
        <v>2</v>
      </c>
      <c r="F703" t="s">
        <v>202</v>
      </c>
      <c r="G703">
        <v>1.175</v>
      </c>
      <c r="H703">
        <v>0</v>
      </c>
      <c r="I703">
        <v>0</v>
      </c>
      <c r="J703">
        <v>0</v>
      </c>
      <c r="K703">
        <v>25442.9</v>
      </c>
      <c r="L703">
        <v>-8327.14</v>
      </c>
      <c r="M703">
        <v>-24127.46</v>
      </c>
    </row>
    <row r="704" spans="1:13">
      <c r="A704">
        <v>3</v>
      </c>
      <c r="B704" t="s">
        <v>203</v>
      </c>
      <c r="C704">
        <v>28</v>
      </c>
      <c r="D704">
        <v>0</v>
      </c>
      <c r="E704">
        <v>4</v>
      </c>
      <c r="F704" t="s">
        <v>201</v>
      </c>
      <c r="G704">
        <v>0</v>
      </c>
      <c r="H704">
        <v>0</v>
      </c>
      <c r="I704">
        <v>0</v>
      </c>
      <c r="J704">
        <v>0</v>
      </c>
      <c r="K704">
        <v>66557.58</v>
      </c>
      <c r="L704">
        <v>-15838.22</v>
      </c>
      <c r="M704">
        <v>-23362.3</v>
      </c>
    </row>
    <row r="705" spans="1:13">
      <c r="A705">
        <v>3</v>
      </c>
      <c r="B705" t="s">
        <v>203</v>
      </c>
      <c r="C705">
        <v>28</v>
      </c>
      <c r="D705">
        <v>0</v>
      </c>
      <c r="E705">
        <v>4</v>
      </c>
      <c r="F705" t="s">
        <v>202</v>
      </c>
      <c r="G705">
        <v>1.175</v>
      </c>
      <c r="H705">
        <v>0</v>
      </c>
      <c r="I705">
        <v>0</v>
      </c>
      <c r="J705">
        <v>0</v>
      </c>
      <c r="K705">
        <v>47947.67</v>
      </c>
      <c r="L705">
        <v>-15838.22</v>
      </c>
      <c r="M705">
        <v>-23362.3</v>
      </c>
    </row>
    <row r="706" spans="1:13">
      <c r="A706">
        <v>3</v>
      </c>
      <c r="B706" t="s">
        <v>203</v>
      </c>
      <c r="C706">
        <v>29</v>
      </c>
      <c r="D706">
        <v>0</v>
      </c>
      <c r="E706">
        <v>2</v>
      </c>
      <c r="F706" t="s">
        <v>201</v>
      </c>
      <c r="G706">
        <v>0</v>
      </c>
      <c r="H706">
        <v>0</v>
      </c>
      <c r="I706">
        <v>0</v>
      </c>
      <c r="J706">
        <v>0</v>
      </c>
      <c r="K706">
        <v>62442.91</v>
      </c>
      <c r="L706">
        <v>-15292.59</v>
      </c>
      <c r="M706">
        <v>-7790.94</v>
      </c>
    </row>
    <row r="707" spans="1:13">
      <c r="A707">
        <v>3</v>
      </c>
      <c r="B707" t="s">
        <v>203</v>
      </c>
      <c r="C707">
        <v>29</v>
      </c>
      <c r="D707">
        <v>0</v>
      </c>
      <c r="E707">
        <v>2</v>
      </c>
      <c r="F707" t="s">
        <v>202</v>
      </c>
      <c r="G707">
        <v>1.175</v>
      </c>
      <c r="H707">
        <v>0</v>
      </c>
      <c r="I707">
        <v>0</v>
      </c>
      <c r="J707">
        <v>0</v>
      </c>
      <c r="K707">
        <v>44474.12</v>
      </c>
      <c r="L707">
        <v>-15292.59</v>
      </c>
      <c r="M707">
        <v>-7790.94</v>
      </c>
    </row>
    <row r="708" spans="1:13">
      <c r="A708">
        <v>3</v>
      </c>
      <c r="B708" t="s">
        <v>203</v>
      </c>
      <c r="C708">
        <v>30</v>
      </c>
      <c r="D708">
        <v>4</v>
      </c>
      <c r="E708">
        <v>0</v>
      </c>
      <c r="F708" t="s">
        <v>201</v>
      </c>
      <c r="G708">
        <v>0</v>
      </c>
      <c r="H708">
        <v>-52730.16</v>
      </c>
      <c r="I708">
        <v>18272.2</v>
      </c>
      <c r="J708">
        <v>-6817.38</v>
      </c>
      <c r="K708">
        <v>0</v>
      </c>
      <c r="L708">
        <v>0</v>
      </c>
      <c r="M708">
        <v>0</v>
      </c>
    </row>
    <row r="709" spans="1:13">
      <c r="A709">
        <v>3</v>
      </c>
      <c r="B709" t="s">
        <v>203</v>
      </c>
      <c r="C709">
        <v>30</v>
      </c>
      <c r="D709">
        <v>4</v>
      </c>
      <c r="E709">
        <v>0</v>
      </c>
      <c r="F709" t="s">
        <v>202</v>
      </c>
      <c r="G709">
        <v>6.1749999999999998</v>
      </c>
      <c r="H709">
        <v>-41882.53</v>
      </c>
      <c r="I709">
        <v>18272.2</v>
      </c>
      <c r="J709">
        <v>-8298.58</v>
      </c>
      <c r="K709">
        <v>0</v>
      </c>
      <c r="L709">
        <v>0</v>
      </c>
      <c r="M709">
        <v>0</v>
      </c>
    </row>
    <row r="710" spans="1:13">
      <c r="A710">
        <v>3</v>
      </c>
      <c r="B710" t="s">
        <v>203</v>
      </c>
      <c r="C710">
        <v>31</v>
      </c>
      <c r="D710">
        <v>4</v>
      </c>
      <c r="E710">
        <v>0</v>
      </c>
      <c r="F710" t="s">
        <v>201</v>
      </c>
      <c r="G710">
        <v>0</v>
      </c>
      <c r="H710">
        <v>59363.97</v>
      </c>
      <c r="I710">
        <v>18366.810000000001</v>
      </c>
      <c r="J710">
        <v>-3980.48</v>
      </c>
      <c r="K710">
        <v>0</v>
      </c>
      <c r="L710">
        <v>0</v>
      </c>
      <c r="M710">
        <v>0</v>
      </c>
    </row>
    <row r="711" spans="1:13">
      <c r="A711">
        <v>3</v>
      </c>
      <c r="B711" t="s">
        <v>203</v>
      </c>
      <c r="C711">
        <v>31</v>
      </c>
      <c r="D711">
        <v>2</v>
      </c>
      <c r="E711">
        <v>0</v>
      </c>
      <c r="F711" t="s">
        <v>202</v>
      </c>
      <c r="G711">
        <v>6.1749999999999998</v>
      </c>
      <c r="H711">
        <v>-43851.35</v>
      </c>
      <c r="I711">
        <v>14734.67</v>
      </c>
      <c r="J711">
        <v>-28525.08</v>
      </c>
      <c r="K711">
        <v>0</v>
      </c>
      <c r="L711">
        <v>0</v>
      </c>
      <c r="M711">
        <v>0</v>
      </c>
    </row>
    <row r="712" spans="1:13">
      <c r="A712">
        <v>3</v>
      </c>
      <c r="B712" t="s">
        <v>203</v>
      </c>
      <c r="C712">
        <v>32</v>
      </c>
      <c r="D712">
        <v>2</v>
      </c>
      <c r="E712">
        <v>0</v>
      </c>
      <c r="F712" t="s">
        <v>201</v>
      </c>
      <c r="G712">
        <v>0</v>
      </c>
      <c r="H712">
        <v>-36046.730000000003</v>
      </c>
      <c r="I712">
        <v>14636.94</v>
      </c>
      <c r="J712">
        <v>-25304.92</v>
      </c>
      <c r="K712">
        <v>0</v>
      </c>
      <c r="L712">
        <v>0</v>
      </c>
      <c r="M712">
        <v>0</v>
      </c>
    </row>
    <row r="713" spans="1:13">
      <c r="A713">
        <v>3</v>
      </c>
      <c r="B713" t="s">
        <v>203</v>
      </c>
      <c r="C713">
        <v>32</v>
      </c>
      <c r="D713">
        <v>2</v>
      </c>
      <c r="E713">
        <v>0</v>
      </c>
      <c r="F713" t="s">
        <v>202</v>
      </c>
      <c r="G713">
        <v>6.1749999999999998</v>
      </c>
      <c r="H713">
        <v>45953.39</v>
      </c>
      <c r="I713">
        <v>14636.94</v>
      </c>
      <c r="J713">
        <v>-26786.12</v>
      </c>
      <c r="K713">
        <v>0</v>
      </c>
      <c r="L713">
        <v>0</v>
      </c>
      <c r="M713">
        <v>0</v>
      </c>
    </row>
    <row r="714" spans="1:13">
      <c r="A714">
        <v>3</v>
      </c>
      <c r="B714" t="s">
        <v>203</v>
      </c>
      <c r="C714">
        <v>33</v>
      </c>
      <c r="D714">
        <v>4</v>
      </c>
      <c r="E714">
        <v>0</v>
      </c>
      <c r="F714" t="s">
        <v>201</v>
      </c>
      <c r="G714">
        <v>0</v>
      </c>
      <c r="H714">
        <v>-21697.35</v>
      </c>
      <c r="I714">
        <v>7086.69</v>
      </c>
      <c r="J714">
        <v>-23890.95</v>
      </c>
      <c r="K714">
        <v>0</v>
      </c>
      <c r="L714">
        <v>0</v>
      </c>
      <c r="M714">
        <v>0</v>
      </c>
    </row>
    <row r="715" spans="1:13">
      <c r="A715">
        <v>3</v>
      </c>
      <c r="B715" t="s">
        <v>203</v>
      </c>
      <c r="C715">
        <v>33</v>
      </c>
      <c r="D715">
        <v>4</v>
      </c>
      <c r="E715">
        <v>0</v>
      </c>
      <c r="F715" t="s">
        <v>202</v>
      </c>
      <c r="G715">
        <v>6.1749999999999998</v>
      </c>
      <c r="H715">
        <v>-17612.240000000002</v>
      </c>
      <c r="I715">
        <v>7086.69</v>
      </c>
      <c r="J715">
        <v>-25372.15</v>
      </c>
      <c r="K715">
        <v>0</v>
      </c>
      <c r="L715">
        <v>0</v>
      </c>
      <c r="M715">
        <v>0</v>
      </c>
    </row>
    <row r="716" spans="1:13">
      <c r="A716">
        <v>3</v>
      </c>
      <c r="B716" t="s">
        <v>203</v>
      </c>
      <c r="C716">
        <v>34</v>
      </c>
      <c r="D716">
        <v>4</v>
      </c>
      <c r="E716">
        <v>0</v>
      </c>
      <c r="F716" t="s">
        <v>201</v>
      </c>
      <c r="G716">
        <v>0</v>
      </c>
      <c r="H716">
        <v>22121.53</v>
      </c>
      <c r="I716">
        <v>7070.95</v>
      </c>
      <c r="J716">
        <v>-24403.74</v>
      </c>
      <c r="K716">
        <v>0</v>
      </c>
      <c r="L716">
        <v>0</v>
      </c>
      <c r="M716">
        <v>0</v>
      </c>
    </row>
    <row r="717" spans="1:13">
      <c r="A717">
        <v>3</v>
      </c>
      <c r="B717" t="s">
        <v>203</v>
      </c>
      <c r="C717">
        <v>34</v>
      </c>
      <c r="D717">
        <v>0</v>
      </c>
      <c r="E717">
        <v>4</v>
      </c>
      <c r="F717" t="s">
        <v>202</v>
      </c>
      <c r="G717">
        <v>6.1749999999999998</v>
      </c>
      <c r="H717">
        <v>0</v>
      </c>
      <c r="I717">
        <v>0</v>
      </c>
      <c r="J717">
        <v>0</v>
      </c>
      <c r="K717">
        <v>2203.9699999999998</v>
      </c>
      <c r="L717">
        <v>-743.59</v>
      </c>
      <c r="M717">
        <v>-23438.38</v>
      </c>
    </row>
    <row r="718" spans="1:13">
      <c r="A718">
        <v>3</v>
      </c>
      <c r="B718" t="s">
        <v>203</v>
      </c>
      <c r="C718">
        <v>35</v>
      </c>
      <c r="D718">
        <v>0</v>
      </c>
      <c r="E718">
        <v>4</v>
      </c>
      <c r="F718" t="s">
        <v>201</v>
      </c>
      <c r="G718">
        <v>0</v>
      </c>
      <c r="H718">
        <v>0</v>
      </c>
      <c r="I718">
        <v>0</v>
      </c>
      <c r="J718">
        <v>0</v>
      </c>
      <c r="K718">
        <v>2080.16</v>
      </c>
      <c r="L718">
        <v>-795.98</v>
      </c>
      <c r="M718">
        <v>-22604.6</v>
      </c>
    </row>
    <row r="719" spans="1:13">
      <c r="A719">
        <v>3</v>
      </c>
      <c r="B719" t="s">
        <v>203</v>
      </c>
      <c r="C719">
        <v>35</v>
      </c>
      <c r="D719">
        <v>0</v>
      </c>
      <c r="E719">
        <v>4</v>
      </c>
      <c r="F719" t="s">
        <v>202</v>
      </c>
      <c r="G719">
        <v>6.1749999999999998</v>
      </c>
      <c r="H719">
        <v>0</v>
      </c>
      <c r="I719">
        <v>0</v>
      </c>
      <c r="J719">
        <v>0</v>
      </c>
      <c r="K719">
        <v>-2415.44</v>
      </c>
      <c r="L719">
        <v>-795.98</v>
      </c>
      <c r="M719">
        <v>-24085.8</v>
      </c>
    </row>
    <row r="720" spans="1:13">
      <c r="A720">
        <v>3</v>
      </c>
      <c r="B720" t="s">
        <v>203</v>
      </c>
      <c r="C720">
        <v>36</v>
      </c>
      <c r="D720">
        <v>0</v>
      </c>
      <c r="E720">
        <v>2</v>
      </c>
      <c r="F720" t="s">
        <v>201</v>
      </c>
      <c r="G720">
        <v>0</v>
      </c>
      <c r="H720">
        <v>0</v>
      </c>
      <c r="I720">
        <v>0</v>
      </c>
      <c r="J720">
        <v>0</v>
      </c>
      <c r="K720">
        <v>26156.21</v>
      </c>
      <c r="L720">
        <v>-8509.1200000000008</v>
      </c>
      <c r="M720">
        <v>-28285.16</v>
      </c>
    </row>
    <row r="721" spans="1:13">
      <c r="A721">
        <v>3</v>
      </c>
      <c r="B721" t="s">
        <v>203</v>
      </c>
      <c r="C721">
        <v>36</v>
      </c>
      <c r="D721">
        <v>0</v>
      </c>
      <c r="E721">
        <v>2</v>
      </c>
      <c r="F721" t="s">
        <v>202</v>
      </c>
      <c r="G721">
        <v>6.1749999999999998</v>
      </c>
      <c r="H721">
        <v>0</v>
      </c>
      <c r="I721">
        <v>0</v>
      </c>
      <c r="J721">
        <v>0</v>
      </c>
      <c r="K721">
        <v>20166.53</v>
      </c>
      <c r="L721">
        <v>-8509.1200000000008</v>
      </c>
      <c r="M721">
        <v>-29766.36</v>
      </c>
    </row>
    <row r="722" spans="1:13">
      <c r="A722">
        <v>3</v>
      </c>
      <c r="B722" t="s">
        <v>204</v>
      </c>
      <c r="C722">
        <v>1</v>
      </c>
      <c r="D722">
        <v>1</v>
      </c>
      <c r="E722">
        <v>0</v>
      </c>
      <c r="F722" t="s">
        <v>201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</row>
    <row r="723" spans="1:13">
      <c r="A723">
        <v>3</v>
      </c>
      <c r="B723" t="s">
        <v>204</v>
      </c>
      <c r="C723">
        <v>1</v>
      </c>
      <c r="D723">
        <v>1</v>
      </c>
      <c r="E723">
        <v>0</v>
      </c>
      <c r="F723" t="s">
        <v>202</v>
      </c>
      <c r="G723">
        <v>1.5649999999999999</v>
      </c>
      <c r="H723">
        <v>-696.5</v>
      </c>
      <c r="I723">
        <v>-890.09</v>
      </c>
      <c r="J723">
        <v>0</v>
      </c>
      <c r="K723">
        <v>0</v>
      </c>
      <c r="L723">
        <v>0</v>
      </c>
      <c r="M723">
        <v>0</v>
      </c>
    </row>
    <row r="724" spans="1:13">
      <c r="A724">
        <v>3</v>
      </c>
      <c r="B724" t="s">
        <v>204</v>
      </c>
      <c r="C724">
        <v>2</v>
      </c>
      <c r="D724">
        <v>0</v>
      </c>
      <c r="E724">
        <v>0</v>
      </c>
      <c r="F724" t="s">
        <v>201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</row>
    <row r="725" spans="1:13">
      <c r="A725">
        <v>3</v>
      </c>
      <c r="B725" t="s">
        <v>204</v>
      </c>
      <c r="C725">
        <v>2</v>
      </c>
      <c r="D725">
        <v>0</v>
      </c>
      <c r="E725">
        <v>4</v>
      </c>
      <c r="F725" t="s">
        <v>202</v>
      </c>
      <c r="G725">
        <v>0.27500000000000002</v>
      </c>
      <c r="H725">
        <v>0</v>
      </c>
      <c r="I725">
        <v>0</v>
      </c>
      <c r="J725">
        <v>0</v>
      </c>
      <c r="K725">
        <v>-3262.3</v>
      </c>
      <c r="L725">
        <v>-19202</v>
      </c>
      <c r="M725">
        <v>0</v>
      </c>
    </row>
    <row r="726" spans="1:13">
      <c r="A726">
        <v>3</v>
      </c>
      <c r="B726" t="s">
        <v>204</v>
      </c>
      <c r="C726">
        <v>3</v>
      </c>
      <c r="D726">
        <v>4</v>
      </c>
      <c r="E726">
        <v>0</v>
      </c>
      <c r="F726" t="s">
        <v>201</v>
      </c>
      <c r="G726">
        <v>0</v>
      </c>
      <c r="H726">
        <v>70692.12</v>
      </c>
      <c r="I726">
        <v>-12319.77</v>
      </c>
      <c r="J726">
        <v>18246.490000000002</v>
      </c>
      <c r="K726">
        <v>0</v>
      </c>
      <c r="L726">
        <v>0</v>
      </c>
      <c r="M726">
        <v>0</v>
      </c>
    </row>
    <row r="727" spans="1:13">
      <c r="A727">
        <v>3</v>
      </c>
      <c r="B727" t="s">
        <v>204</v>
      </c>
      <c r="C727">
        <v>3</v>
      </c>
      <c r="D727">
        <v>4</v>
      </c>
      <c r="E727">
        <v>0</v>
      </c>
      <c r="F727" t="s">
        <v>202</v>
      </c>
      <c r="G727">
        <v>0.27500000000000002</v>
      </c>
      <c r="H727">
        <v>67282.679999999993</v>
      </c>
      <c r="I727">
        <v>-12476.18</v>
      </c>
      <c r="J727">
        <v>18246.490000000002</v>
      </c>
      <c r="K727">
        <v>0</v>
      </c>
      <c r="L727">
        <v>0</v>
      </c>
      <c r="M727">
        <v>0</v>
      </c>
    </row>
    <row r="728" spans="1:13">
      <c r="A728">
        <v>3</v>
      </c>
      <c r="B728" t="s">
        <v>204</v>
      </c>
      <c r="C728">
        <v>4</v>
      </c>
      <c r="D728">
        <v>4</v>
      </c>
      <c r="E728">
        <v>0</v>
      </c>
      <c r="F728" t="s">
        <v>201</v>
      </c>
      <c r="G728">
        <v>0</v>
      </c>
      <c r="H728">
        <v>67282.679999999993</v>
      </c>
      <c r="I728">
        <v>-12476.18</v>
      </c>
      <c r="J728">
        <v>18246.490000000002</v>
      </c>
      <c r="K728">
        <v>0</v>
      </c>
      <c r="L728">
        <v>0</v>
      </c>
      <c r="M728">
        <v>0</v>
      </c>
    </row>
    <row r="729" spans="1:13">
      <c r="A729">
        <v>3</v>
      </c>
      <c r="B729" t="s">
        <v>204</v>
      </c>
      <c r="C729">
        <v>4</v>
      </c>
      <c r="D729">
        <v>4</v>
      </c>
      <c r="E729">
        <v>0</v>
      </c>
      <c r="F729">
        <v>1</v>
      </c>
      <c r="G729">
        <v>0.875</v>
      </c>
      <c r="H729">
        <v>56366.02</v>
      </c>
      <c r="I729">
        <v>-12476.18</v>
      </c>
      <c r="J729">
        <v>18246.490000000002</v>
      </c>
      <c r="K729">
        <v>0</v>
      </c>
      <c r="L729">
        <v>0</v>
      </c>
      <c r="M729">
        <v>0</v>
      </c>
    </row>
    <row r="730" spans="1:13">
      <c r="A730">
        <v>3</v>
      </c>
      <c r="B730" t="s">
        <v>204</v>
      </c>
      <c r="C730">
        <v>4</v>
      </c>
      <c r="D730">
        <v>4</v>
      </c>
      <c r="E730">
        <v>0</v>
      </c>
      <c r="F730">
        <v>2</v>
      </c>
      <c r="G730">
        <v>2.9609999999999999</v>
      </c>
      <c r="H730">
        <v>21766.71</v>
      </c>
      <c r="I730">
        <v>-17580.009999999998</v>
      </c>
      <c r="J730">
        <v>18246.490000000002</v>
      </c>
      <c r="K730">
        <v>0</v>
      </c>
      <c r="L730">
        <v>0</v>
      </c>
      <c r="M730">
        <v>0</v>
      </c>
    </row>
    <row r="731" spans="1:13">
      <c r="A731">
        <v>3</v>
      </c>
      <c r="B731" t="s">
        <v>204</v>
      </c>
      <c r="C731">
        <v>4</v>
      </c>
      <c r="D731">
        <v>4</v>
      </c>
      <c r="E731">
        <v>0</v>
      </c>
      <c r="F731">
        <v>3</v>
      </c>
      <c r="G731">
        <v>5.0460000000000003</v>
      </c>
      <c r="H731">
        <v>-16123.85</v>
      </c>
      <c r="I731">
        <v>-18765.86</v>
      </c>
      <c r="J731">
        <v>18246.490000000002</v>
      </c>
      <c r="K731">
        <v>0</v>
      </c>
      <c r="L731">
        <v>0</v>
      </c>
      <c r="M731">
        <v>0</v>
      </c>
    </row>
    <row r="732" spans="1:13">
      <c r="A732">
        <v>3</v>
      </c>
      <c r="B732" t="s">
        <v>204</v>
      </c>
      <c r="C732">
        <v>4</v>
      </c>
      <c r="D732">
        <v>4</v>
      </c>
      <c r="E732">
        <v>0</v>
      </c>
      <c r="F732" t="s">
        <v>202</v>
      </c>
      <c r="G732">
        <v>5.92</v>
      </c>
      <c r="H732">
        <v>-32742.400000000001</v>
      </c>
      <c r="I732">
        <v>-19262.939999999999</v>
      </c>
      <c r="J732">
        <v>18246.490000000002</v>
      </c>
      <c r="K732">
        <v>0</v>
      </c>
      <c r="L732">
        <v>0</v>
      </c>
      <c r="M732">
        <v>0</v>
      </c>
    </row>
    <row r="733" spans="1:13">
      <c r="A733">
        <v>3</v>
      </c>
      <c r="B733" t="s">
        <v>204</v>
      </c>
      <c r="C733">
        <v>5</v>
      </c>
      <c r="D733">
        <v>4</v>
      </c>
      <c r="E733">
        <v>0</v>
      </c>
      <c r="F733" t="s">
        <v>201</v>
      </c>
      <c r="G733">
        <v>0</v>
      </c>
      <c r="H733">
        <v>-32742.400000000001</v>
      </c>
      <c r="I733">
        <v>-19262.939999999999</v>
      </c>
      <c r="J733">
        <v>18246.490000000002</v>
      </c>
      <c r="K733">
        <v>0</v>
      </c>
      <c r="L733">
        <v>0</v>
      </c>
      <c r="M733">
        <v>0</v>
      </c>
    </row>
    <row r="734" spans="1:13">
      <c r="A734">
        <v>3</v>
      </c>
      <c r="B734" t="s">
        <v>204</v>
      </c>
      <c r="C734">
        <v>5</v>
      </c>
      <c r="D734">
        <v>4</v>
      </c>
      <c r="E734">
        <v>0</v>
      </c>
      <c r="F734" t="s">
        <v>202</v>
      </c>
      <c r="G734">
        <v>0.27500000000000002</v>
      </c>
      <c r="H734">
        <v>-38061.22</v>
      </c>
      <c r="I734">
        <v>-19419.349999999999</v>
      </c>
      <c r="J734">
        <v>18246.490000000002</v>
      </c>
      <c r="K734">
        <v>0</v>
      </c>
      <c r="L734">
        <v>0</v>
      </c>
      <c r="M734">
        <v>0</v>
      </c>
    </row>
    <row r="735" spans="1:13">
      <c r="A735">
        <v>3</v>
      </c>
      <c r="B735" t="s">
        <v>204</v>
      </c>
      <c r="C735">
        <v>6</v>
      </c>
      <c r="D735">
        <v>2</v>
      </c>
      <c r="E735">
        <v>0</v>
      </c>
      <c r="F735" t="s">
        <v>201</v>
      </c>
      <c r="G735">
        <v>0</v>
      </c>
      <c r="H735">
        <v>23604.52</v>
      </c>
      <c r="I735">
        <v>7578.61</v>
      </c>
      <c r="J735">
        <v>32941.71</v>
      </c>
      <c r="K735">
        <v>0</v>
      </c>
      <c r="L735">
        <v>0</v>
      </c>
      <c r="M735">
        <v>0</v>
      </c>
    </row>
    <row r="736" spans="1:13">
      <c r="A736">
        <v>3</v>
      </c>
      <c r="B736" t="s">
        <v>204</v>
      </c>
      <c r="C736">
        <v>6</v>
      </c>
      <c r="D736">
        <v>2</v>
      </c>
      <c r="E736">
        <v>0</v>
      </c>
      <c r="F736" t="s">
        <v>202</v>
      </c>
      <c r="G736">
        <v>0.27500000000000002</v>
      </c>
      <c r="H736">
        <v>23927.67</v>
      </c>
      <c r="I736">
        <v>-5699.59</v>
      </c>
      <c r="J736">
        <v>32941.71</v>
      </c>
      <c r="K736">
        <v>0</v>
      </c>
      <c r="L736">
        <v>0</v>
      </c>
      <c r="M736">
        <v>0</v>
      </c>
    </row>
    <row r="737" spans="1:13">
      <c r="A737">
        <v>3</v>
      </c>
      <c r="B737" t="s">
        <v>204</v>
      </c>
      <c r="C737">
        <v>7</v>
      </c>
      <c r="D737">
        <v>2</v>
      </c>
      <c r="E737">
        <v>0</v>
      </c>
      <c r="F737" t="s">
        <v>201</v>
      </c>
      <c r="G737">
        <v>0</v>
      </c>
      <c r="H737">
        <v>23927.67</v>
      </c>
      <c r="I737">
        <v>-5699.59</v>
      </c>
      <c r="J737">
        <v>32941.71</v>
      </c>
      <c r="K737">
        <v>0</v>
      </c>
      <c r="L737">
        <v>0</v>
      </c>
      <c r="M737">
        <v>0</v>
      </c>
    </row>
    <row r="738" spans="1:13">
      <c r="A738">
        <v>3</v>
      </c>
      <c r="B738" t="s">
        <v>204</v>
      </c>
      <c r="C738">
        <v>7</v>
      </c>
      <c r="D738">
        <v>2</v>
      </c>
      <c r="E738">
        <v>0</v>
      </c>
      <c r="F738">
        <v>1</v>
      </c>
      <c r="G738">
        <v>0.875</v>
      </c>
      <c r="H738">
        <v>18722.8</v>
      </c>
      <c r="I738">
        <v>-6197.25</v>
      </c>
      <c r="J738">
        <v>32941.71</v>
      </c>
      <c r="K738">
        <v>0</v>
      </c>
      <c r="L738">
        <v>0</v>
      </c>
      <c r="M738">
        <v>0</v>
      </c>
    </row>
    <row r="739" spans="1:13">
      <c r="A739">
        <v>3</v>
      </c>
      <c r="B739" t="s">
        <v>204</v>
      </c>
      <c r="C739">
        <v>7</v>
      </c>
      <c r="D739">
        <v>2</v>
      </c>
      <c r="E739">
        <v>0</v>
      </c>
      <c r="F739">
        <v>2</v>
      </c>
      <c r="G739">
        <v>2.96</v>
      </c>
      <c r="H739">
        <v>4565.3</v>
      </c>
      <c r="I739">
        <v>-7383.09</v>
      </c>
      <c r="J739">
        <v>32941.71</v>
      </c>
      <c r="K739">
        <v>0</v>
      </c>
      <c r="L739">
        <v>0</v>
      </c>
      <c r="M739">
        <v>0</v>
      </c>
    </row>
    <row r="740" spans="1:13">
      <c r="A740">
        <v>3</v>
      </c>
      <c r="B740" t="s">
        <v>204</v>
      </c>
      <c r="C740">
        <v>7</v>
      </c>
      <c r="D740">
        <v>2</v>
      </c>
      <c r="E740">
        <v>0</v>
      </c>
      <c r="F740">
        <v>3</v>
      </c>
      <c r="G740">
        <v>5.0449999999999999</v>
      </c>
      <c r="H740">
        <v>-12064.69</v>
      </c>
      <c r="I740">
        <v>-8568.94</v>
      </c>
      <c r="J740">
        <v>32941.71</v>
      </c>
      <c r="K740">
        <v>0</v>
      </c>
      <c r="L740">
        <v>0</v>
      </c>
      <c r="M740">
        <v>0</v>
      </c>
    </row>
    <row r="741" spans="1:13">
      <c r="A741">
        <v>3</v>
      </c>
      <c r="B741" t="s">
        <v>204</v>
      </c>
      <c r="C741">
        <v>7</v>
      </c>
      <c r="D741">
        <v>2</v>
      </c>
      <c r="E741">
        <v>0</v>
      </c>
      <c r="F741" t="s">
        <v>202</v>
      </c>
      <c r="G741">
        <v>5.92</v>
      </c>
      <c r="H741">
        <v>-19780.240000000002</v>
      </c>
      <c r="I741">
        <v>-9066.59</v>
      </c>
      <c r="J741">
        <v>32941.71</v>
      </c>
      <c r="K741">
        <v>0</v>
      </c>
      <c r="L741">
        <v>0</v>
      </c>
      <c r="M741">
        <v>0</v>
      </c>
    </row>
    <row r="742" spans="1:13">
      <c r="A742">
        <v>3</v>
      </c>
      <c r="B742" t="s">
        <v>204</v>
      </c>
      <c r="C742">
        <v>8</v>
      </c>
      <c r="D742">
        <v>2</v>
      </c>
      <c r="E742">
        <v>0</v>
      </c>
      <c r="F742" t="s">
        <v>201</v>
      </c>
      <c r="G742">
        <v>0</v>
      </c>
      <c r="H742">
        <v>-19780.240000000002</v>
      </c>
      <c r="I742">
        <v>-9066.59</v>
      </c>
      <c r="J742">
        <v>32941.71</v>
      </c>
      <c r="K742">
        <v>0</v>
      </c>
      <c r="L742">
        <v>0</v>
      </c>
      <c r="M742">
        <v>0</v>
      </c>
    </row>
    <row r="743" spans="1:13">
      <c r="A743">
        <v>3</v>
      </c>
      <c r="B743" t="s">
        <v>204</v>
      </c>
      <c r="C743">
        <v>8</v>
      </c>
      <c r="D743">
        <v>2</v>
      </c>
      <c r="E743">
        <v>0</v>
      </c>
      <c r="F743" t="s">
        <v>202</v>
      </c>
      <c r="G743">
        <v>0.27500000000000002</v>
      </c>
      <c r="H743">
        <v>-22295.05</v>
      </c>
      <c r="I743">
        <v>-9223</v>
      </c>
      <c r="J743">
        <v>32941.71</v>
      </c>
      <c r="K743">
        <v>0</v>
      </c>
      <c r="L743">
        <v>0</v>
      </c>
      <c r="M743">
        <v>0</v>
      </c>
    </row>
    <row r="744" spans="1:13">
      <c r="A744">
        <v>3</v>
      </c>
      <c r="B744" t="s">
        <v>204</v>
      </c>
      <c r="C744">
        <v>9</v>
      </c>
      <c r="D744">
        <v>4</v>
      </c>
      <c r="E744">
        <v>0</v>
      </c>
      <c r="F744" t="s">
        <v>201</v>
      </c>
      <c r="G744">
        <v>0</v>
      </c>
      <c r="H744">
        <v>7685.73</v>
      </c>
      <c r="I744">
        <v>15412.44</v>
      </c>
      <c r="J744">
        <v>40046.730000000003</v>
      </c>
      <c r="K744">
        <v>0</v>
      </c>
      <c r="L744">
        <v>0</v>
      </c>
      <c r="M744">
        <v>0</v>
      </c>
    </row>
    <row r="745" spans="1:13">
      <c r="A745">
        <v>3</v>
      </c>
      <c r="B745" t="s">
        <v>204</v>
      </c>
      <c r="C745">
        <v>9</v>
      </c>
      <c r="D745">
        <v>4</v>
      </c>
      <c r="E745">
        <v>0</v>
      </c>
      <c r="F745" t="s">
        <v>202</v>
      </c>
      <c r="G745">
        <v>0.27500000000000002</v>
      </c>
      <c r="H745">
        <v>8623.1</v>
      </c>
      <c r="I745">
        <v>-1471.58</v>
      </c>
      <c r="J745">
        <v>40046.730000000003</v>
      </c>
      <c r="K745">
        <v>0</v>
      </c>
      <c r="L745">
        <v>0</v>
      </c>
      <c r="M745">
        <v>0</v>
      </c>
    </row>
    <row r="746" spans="1:13">
      <c r="A746">
        <v>3</v>
      </c>
      <c r="B746" t="s">
        <v>204</v>
      </c>
      <c r="C746">
        <v>10</v>
      </c>
      <c r="D746">
        <v>4</v>
      </c>
      <c r="E746">
        <v>0</v>
      </c>
      <c r="F746" t="s">
        <v>201</v>
      </c>
      <c r="G746">
        <v>0</v>
      </c>
      <c r="H746">
        <v>8623.1</v>
      </c>
      <c r="I746">
        <v>-1471.58</v>
      </c>
      <c r="J746">
        <v>40046.730000000003</v>
      </c>
      <c r="K746">
        <v>0</v>
      </c>
      <c r="L746">
        <v>0</v>
      </c>
      <c r="M746">
        <v>0</v>
      </c>
    </row>
    <row r="747" spans="1:13">
      <c r="A747">
        <v>3</v>
      </c>
      <c r="B747" t="s">
        <v>204</v>
      </c>
      <c r="C747">
        <v>10</v>
      </c>
      <c r="D747">
        <v>4</v>
      </c>
      <c r="E747">
        <v>0</v>
      </c>
      <c r="F747">
        <v>1</v>
      </c>
      <c r="G747">
        <v>0.875</v>
      </c>
      <c r="H747">
        <v>7117.74</v>
      </c>
      <c r="I747">
        <v>-1969.24</v>
      </c>
      <c r="J747">
        <v>40046.730000000003</v>
      </c>
      <c r="K747">
        <v>0</v>
      </c>
      <c r="L747">
        <v>0</v>
      </c>
      <c r="M747">
        <v>0</v>
      </c>
    </row>
    <row r="748" spans="1:13">
      <c r="A748">
        <v>3</v>
      </c>
      <c r="B748" t="s">
        <v>204</v>
      </c>
      <c r="C748">
        <v>10</v>
      </c>
      <c r="D748">
        <v>4</v>
      </c>
      <c r="E748">
        <v>0</v>
      </c>
      <c r="F748">
        <v>2</v>
      </c>
      <c r="G748">
        <v>2.96</v>
      </c>
      <c r="H748">
        <v>1775.64</v>
      </c>
      <c r="I748">
        <v>-3155.08</v>
      </c>
      <c r="J748">
        <v>40046.730000000003</v>
      </c>
      <c r="K748">
        <v>0</v>
      </c>
      <c r="L748">
        <v>0</v>
      </c>
      <c r="M748">
        <v>0</v>
      </c>
    </row>
    <row r="749" spans="1:13">
      <c r="A749">
        <v>3</v>
      </c>
      <c r="B749" t="s">
        <v>204</v>
      </c>
      <c r="C749">
        <v>10</v>
      </c>
      <c r="D749">
        <v>4</v>
      </c>
      <c r="E749">
        <v>0</v>
      </c>
      <c r="F749">
        <v>3</v>
      </c>
      <c r="G749">
        <v>5.0449999999999999</v>
      </c>
      <c r="H749">
        <v>-6038.94</v>
      </c>
      <c r="I749">
        <v>-4340.92</v>
      </c>
      <c r="J749">
        <v>40046.730000000003</v>
      </c>
      <c r="K749">
        <v>0</v>
      </c>
      <c r="L749">
        <v>0</v>
      </c>
      <c r="M749">
        <v>0</v>
      </c>
    </row>
    <row r="750" spans="1:13">
      <c r="A750">
        <v>3</v>
      </c>
      <c r="B750" t="s">
        <v>204</v>
      </c>
      <c r="C750">
        <v>10</v>
      </c>
      <c r="D750">
        <v>4</v>
      </c>
      <c r="E750">
        <v>0</v>
      </c>
      <c r="F750" t="s">
        <v>202</v>
      </c>
      <c r="G750">
        <v>5.92</v>
      </c>
      <c r="H750">
        <v>-10054.98</v>
      </c>
      <c r="I750">
        <v>-4838.58</v>
      </c>
      <c r="J750">
        <v>40046.730000000003</v>
      </c>
      <c r="K750">
        <v>0</v>
      </c>
      <c r="L750">
        <v>0</v>
      </c>
      <c r="M750">
        <v>0</v>
      </c>
    </row>
    <row r="751" spans="1:13">
      <c r="A751">
        <v>3</v>
      </c>
      <c r="B751" t="s">
        <v>204</v>
      </c>
      <c r="C751">
        <v>11</v>
      </c>
      <c r="D751">
        <v>4</v>
      </c>
      <c r="E751">
        <v>0</v>
      </c>
      <c r="F751" t="s">
        <v>201</v>
      </c>
      <c r="G751">
        <v>0</v>
      </c>
      <c r="H751">
        <v>-10054.98</v>
      </c>
      <c r="I751">
        <v>-4838.58</v>
      </c>
      <c r="J751">
        <v>40046.730000000003</v>
      </c>
      <c r="K751">
        <v>0</v>
      </c>
      <c r="L751">
        <v>0</v>
      </c>
      <c r="M751">
        <v>0</v>
      </c>
    </row>
    <row r="752" spans="1:13">
      <c r="A752">
        <v>3</v>
      </c>
      <c r="B752" t="s">
        <v>204</v>
      </c>
      <c r="C752">
        <v>11</v>
      </c>
      <c r="D752">
        <v>4</v>
      </c>
      <c r="E752">
        <v>0</v>
      </c>
      <c r="F752" t="s">
        <v>202</v>
      </c>
      <c r="G752">
        <v>0.27500000000000002</v>
      </c>
      <c r="H752">
        <v>-11407.09</v>
      </c>
      <c r="I752">
        <v>-4994.99</v>
      </c>
      <c r="J752">
        <v>40046.730000000003</v>
      </c>
      <c r="K752">
        <v>0</v>
      </c>
      <c r="L752">
        <v>0</v>
      </c>
      <c r="M752">
        <v>0</v>
      </c>
    </row>
    <row r="753" spans="1:13">
      <c r="A753">
        <v>3</v>
      </c>
      <c r="B753" t="s">
        <v>204</v>
      </c>
      <c r="C753">
        <v>12</v>
      </c>
      <c r="D753">
        <v>2</v>
      </c>
      <c r="E753">
        <v>0</v>
      </c>
      <c r="F753" t="s">
        <v>201</v>
      </c>
      <c r="G753">
        <v>0</v>
      </c>
      <c r="H753">
        <v>-14323.77</v>
      </c>
      <c r="I753">
        <v>6054.03</v>
      </c>
      <c r="J753">
        <v>39355.15</v>
      </c>
      <c r="K753">
        <v>0</v>
      </c>
      <c r="L753">
        <v>0</v>
      </c>
      <c r="M753">
        <v>0</v>
      </c>
    </row>
    <row r="754" spans="1:13">
      <c r="A754">
        <v>3</v>
      </c>
      <c r="B754" t="s">
        <v>204</v>
      </c>
      <c r="C754">
        <v>12</v>
      </c>
      <c r="D754">
        <v>2</v>
      </c>
      <c r="E754">
        <v>0</v>
      </c>
      <c r="F754" t="s">
        <v>202</v>
      </c>
      <c r="G754">
        <v>0.27500000000000002</v>
      </c>
      <c r="H754">
        <v>-12680.42</v>
      </c>
      <c r="I754">
        <v>5897.63</v>
      </c>
      <c r="J754">
        <v>39355.15</v>
      </c>
      <c r="K754">
        <v>0</v>
      </c>
      <c r="L754">
        <v>0</v>
      </c>
      <c r="M754">
        <v>0</v>
      </c>
    </row>
    <row r="755" spans="1:13">
      <c r="A755">
        <v>3</v>
      </c>
      <c r="B755" t="s">
        <v>204</v>
      </c>
      <c r="C755">
        <v>13</v>
      </c>
      <c r="D755">
        <v>2</v>
      </c>
      <c r="E755">
        <v>0</v>
      </c>
      <c r="F755" t="s">
        <v>201</v>
      </c>
      <c r="G755">
        <v>0</v>
      </c>
      <c r="H755">
        <v>-12680.42</v>
      </c>
      <c r="I755">
        <v>5897.63</v>
      </c>
      <c r="J755">
        <v>39355.15</v>
      </c>
      <c r="K755">
        <v>0</v>
      </c>
      <c r="L755">
        <v>0</v>
      </c>
      <c r="M755">
        <v>0</v>
      </c>
    </row>
    <row r="756" spans="1:13">
      <c r="A756">
        <v>3</v>
      </c>
      <c r="B756" t="s">
        <v>204</v>
      </c>
      <c r="C756">
        <v>13</v>
      </c>
      <c r="D756">
        <v>2</v>
      </c>
      <c r="E756">
        <v>0</v>
      </c>
      <c r="F756">
        <v>1</v>
      </c>
      <c r="G756">
        <v>0.875</v>
      </c>
      <c r="H756">
        <v>-7737.72</v>
      </c>
      <c r="I756">
        <v>5399.97</v>
      </c>
      <c r="J756">
        <v>39355.15</v>
      </c>
      <c r="K756">
        <v>0</v>
      </c>
      <c r="L756">
        <v>0</v>
      </c>
      <c r="M756">
        <v>0</v>
      </c>
    </row>
    <row r="757" spans="1:13">
      <c r="A757">
        <v>3</v>
      </c>
      <c r="B757" t="s">
        <v>204</v>
      </c>
      <c r="C757">
        <v>13</v>
      </c>
      <c r="D757">
        <v>2</v>
      </c>
      <c r="E757">
        <v>0</v>
      </c>
      <c r="F757">
        <v>2</v>
      </c>
      <c r="G757">
        <v>2.96</v>
      </c>
      <c r="H757">
        <v>2284.9699999999998</v>
      </c>
      <c r="I757">
        <v>4214.13</v>
      </c>
      <c r="J757">
        <v>39355.15</v>
      </c>
      <c r="K757">
        <v>0</v>
      </c>
      <c r="L757">
        <v>0</v>
      </c>
      <c r="M757">
        <v>0</v>
      </c>
    </row>
    <row r="758" spans="1:13">
      <c r="A758">
        <v>3</v>
      </c>
      <c r="B758" t="s">
        <v>204</v>
      </c>
      <c r="C758">
        <v>13</v>
      </c>
      <c r="D758">
        <v>2</v>
      </c>
      <c r="E758">
        <v>0</v>
      </c>
      <c r="F758">
        <v>3</v>
      </c>
      <c r="G758">
        <v>5.0449999999999999</v>
      </c>
      <c r="H758">
        <v>9835.18</v>
      </c>
      <c r="I758">
        <v>3028.28</v>
      </c>
      <c r="J758">
        <v>39355.15</v>
      </c>
      <c r="K758">
        <v>0</v>
      </c>
      <c r="L758">
        <v>0</v>
      </c>
      <c r="M758">
        <v>0</v>
      </c>
    </row>
    <row r="759" spans="1:13">
      <c r="A759">
        <v>3</v>
      </c>
      <c r="B759" t="s">
        <v>204</v>
      </c>
      <c r="C759">
        <v>13</v>
      </c>
      <c r="D759">
        <v>2</v>
      </c>
      <c r="E759">
        <v>0</v>
      </c>
      <c r="F759" t="s">
        <v>202</v>
      </c>
      <c r="G759">
        <v>5.92</v>
      </c>
      <c r="H759">
        <v>12267.2</v>
      </c>
      <c r="I759">
        <v>2530.62</v>
      </c>
      <c r="J759">
        <v>39355.15</v>
      </c>
      <c r="K759">
        <v>0</v>
      </c>
      <c r="L759">
        <v>0</v>
      </c>
      <c r="M759">
        <v>0</v>
      </c>
    </row>
    <row r="760" spans="1:13">
      <c r="A760">
        <v>3</v>
      </c>
      <c r="B760" t="s">
        <v>204</v>
      </c>
      <c r="C760">
        <v>14</v>
      </c>
      <c r="D760">
        <v>2</v>
      </c>
      <c r="E760">
        <v>0</v>
      </c>
      <c r="F760" t="s">
        <v>201</v>
      </c>
      <c r="G760">
        <v>0</v>
      </c>
      <c r="H760">
        <v>12267.2</v>
      </c>
      <c r="I760">
        <v>2530.62</v>
      </c>
      <c r="J760">
        <v>39355.15</v>
      </c>
      <c r="K760">
        <v>0</v>
      </c>
      <c r="L760">
        <v>0</v>
      </c>
      <c r="M760">
        <v>0</v>
      </c>
    </row>
    <row r="761" spans="1:13">
      <c r="A761">
        <v>3</v>
      </c>
      <c r="B761" t="s">
        <v>204</v>
      </c>
      <c r="C761">
        <v>14</v>
      </c>
      <c r="D761">
        <v>2</v>
      </c>
      <c r="E761">
        <v>0</v>
      </c>
      <c r="F761" t="s">
        <v>202</v>
      </c>
      <c r="G761">
        <v>0.27500000000000002</v>
      </c>
      <c r="H761">
        <v>11635.83</v>
      </c>
      <c r="I761">
        <v>-14309.15</v>
      </c>
      <c r="J761">
        <v>39355.15</v>
      </c>
      <c r="K761">
        <v>0</v>
      </c>
      <c r="L761">
        <v>0</v>
      </c>
      <c r="M761">
        <v>0</v>
      </c>
    </row>
    <row r="762" spans="1:13">
      <c r="A762">
        <v>3</v>
      </c>
      <c r="B762" t="s">
        <v>204</v>
      </c>
      <c r="C762">
        <v>15</v>
      </c>
      <c r="D762">
        <v>4</v>
      </c>
      <c r="E762">
        <v>0</v>
      </c>
      <c r="F762" t="s">
        <v>201</v>
      </c>
      <c r="G762">
        <v>0</v>
      </c>
      <c r="H762">
        <v>-23258.22</v>
      </c>
      <c r="I762">
        <v>9811.36</v>
      </c>
      <c r="J762">
        <v>31065.66</v>
      </c>
      <c r="K762">
        <v>0</v>
      </c>
      <c r="L762">
        <v>0</v>
      </c>
      <c r="M762">
        <v>0</v>
      </c>
    </row>
    <row r="763" spans="1:13">
      <c r="A763">
        <v>3</v>
      </c>
      <c r="B763" t="s">
        <v>204</v>
      </c>
      <c r="C763">
        <v>15</v>
      </c>
      <c r="D763">
        <v>4</v>
      </c>
      <c r="E763">
        <v>0</v>
      </c>
      <c r="F763" t="s">
        <v>202</v>
      </c>
      <c r="G763">
        <v>0.27500000000000002</v>
      </c>
      <c r="H763">
        <v>-20581.61</v>
      </c>
      <c r="I763">
        <v>9654.9500000000007</v>
      </c>
      <c r="J763">
        <v>31065.66</v>
      </c>
      <c r="K763">
        <v>0</v>
      </c>
      <c r="L763">
        <v>0</v>
      </c>
      <c r="M763">
        <v>0</v>
      </c>
    </row>
    <row r="764" spans="1:13">
      <c r="A764">
        <v>3</v>
      </c>
      <c r="B764" t="s">
        <v>204</v>
      </c>
      <c r="C764">
        <v>16</v>
      </c>
      <c r="D764">
        <v>4</v>
      </c>
      <c r="E764">
        <v>0</v>
      </c>
      <c r="F764" t="s">
        <v>201</v>
      </c>
      <c r="G764">
        <v>0</v>
      </c>
      <c r="H764">
        <v>-20581.61</v>
      </c>
      <c r="I764">
        <v>9654.9500000000007</v>
      </c>
      <c r="J764">
        <v>31065.66</v>
      </c>
      <c r="K764">
        <v>0</v>
      </c>
      <c r="L764">
        <v>0</v>
      </c>
      <c r="M764">
        <v>0</v>
      </c>
    </row>
    <row r="765" spans="1:13">
      <c r="A765">
        <v>3</v>
      </c>
      <c r="B765" t="s">
        <v>204</v>
      </c>
      <c r="C765">
        <v>16</v>
      </c>
      <c r="D765">
        <v>4</v>
      </c>
      <c r="E765">
        <v>0</v>
      </c>
      <c r="F765">
        <v>1</v>
      </c>
      <c r="G765">
        <v>0.875</v>
      </c>
      <c r="H765">
        <v>-12351.25</v>
      </c>
      <c r="I765">
        <v>9157.2900000000009</v>
      </c>
      <c r="J765">
        <v>31065.66</v>
      </c>
      <c r="K765">
        <v>0</v>
      </c>
      <c r="L765">
        <v>0</v>
      </c>
      <c r="M765">
        <v>0</v>
      </c>
    </row>
    <row r="766" spans="1:13">
      <c r="A766">
        <v>3</v>
      </c>
      <c r="B766" t="s">
        <v>204</v>
      </c>
      <c r="C766">
        <v>16</v>
      </c>
      <c r="D766">
        <v>4</v>
      </c>
      <c r="E766">
        <v>0</v>
      </c>
      <c r="F766">
        <v>2</v>
      </c>
      <c r="G766">
        <v>2.96</v>
      </c>
      <c r="H766">
        <v>5505.47</v>
      </c>
      <c r="I766">
        <v>7971.45</v>
      </c>
      <c r="J766">
        <v>31065.66</v>
      </c>
      <c r="K766">
        <v>0</v>
      </c>
      <c r="L766">
        <v>0</v>
      </c>
      <c r="M766">
        <v>0</v>
      </c>
    </row>
    <row r="767" spans="1:13">
      <c r="A767">
        <v>3</v>
      </c>
      <c r="B767" t="s">
        <v>204</v>
      </c>
      <c r="C767">
        <v>16</v>
      </c>
      <c r="D767">
        <v>4</v>
      </c>
      <c r="E767">
        <v>0</v>
      </c>
      <c r="F767">
        <v>3</v>
      </c>
      <c r="G767">
        <v>5.0449999999999999</v>
      </c>
      <c r="H767">
        <v>20889.7</v>
      </c>
      <c r="I767">
        <v>6785.61</v>
      </c>
      <c r="J767">
        <v>31065.66</v>
      </c>
      <c r="K767">
        <v>0</v>
      </c>
      <c r="L767">
        <v>0</v>
      </c>
      <c r="M767">
        <v>0</v>
      </c>
    </row>
    <row r="768" spans="1:13">
      <c r="A768">
        <v>3</v>
      </c>
      <c r="B768" t="s">
        <v>204</v>
      </c>
      <c r="C768">
        <v>16</v>
      </c>
      <c r="D768">
        <v>4</v>
      </c>
      <c r="E768">
        <v>0</v>
      </c>
      <c r="F768" t="s">
        <v>202</v>
      </c>
      <c r="G768">
        <v>5.92</v>
      </c>
      <c r="H768">
        <v>26609.38</v>
      </c>
      <c r="I768">
        <v>6287.95</v>
      </c>
      <c r="J768">
        <v>31065.66</v>
      </c>
      <c r="K768">
        <v>0</v>
      </c>
      <c r="L768">
        <v>0</v>
      </c>
      <c r="M768">
        <v>0</v>
      </c>
    </row>
    <row r="769" spans="1:13">
      <c r="A769">
        <v>3</v>
      </c>
      <c r="B769" t="s">
        <v>204</v>
      </c>
      <c r="C769">
        <v>17</v>
      </c>
      <c r="D769">
        <v>4</v>
      </c>
      <c r="E769">
        <v>0</v>
      </c>
      <c r="F769" t="s">
        <v>201</v>
      </c>
      <c r="G769">
        <v>0</v>
      </c>
      <c r="H769">
        <v>26609.38</v>
      </c>
      <c r="I769">
        <v>6287.95</v>
      </c>
      <c r="J769">
        <v>31065.66</v>
      </c>
      <c r="K769">
        <v>0</v>
      </c>
      <c r="L769">
        <v>0</v>
      </c>
      <c r="M769">
        <v>0</v>
      </c>
    </row>
    <row r="770" spans="1:13">
      <c r="A770">
        <v>3</v>
      </c>
      <c r="B770" t="s">
        <v>204</v>
      </c>
      <c r="C770">
        <v>17</v>
      </c>
      <c r="D770">
        <v>4</v>
      </c>
      <c r="E770">
        <v>0</v>
      </c>
      <c r="F770" t="s">
        <v>202</v>
      </c>
      <c r="G770">
        <v>0.27500000000000002</v>
      </c>
      <c r="H770">
        <v>26457.5</v>
      </c>
      <c r="I770">
        <v>-6999.37</v>
      </c>
      <c r="J770">
        <v>31065.66</v>
      </c>
      <c r="K770">
        <v>0</v>
      </c>
      <c r="L770">
        <v>0</v>
      </c>
      <c r="M770">
        <v>0</v>
      </c>
    </row>
    <row r="771" spans="1:13">
      <c r="A771">
        <v>3</v>
      </c>
      <c r="B771" t="s">
        <v>204</v>
      </c>
      <c r="C771">
        <v>18</v>
      </c>
      <c r="D771">
        <v>2</v>
      </c>
      <c r="E771">
        <v>0</v>
      </c>
      <c r="F771" t="s">
        <v>201</v>
      </c>
      <c r="G771">
        <v>0</v>
      </c>
      <c r="H771">
        <v>-39640.82</v>
      </c>
      <c r="I771">
        <v>16317.01</v>
      </c>
      <c r="J771">
        <v>15266.88</v>
      </c>
      <c r="K771">
        <v>0</v>
      </c>
      <c r="L771">
        <v>0</v>
      </c>
      <c r="M771">
        <v>0</v>
      </c>
    </row>
    <row r="772" spans="1:13">
      <c r="A772">
        <v>3</v>
      </c>
      <c r="B772" t="s">
        <v>204</v>
      </c>
      <c r="C772">
        <v>18</v>
      </c>
      <c r="D772">
        <v>2</v>
      </c>
      <c r="E772">
        <v>0</v>
      </c>
      <c r="F772" t="s">
        <v>202</v>
      </c>
      <c r="G772">
        <v>0.27500000000000002</v>
      </c>
      <c r="H772">
        <v>-35175.15</v>
      </c>
      <c r="I772">
        <v>16160.61</v>
      </c>
      <c r="J772">
        <v>15266.88</v>
      </c>
      <c r="K772">
        <v>0</v>
      </c>
      <c r="L772">
        <v>0</v>
      </c>
      <c r="M772">
        <v>0</v>
      </c>
    </row>
    <row r="773" spans="1:13">
      <c r="A773">
        <v>3</v>
      </c>
      <c r="B773" t="s">
        <v>204</v>
      </c>
      <c r="C773">
        <v>19</v>
      </c>
      <c r="D773">
        <v>2</v>
      </c>
      <c r="E773">
        <v>0</v>
      </c>
      <c r="F773" t="s">
        <v>201</v>
      </c>
      <c r="G773">
        <v>0</v>
      </c>
      <c r="H773">
        <v>-35175.15</v>
      </c>
      <c r="I773">
        <v>16160.61</v>
      </c>
      <c r="J773">
        <v>15266.88</v>
      </c>
      <c r="K773">
        <v>0</v>
      </c>
      <c r="L773">
        <v>0</v>
      </c>
      <c r="M773">
        <v>0</v>
      </c>
    </row>
    <row r="774" spans="1:13">
      <c r="A774">
        <v>3</v>
      </c>
      <c r="B774" t="s">
        <v>204</v>
      </c>
      <c r="C774">
        <v>19</v>
      </c>
      <c r="D774">
        <v>2</v>
      </c>
      <c r="E774">
        <v>0</v>
      </c>
      <c r="F774">
        <v>1</v>
      </c>
      <c r="G774">
        <v>0.875</v>
      </c>
      <c r="H774">
        <v>-21034.62</v>
      </c>
      <c r="I774">
        <v>16160.61</v>
      </c>
      <c r="J774">
        <v>15266.88</v>
      </c>
      <c r="K774">
        <v>0</v>
      </c>
      <c r="L774">
        <v>0</v>
      </c>
      <c r="M774">
        <v>0</v>
      </c>
    </row>
    <row r="775" spans="1:13">
      <c r="A775">
        <v>3</v>
      </c>
      <c r="B775" t="s">
        <v>204</v>
      </c>
      <c r="C775">
        <v>19</v>
      </c>
      <c r="D775">
        <v>2</v>
      </c>
      <c r="E775">
        <v>0</v>
      </c>
      <c r="F775">
        <v>2</v>
      </c>
      <c r="G775">
        <v>2.96</v>
      </c>
      <c r="H775">
        <v>12660.25</v>
      </c>
      <c r="I775">
        <v>16160.61</v>
      </c>
      <c r="J775">
        <v>15266.88</v>
      </c>
      <c r="K775">
        <v>0</v>
      </c>
      <c r="L775">
        <v>0</v>
      </c>
      <c r="M775">
        <v>0</v>
      </c>
    </row>
    <row r="776" spans="1:13">
      <c r="A776">
        <v>3</v>
      </c>
      <c r="B776" t="s">
        <v>204</v>
      </c>
      <c r="C776">
        <v>19</v>
      </c>
      <c r="D776">
        <v>2</v>
      </c>
      <c r="E776">
        <v>0</v>
      </c>
      <c r="F776">
        <v>3</v>
      </c>
      <c r="G776">
        <v>5.0449999999999999</v>
      </c>
      <c r="H776">
        <v>45494.83</v>
      </c>
      <c r="I776">
        <v>12004.31</v>
      </c>
      <c r="J776">
        <v>15266.88</v>
      </c>
      <c r="K776">
        <v>0</v>
      </c>
      <c r="L776">
        <v>0</v>
      </c>
      <c r="M776">
        <v>0</v>
      </c>
    </row>
    <row r="777" spans="1:13">
      <c r="A777">
        <v>3</v>
      </c>
      <c r="B777" t="s">
        <v>204</v>
      </c>
      <c r="C777">
        <v>19</v>
      </c>
      <c r="D777">
        <v>2</v>
      </c>
      <c r="E777">
        <v>0</v>
      </c>
      <c r="F777" t="s">
        <v>202</v>
      </c>
      <c r="G777">
        <v>5.92</v>
      </c>
      <c r="H777">
        <v>55780.88</v>
      </c>
      <c r="I777">
        <v>11506.66</v>
      </c>
      <c r="J777">
        <v>15266.88</v>
      </c>
      <c r="K777">
        <v>0</v>
      </c>
      <c r="L777">
        <v>0</v>
      </c>
      <c r="M777">
        <v>0</v>
      </c>
    </row>
    <row r="778" spans="1:13">
      <c r="A778">
        <v>3</v>
      </c>
      <c r="B778" t="s">
        <v>204</v>
      </c>
      <c r="C778">
        <v>20</v>
      </c>
      <c r="D778">
        <v>2</v>
      </c>
      <c r="E778">
        <v>0</v>
      </c>
      <c r="F778" t="s">
        <v>201</v>
      </c>
      <c r="G778">
        <v>0</v>
      </c>
      <c r="H778">
        <v>55780.88</v>
      </c>
      <c r="I778">
        <v>11506.66</v>
      </c>
      <c r="J778">
        <v>15266.88</v>
      </c>
      <c r="K778">
        <v>0</v>
      </c>
      <c r="L778">
        <v>0</v>
      </c>
      <c r="M778">
        <v>0</v>
      </c>
    </row>
    <row r="779" spans="1:13">
      <c r="A779">
        <v>3</v>
      </c>
      <c r="B779" t="s">
        <v>204</v>
      </c>
      <c r="C779">
        <v>20</v>
      </c>
      <c r="D779">
        <v>2</v>
      </c>
      <c r="E779">
        <v>0</v>
      </c>
      <c r="F779" t="s">
        <v>202</v>
      </c>
      <c r="G779">
        <v>0.27500000000000002</v>
      </c>
      <c r="H779">
        <v>58923.71</v>
      </c>
      <c r="I779">
        <v>11350.25</v>
      </c>
      <c r="J779">
        <v>15266.88</v>
      </c>
      <c r="K779">
        <v>0</v>
      </c>
      <c r="L779">
        <v>0</v>
      </c>
      <c r="M779">
        <v>0</v>
      </c>
    </row>
    <row r="780" spans="1:13">
      <c r="A780">
        <v>3</v>
      </c>
      <c r="B780" t="s">
        <v>204</v>
      </c>
      <c r="C780">
        <v>21</v>
      </c>
      <c r="D780">
        <v>2</v>
      </c>
      <c r="E780">
        <v>4</v>
      </c>
      <c r="F780" t="s">
        <v>201</v>
      </c>
      <c r="G780">
        <v>0</v>
      </c>
      <c r="H780">
        <v>-3273.63</v>
      </c>
      <c r="I780">
        <v>19206.04</v>
      </c>
      <c r="J780">
        <v>0</v>
      </c>
      <c r="K780">
        <v>-3340.41</v>
      </c>
      <c r="L780">
        <v>19731.89</v>
      </c>
      <c r="M780">
        <v>0</v>
      </c>
    </row>
    <row r="781" spans="1:13">
      <c r="A781">
        <v>3</v>
      </c>
      <c r="B781" t="s">
        <v>204</v>
      </c>
      <c r="C781">
        <v>21</v>
      </c>
      <c r="D781">
        <v>1</v>
      </c>
      <c r="E781">
        <v>1</v>
      </c>
      <c r="F781" t="s">
        <v>202</v>
      </c>
      <c r="G781">
        <v>0.27500000000000002</v>
      </c>
      <c r="H781">
        <v>-696.5</v>
      </c>
      <c r="I781">
        <v>890.09</v>
      </c>
      <c r="J781">
        <v>0</v>
      </c>
      <c r="K781">
        <v>-696.5</v>
      </c>
      <c r="L781">
        <v>890.09</v>
      </c>
      <c r="M781">
        <v>0</v>
      </c>
    </row>
    <row r="782" spans="1:13">
      <c r="A782">
        <v>3</v>
      </c>
      <c r="B782" t="s">
        <v>204</v>
      </c>
      <c r="C782">
        <v>22</v>
      </c>
      <c r="D782">
        <v>1</v>
      </c>
      <c r="E782">
        <v>0</v>
      </c>
      <c r="F782" t="s">
        <v>201</v>
      </c>
      <c r="G782">
        <v>0</v>
      </c>
      <c r="H782">
        <v>-696.5</v>
      </c>
      <c r="I782">
        <v>890.09</v>
      </c>
      <c r="J782">
        <v>0</v>
      </c>
      <c r="K782">
        <v>0</v>
      </c>
      <c r="L782">
        <v>0</v>
      </c>
      <c r="M782">
        <v>0</v>
      </c>
    </row>
    <row r="783" spans="1:13">
      <c r="A783">
        <v>3</v>
      </c>
      <c r="B783" t="s">
        <v>204</v>
      </c>
      <c r="C783">
        <v>22</v>
      </c>
      <c r="D783">
        <v>1</v>
      </c>
      <c r="E783">
        <v>0</v>
      </c>
      <c r="F783" t="s">
        <v>202</v>
      </c>
      <c r="G783">
        <v>1.5649999999999999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</row>
    <row r="784" spans="1:13">
      <c r="A784">
        <v>3</v>
      </c>
      <c r="B784" t="s">
        <v>204</v>
      </c>
      <c r="C784">
        <v>23</v>
      </c>
      <c r="D784">
        <v>0</v>
      </c>
      <c r="E784">
        <v>2</v>
      </c>
      <c r="F784" t="s">
        <v>201</v>
      </c>
      <c r="G784">
        <v>0</v>
      </c>
      <c r="H784">
        <v>0</v>
      </c>
      <c r="I784">
        <v>0</v>
      </c>
      <c r="J784">
        <v>0</v>
      </c>
      <c r="K784">
        <v>-15496.75</v>
      </c>
      <c r="L784">
        <v>3772.99</v>
      </c>
      <c r="M784">
        <v>-20544.84</v>
      </c>
    </row>
    <row r="785" spans="1:13">
      <c r="A785">
        <v>3</v>
      </c>
      <c r="B785" t="s">
        <v>204</v>
      </c>
      <c r="C785">
        <v>23</v>
      </c>
      <c r="D785">
        <v>0</v>
      </c>
      <c r="E785">
        <v>2</v>
      </c>
      <c r="F785" t="s">
        <v>202</v>
      </c>
      <c r="G785">
        <v>1.175</v>
      </c>
      <c r="H785">
        <v>0</v>
      </c>
      <c r="I785">
        <v>0</v>
      </c>
      <c r="J785">
        <v>0</v>
      </c>
      <c r="K785">
        <v>-11063.48</v>
      </c>
      <c r="L785">
        <v>3772.99</v>
      </c>
      <c r="M785">
        <v>-20544.84</v>
      </c>
    </row>
    <row r="786" spans="1:13">
      <c r="A786">
        <v>3</v>
      </c>
      <c r="B786" t="s">
        <v>204</v>
      </c>
      <c r="C786">
        <v>24</v>
      </c>
      <c r="D786">
        <v>0</v>
      </c>
      <c r="E786">
        <v>2</v>
      </c>
      <c r="F786" t="s">
        <v>201</v>
      </c>
      <c r="G786">
        <v>0</v>
      </c>
      <c r="H786">
        <v>0</v>
      </c>
      <c r="I786">
        <v>0</v>
      </c>
      <c r="J786">
        <v>0</v>
      </c>
      <c r="K786">
        <v>-61830.54</v>
      </c>
      <c r="L786">
        <v>14664.59</v>
      </c>
      <c r="M786">
        <v>-27072.05</v>
      </c>
    </row>
    <row r="787" spans="1:13">
      <c r="A787">
        <v>3</v>
      </c>
      <c r="B787" t="s">
        <v>204</v>
      </c>
      <c r="C787">
        <v>24</v>
      </c>
      <c r="D787">
        <v>0</v>
      </c>
      <c r="E787">
        <v>2</v>
      </c>
      <c r="F787" t="s">
        <v>202</v>
      </c>
      <c r="G787">
        <v>1.175</v>
      </c>
      <c r="H787">
        <v>0</v>
      </c>
      <c r="I787">
        <v>0</v>
      </c>
      <c r="J787">
        <v>0</v>
      </c>
      <c r="K787">
        <v>-44599.66</v>
      </c>
      <c r="L787">
        <v>14664.59</v>
      </c>
      <c r="M787">
        <v>-27072.05</v>
      </c>
    </row>
    <row r="788" spans="1:13">
      <c r="A788">
        <v>3</v>
      </c>
      <c r="B788" t="s">
        <v>204</v>
      </c>
      <c r="C788">
        <v>25</v>
      </c>
      <c r="D788">
        <v>0</v>
      </c>
      <c r="E788">
        <v>2</v>
      </c>
      <c r="F788" t="s">
        <v>201</v>
      </c>
      <c r="G788">
        <v>0</v>
      </c>
      <c r="H788">
        <v>0</v>
      </c>
      <c r="I788">
        <v>0</v>
      </c>
      <c r="J788">
        <v>0</v>
      </c>
      <c r="K788">
        <v>-30017.599999999999</v>
      </c>
      <c r="L788">
        <v>7070.23</v>
      </c>
      <c r="M788">
        <v>-24871.27</v>
      </c>
    </row>
    <row r="789" spans="1:13">
      <c r="A789">
        <v>3</v>
      </c>
      <c r="B789" t="s">
        <v>204</v>
      </c>
      <c r="C789">
        <v>25</v>
      </c>
      <c r="D789">
        <v>0</v>
      </c>
      <c r="E789">
        <v>2</v>
      </c>
      <c r="F789" t="s">
        <v>202</v>
      </c>
      <c r="G789">
        <v>1.175</v>
      </c>
      <c r="H789">
        <v>0</v>
      </c>
      <c r="I789">
        <v>0</v>
      </c>
      <c r="J789">
        <v>0</v>
      </c>
      <c r="K789">
        <v>-21710.080000000002</v>
      </c>
      <c r="L789">
        <v>7070.23</v>
      </c>
      <c r="M789">
        <v>-24871.27</v>
      </c>
    </row>
    <row r="790" spans="1:13">
      <c r="A790">
        <v>3</v>
      </c>
      <c r="B790" t="s">
        <v>204</v>
      </c>
      <c r="C790">
        <v>26</v>
      </c>
      <c r="D790">
        <v>0</v>
      </c>
      <c r="E790">
        <v>3</v>
      </c>
      <c r="F790" t="s">
        <v>201</v>
      </c>
      <c r="G790">
        <v>0</v>
      </c>
      <c r="H790">
        <v>0</v>
      </c>
      <c r="I790">
        <v>0</v>
      </c>
      <c r="J790">
        <v>0</v>
      </c>
      <c r="K790">
        <v>2769.38</v>
      </c>
      <c r="L790">
        <v>-656.55</v>
      </c>
      <c r="M790">
        <v>-21444.400000000001</v>
      </c>
    </row>
    <row r="791" spans="1:13">
      <c r="A791">
        <v>3</v>
      </c>
      <c r="B791" t="s">
        <v>204</v>
      </c>
      <c r="C791">
        <v>26</v>
      </c>
      <c r="D791">
        <v>0</v>
      </c>
      <c r="E791">
        <v>3</v>
      </c>
      <c r="F791" t="s">
        <v>202</v>
      </c>
      <c r="G791">
        <v>1.175</v>
      </c>
      <c r="H791">
        <v>0</v>
      </c>
      <c r="I791">
        <v>0</v>
      </c>
      <c r="J791">
        <v>0</v>
      </c>
      <c r="K791">
        <v>1997.93</v>
      </c>
      <c r="L791">
        <v>-656.55</v>
      </c>
      <c r="M791">
        <v>-21444.400000000001</v>
      </c>
    </row>
    <row r="792" spans="1:13">
      <c r="A792">
        <v>3</v>
      </c>
      <c r="B792" t="s">
        <v>204</v>
      </c>
      <c r="C792">
        <v>27</v>
      </c>
      <c r="D792">
        <v>0</v>
      </c>
      <c r="E792">
        <v>4</v>
      </c>
      <c r="F792" t="s">
        <v>201</v>
      </c>
      <c r="G792">
        <v>0</v>
      </c>
      <c r="H792">
        <v>0</v>
      </c>
      <c r="I792">
        <v>0</v>
      </c>
      <c r="J792">
        <v>0</v>
      </c>
      <c r="K792">
        <v>34930.86</v>
      </c>
      <c r="L792">
        <v>-8254.7000000000007</v>
      </c>
      <c r="M792">
        <v>-24356.34</v>
      </c>
    </row>
    <row r="793" spans="1:13">
      <c r="A793">
        <v>3</v>
      </c>
      <c r="B793" t="s">
        <v>204</v>
      </c>
      <c r="C793">
        <v>27</v>
      </c>
      <c r="D793">
        <v>0</v>
      </c>
      <c r="E793">
        <v>4</v>
      </c>
      <c r="F793" t="s">
        <v>202</v>
      </c>
      <c r="G793">
        <v>1.175</v>
      </c>
      <c r="H793">
        <v>0</v>
      </c>
      <c r="I793">
        <v>0</v>
      </c>
      <c r="J793">
        <v>0</v>
      </c>
      <c r="K793">
        <v>25231.59</v>
      </c>
      <c r="L793">
        <v>-8254.7000000000007</v>
      </c>
      <c r="M793">
        <v>-24356.34</v>
      </c>
    </row>
    <row r="794" spans="1:13">
      <c r="A794">
        <v>3</v>
      </c>
      <c r="B794" t="s">
        <v>204</v>
      </c>
      <c r="C794">
        <v>28</v>
      </c>
      <c r="D794">
        <v>0</v>
      </c>
      <c r="E794">
        <v>4</v>
      </c>
      <c r="F794" t="s">
        <v>201</v>
      </c>
      <c r="G794">
        <v>0</v>
      </c>
      <c r="H794">
        <v>0</v>
      </c>
      <c r="I794">
        <v>0</v>
      </c>
      <c r="J794">
        <v>0</v>
      </c>
      <c r="K794">
        <v>66263.14</v>
      </c>
      <c r="L794">
        <v>-15768.14</v>
      </c>
      <c r="M794">
        <v>-23390.48</v>
      </c>
    </row>
    <row r="795" spans="1:13">
      <c r="A795">
        <v>3</v>
      </c>
      <c r="B795" t="s">
        <v>204</v>
      </c>
      <c r="C795">
        <v>28</v>
      </c>
      <c r="D795">
        <v>0</v>
      </c>
      <c r="E795">
        <v>4</v>
      </c>
      <c r="F795" t="s">
        <v>202</v>
      </c>
      <c r="G795">
        <v>1.175</v>
      </c>
      <c r="H795">
        <v>0</v>
      </c>
      <c r="I795">
        <v>0</v>
      </c>
      <c r="J795">
        <v>0</v>
      </c>
      <c r="K795">
        <v>47735.57</v>
      </c>
      <c r="L795">
        <v>-15768.14</v>
      </c>
      <c r="M795">
        <v>-23390.48</v>
      </c>
    </row>
    <row r="796" spans="1:13">
      <c r="A796">
        <v>3</v>
      </c>
      <c r="B796" t="s">
        <v>204</v>
      </c>
      <c r="C796">
        <v>29</v>
      </c>
      <c r="D796">
        <v>0</v>
      </c>
      <c r="E796">
        <v>4</v>
      </c>
      <c r="F796" t="s">
        <v>201</v>
      </c>
      <c r="G796">
        <v>0</v>
      </c>
      <c r="H796">
        <v>0</v>
      </c>
      <c r="I796">
        <v>0</v>
      </c>
      <c r="J796">
        <v>0</v>
      </c>
      <c r="K796">
        <v>13690.1</v>
      </c>
      <c r="L796">
        <v>-3284.65</v>
      </c>
      <c r="M796">
        <v>-20207.84</v>
      </c>
    </row>
    <row r="797" spans="1:13">
      <c r="A797">
        <v>3</v>
      </c>
      <c r="B797" t="s">
        <v>204</v>
      </c>
      <c r="C797">
        <v>29</v>
      </c>
      <c r="D797">
        <v>0</v>
      </c>
      <c r="E797">
        <v>4</v>
      </c>
      <c r="F797" t="s">
        <v>202</v>
      </c>
      <c r="G797">
        <v>1.175</v>
      </c>
      <c r="H797">
        <v>0</v>
      </c>
      <c r="I797">
        <v>0</v>
      </c>
      <c r="J797">
        <v>0</v>
      </c>
      <c r="K797">
        <v>9830.64</v>
      </c>
      <c r="L797">
        <v>-3284.65</v>
      </c>
      <c r="M797">
        <v>-20207.84</v>
      </c>
    </row>
    <row r="798" spans="1:13">
      <c r="A798">
        <v>3</v>
      </c>
      <c r="B798" t="s">
        <v>204</v>
      </c>
      <c r="C798">
        <v>30</v>
      </c>
      <c r="D798">
        <v>0</v>
      </c>
      <c r="E798">
        <v>2</v>
      </c>
      <c r="F798" t="s">
        <v>201</v>
      </c>
      <c r="G798">
        <v>0</v>
      </c>
      <c r="H798">
        <v>0</v>
      </c>
      <c r="I798">
        <v>0</v>
      </c>
      <c r="J798">
        <v>0</v>
      </c>
      <c r="K798">
        <v>-11063.48</v>
      </c>
      <c r="L798">
        <v>3772.99</v>
      </c>
      <c r="M798">
        <v>-20544.84</v>
      </c>
    </row>
    <row r="799" spans="1:13">
      <c r="A799">
        <v>3</v>
      </c>
      <c r="B799" t="s">
        <v>204</v>
      </c>
      <c r="C799">
        <v>30</v>
      </c>
      <c r="D799">
        <v>0</v>
      </c>
      <c r="E799">
        <v>2</v>
      </c>
      <c r="F799" t="s">
        <v>202</v>
      </c>
      <c r="G799">
        <v>6.1749999999999998</v>
      </c>
      <c r="H799">
        <v>0</v>
      </c>
      <c r="I799">
        <v>0</v>
      </c>
      <c r="J799">
        <v>0</v>
      </c>
      <c r="K799">
        <v>-8552.8799999999992</v>
      </c>
      <c r="L799">
        <v>3772.99</v>
      </c>
      <c r="M799">
        <v>-22026.04</v>
      </c>
    </row>
    <row r="800" spans="1:13">
      <c r="A800">
        <v>3</v>
      </c>
      <c r="B800" t="s">
        <v>204</v>
      </c>
      <c r="C800">
        <v>31</v>
      </c>
      <c r="D800">
        <v>0</v>
      </c>
      <c r="E800">
        <v>2</v>
      </c>
      <c r="F800" t="s">
        <v>201</v>
      </c>
      <c r="G800">
        <v>0</v>
      </c>
      <c r="H800">
        <v>0</v>
      </c>
      <c r="I800">
        <v>0</v>
      </c>
      <c r="J800">
        <v>0</v>
      </c>
      <c r="K800">
        <v>11498.07</v>
      </c>
      <c r="L800">
        <v>3867.61</v>
      </c>
      <c r="M800">
        <v>-17707.939999999999</v>
      </c>
    </row>
    <row r="801" spans="1:13">
      <c r="A801">
        <v>3</v>
      </c>
      <c r="B801" t="s">
        <v>204</v>
      </c>
      <c r="C801">
        <v>31</v>
      </c>
      <c r="D801">
        <v>0</v>
      </c>
      <c r="E801">
        <v>2</v>
      </c>
      <c r="F801" t="s">
        <v>202</v>
      </c>
      <c r="G801">
        <v>6.1749999999999998</v>
      </c>
      <c r="H801">
        <v>0</v>
      </c>
      <c r="I801">
        <v>0</v>
      </c>
      <c r="J801">
        <v>0</v>
      </c>
      <c r="K801">
        <v>-43639.25</v>
      </c>
      <c r="L801">
        <v>14664.59</v>
      </c>
      <c r="M801">
        <v>-28553.25</v>
      </c>
    </row>
    <row r="802" spans="1:13">
      <c r="A802">
        <v>3</v>
      </c>
      <c r="B802" t="s">
        <v>204</v>
      </c>
      <c r="C802">
        <v>32</v>
      </c>
      <c r="D802">
        <v>0</v>
      </c>
      <c r="E802">
        <v>2</v>
      </c>
      <c r="F802" t="s">
        <v>201</v>
      </c>
      <c r="G802">
        <v>0</v>
      </c>
      <c r="H802">
        <v>0</v>
      </c>
      <c r="I802">
        <v>0</v>
      </c>
      <c r="J802">
        <v>0</v>
      </c>
      <c r="K802">
        <v>-35874.92</v>
      </c>
      <c r="L802">
        <v>14566.87</v>
      </c>
      <c r="M802">
        <v>-25333.1</v>
      </c>
    </row>
    <row r="803" spans="1:13">
      <c r="A803">
        <v>3</v>
      </c>
      <c r="B803" t="s">
        <v>204</v>
      </c>
      <c r="C803">
        <v>32</v>
      </c>
      <c r="D803">
        <v>0</v>
      </c>
      <c r="E803">
        <v>2</v>
      </c>
      <c r="F803" t="s">
        <v>202</v>
      </c>
      <c r="G803">
        <v>6.1749999999999998</v>
      </c>
      <c r="H803">
        <v>0</v>
      </c>
      <c r="I803">
        <v>0</v>
      </c>
      <c r="J803">
        <v>0</v>
      </c>
      <c r="K803">
        <v>45732.76</v>
      </c>
      <c r="L803">
        <v>14566.87</v>
      </c>
      <c r="M803">
        <v>-26814.29</v>
      </c>
    </row>
    <row r="804" spans="1:13">
      <c r="A804">
        <v>3</v>
      </c>
      <c r="B804" t="s">
        <v>204</v>
      </c>
      <c r="C804">
        <v>33</v>
      </c>
      <c r="D804">
        <v>0</v>
      </c>
      <c r="E804">
        <v>2</v>
      </c>
      <c r="F804" t="s">
        <v>201</v>
      </c>
      <c r="G804">
        <v>0</v>
      </c>
      <c r="H804">
        <v>0</v>
      </c>
      <c r="I804">
        <v>0</v>
      </c>
      <c r="J804">
        <v>0</v>
      </c>
      <c r="K804">
        <v>-21486.04</v>
      </c>
      <c r="L804">
        <v>7014.25</v>
      </c>
      <c r="M804">
        <v>-24119.84</v>
      </c>
    </row>
    <row r="805" spans="1:13">
      <c r="A805">
        <v>3</v>
      </c>
      <c r="B805" t="s">
        <v>204</v>
      </c>
      <c r="C805">
        <v>33</v>
      </c>
      <c r="D805">
        <v>0</v>
      </c>
      <c r="E805">
        <v>2</v>
      </c>
      <c r="F805" t="s">
        <v>202</v>
      </c>
      <c r="G805">
        <v>6.1749999999999998</v>
      </c>
      <c r="H805">
        <v>0</v>
      </c>
      <c r="I805">
        <v>0</v>
      </c>
      <c r="J805">
        <v>0</v>
      </c>
      <c r="K805">
        <v>-17442.580000000002</v>
      </c>
      <c r="L805">
        <v>7014.25</v>
      </c>
      <c r="M805">
        <v>-25601.040000000001</v>
      </c>
    </row>
    <row r="806" spans="1:13">
      <c r="A806">
        <v>3</v>
      </c>
      <c r="B806" t="s">
        <v>204</v>
      </c>
      <c r="C806">
        <v>34</v>
      </c>
      <c r="D806">
        <v>0</v>
      </c>
      <c r="E806">
        <v>2</v>
      </c>
      <c r="F806" t="s">
        <v>201</v>
      </c>
      <c r="G806">
        <v>0</v>
      </c>
      <c r="H806">
        <v>0</v>
      </c>
      <c r="I806">
        <v>0</v>
      </c>
      <c r="J806">
        <v>0</v>
      </c>
      <c r="K806">
        <v>21885.53</v>
      </c>
      <c r="L806">
        <v>6998.51</v>
      </c>
      <c r="M806">
        <v>-24632.62</v>
      </c>
    </row>
    <row r="807" spans="1:13">
      <c r="A807">
        <v>3</v>
      </c>
      <c r="B807" t="s">
        <v>204</v>
      </c>
      <c r="C807">
        <v>34</v>
      </c>
      <c r="D807">
        <v>0</v>
      </c>
      <c r="E807">
        <v>3</v>
      </c>
      <c r="F807" t="s">
        <v>202</v>
      </c>
      <c r="G807">
        <v>6.1749999999999998</v>
      </c>
      <c r="H807">
        <v>0</v>
      </c>
      <c r="I807">
        <v>0</v>
      </c>
      <c r="J807">
        <v>0</v>
      </c>
      <c r="K807">
        <v>1981.94</v>
      </c>
      <c r="L807">
        <v>-672.29</v>
      </c>
      <c r="M807">
        <v>-23438.38</v>
      </c>
    </row>
    <row r="808" spans="1:13">
      <c r="A808">
        <v>3</v>
      </c>
      <c r="B808" t="s">
        <v>204</v>
      </c>
      <c r="C808">
        <v>35</v>
      </c>
      <c r="D808">
        <v>0</v>
      </c>
      <c r="E808">
        <v>3</v>
      </c>
      <c r="F808" t="s">
        <v>201</v>
      </c>
      <c r="G808">
        <v>0</v>
      </c>
      <c r="H808">
        <v>0</v>
      </c>
      <c r="I808">
        <v>0</v>
      </c>
      <c r="J808">
        <v>0</v>
      </c>
      <c r="K808">
        <v>1899.13</v>
      </c>
      <c r="L808">
        <v>-724.68</v>
      </c>
      <c r="M808">
        <v>-22604.6</v>
      </c>
    </row>
    <row r="809" spans="1:13">
      <c r="A809">
        <v>3</v>
      </c>
      <c r="B809" t="s">
        <v>204</v>
      </c>
      <c r="C809">
        <v>35</v>
      </c>
      <c r="D809">
        <v>0</v>
      </c>
      <c r="E809">
        <v>3</v>
      </c>
      <c r="F809" t="s">
        <v>202</v>
      </c>
      <c r="G809">
        <v>6.1749999999999998</v>
      </c>
      <c r="H809">
        <v>0</v>
      </c>
      <c r="I809">
        <v>0</v>
      </c>
      <c r="J809">
        <v>0</v>
      </c>
      <c r="K809">
        <v>-2197.19</v>
      </c>
      <c r="L809">
        <v>-724.68</v>
      </c>
      <c r="M809">
        <v>-24085.8</v>
      </c>
    </row>
    <row r="810" spans="1:13">
      <c r="A810">
        <v>3</v>
      </c>
      <c r="B810" t="s">
        <v>204</v>
      </c>
      <c r="C810">
        <v>36</v>
      </c>
      <c r="D810">
        <v>0</v>
      </c>
      <c r="E810">
        <v>4</v>
      </c>
      <c r="F810" t="s">
        <v>201</v>
      </c>
      <c r="G810">
        <v>0</v>
      </c>
      <c r="H810">
        <v>0</v>
      </c>
      <c r="I810">
        <v>0</v>
      </c>
      <c r="J810">
        <v>0</v>
      </c>
      <c r="K810">
        <v>25944.9</v>
      </c>
      <c r="L810">
        <v>-8436.68</v>
      </c>
      <c r="M810">
        <v>-28514.05</v>
      </c>
    </row>
    <row r="811" spans="1:13">
      <c r="A811">
        <v>3</v>
      </c>
      <c r="B811" t="s">
        <v>204</v>
      </c>
      <c r="C811">
        <v>36</v>
      </c>
      <c r="D811">
        <v>0</v>
      </c>
      <c r="E811">
        <v>4</v>
      </c>
      <c r="F811" t="s">
        <v>202</v>
      </c>
      <c r="G811">
        <v>6.1749999999999998</v>
      </c>
      <c r="H811">
        <v>0</v>
      </c>
      <c r="I811">
        <v>0</v>
      </c>
      <c r="J811">
        <v>0</v>
      </c>
      <c r="K811">
        <v>19996.87</v>
      </c>
      <c r="L811">
        <v>-8436.68</v>
      </c>
      <c r="M811">
        <v>-29995.25</v>
      </c>
    </row>
    <row r="812" spans="1:13">
      <c r="A812">
        <v>4</v>
      </c>
      <c r="B812" t="s">
        <v>200</v>
      </c>
      <c r="C812">
        <v>1</v>
      </c>
      <c r="D812">
        <v>3</v>
      </c>
      <c r="E812">
        <v>0</v>
      </c>
      <c r="F812" t="s">
        <v>201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</row>
    <row r="813" spans="1:13">
      <c r="A813">
        <v>4</v>
      </c>
      <c r="B813" t="s">
        <v>200</v>
      </c>
      <c r="C813">
        <v>1</v>
      </c>
      <c r="D813">
        <v>0</v>
      </c>
      <c r="E813">
        <v>1</v>
      </c>
      <c r="F813" t="s">
        <v>202</v>
      </c>
      <c r="G813">
        <v>1.5649999999999999</v>
      </c>
      <c r="H813">
        <v>0</v>
      </c>
      <c r="I813">
        <v>0</v>
      </c>
      <c r="J813">
        <v>0</v>
      </c>
      <c r="K813">
        <v>-696.5</v>
      </c>
      <c r="L813">
        <v>-890.09</v>
      </c>
      <c r="M813">
        <v>0</v>
      </c>
    </row>
    <row r="814" spans="1:13">
      <c r="A814">
        <v>4</v>
      </c>
      <c r="B814" t="s">
        <v>200</v>
      </c>
      <c r="C814">
        <v>2</v>
      </c>
      <c r="D814">
        <v>0</v>
      </c>
      <c r="E814">
        <v>1</v>
      </c>
      <c r="F814" t="s">
        <v>201</v>
      </c>
      <c r="G814">
        <v>0</v>
      </c>
      <c r="H814">
        <v>0</v>
      </c>
      <c r="I814">
        <v>0</v>
      </c>
      <c r="J814">
        <v>0</v>
      </c>
      <c r="K814">
        <v>-696.5</v>
      </c>
      <c r="L814">
        <v>-890.09</v>
      </c>
      <c r="M814">
        <v>0</v>
      </c>
    </row>
    <row r="815" spans="1:13">
      <c r="A815">
        <v>4</v>
      </c>
      <c r="B815" t="s">
        <v>200</v>
      </c>
      <c r="C815">
        <v>2</v>
      </c>
      <c r="D815">
        <v>0</v>
      </c>
      <c r="E815">
        <v>2</v>
      </c>
      <c r="F815" t="s">
        <v>202</v>
      </c>
      <c r="G815">
        <v>0.27500000000000002</v>
      </c>
      <c r="H815">
        <v>0</v>
      </c>
      <c r="I815">
        <v>0</v>
      </c>
      <c r="J815">
        <v>0</v>
      </c>
      <c r="K815">
        <v>-3368.04</v>
      </c>
      <c r="L815">
        <v>-20034.599999999999</v>
      </c>
      <c r="M815">
        <v>0</v>
      </c>
    </row>
    <row r="816" spans="1:13">
      <c r="A816">
        <v>4</v>
      </c>
      <c r="B816" t="s">
        <v>200</v>
      </c>
      <c r="C816">
        <v>3</v>
      </c>
      <c r="D816">
        <v>4</v>
      </c>
      <c r="E816">
        <v>0</v>
      </c>
      <c r="F816" t="s">
        <v>201</v>
      </c>
      <c r="G816">
        <v>0</v>
      </c>
      <c r="H816">
        <v>71404.84</v>
      </c>
      <c r="I816">
        <v>-12446.76</v>
      </c>
      <c r="J816">
        <v>18226.97</v>
      </c>
      <c r="K816">
        <v>0</v>
      </c>
      <c r="L816">
        <v>0</v>
      </c>
      <c r="M816">
        <v>0</v>
      </c>
    </row>
    <row r="817" spans="1:13">
      <c r="A817">
        <v>4</v>
      </c>
      <c r="B817" t="s">
        <v>200</v>
      </c>
      <c r="C817">
        <v>3</v>
      </c>
      <c r="D817">
        <v>2</v>
      </c>
      <c r="E817">
        <v>0</v>
      </c>
      <c r="F817" t="s">
        <v>202</v>
      </c>
      <c r="G817">
        <v>0.27500000000000002</v>
      </c>
      <c r="H817">
        <v>67968.84</v>
      </c>
      <c r="I817">
        <v>-12200.77</v>
      </c>
      <c r="J817">
        <v>18217.330000000002</v>
      </c>
      <c r="K817">
        <v>0</v>
      </c>
      <c r="L817">
        <v>0</v>
      </c>
      <c r="M817">
        <v>0</v>
      </c>
    </row>
    <row r="818" spans="1:13">
      <c r="A818">
        <v>4</v>
      </c>
      <c r="B818" t="s">
        <v>200</v>
      </c>
      <c r="C818">
        <v>4</v>
      </c>
      <c r="D818">
        <v>2</v>
      </c>
      <c r="E818">
        <v>0</v>
      </c>
      <c r="F818" t="s">
        <v>201</v>
      </c>
      <c r="G818">
        <v>0</v>
      </c>
      <c r="H818">
        <v>67968.84</v>
      </c>
      <c r="I818">
        <v>-12200.77</v>
      </c>
      <c r="J818">
        <v>18217.330000000002</v>
      </c>
      <c r="K818">
        <v>0</v>
      </c>
      <c r="L818">
        <v>0</v>
      </c>
      <c r="M818">
        <v>0</v>
      </c>
    </row>
    <row r="819" spans="1:13">
      <c r="A819">
        <v>4</v>
      </c>
      <c r="B819" t="s">
        <v>200</v>
      </c>
      <c r="C819">
        <v>4</v>
      </c>
      <c r="D819">
        <v>2</v>
      </c>
      <c r="E819">
        <v>0</v>
      </c>
      <c r="F819">
        <v>1</v>
      </c>
      <c r="G819">
        <v>0.875</v>
      </c>
      <c r="H819">
        <v>57293.16</v>
      </c>
      <c r="I819">
        <v>-12200.77</v>
      </c>
      <c r="J819">
        <v>18217.330000000002</v>
      </c>
      <c r="K819">
        <v>0</v>
      </c>
      <c r="L819">
        <v>0</v>
      </c>
      <c r="M819">
        <v>0</v>
      </c>
    </row>
    <row r="820" spans="1:13">
      <c r="A820">
        <v>4</v>
      </c>
      <c r="B820" t="s">
        <v>200</v>
      </c>
      <c r="C820">
        <v>4</v>
      </c>
      <c r="D820">
        <v>2</v>
      </c>
      <c r="E820">
        <v>0</v>
      </c>
      <c r="F820">
        <v>2</v>
      </c>
      <c r="G820">
        <v>2.9609999999999999</v>
      </c>
      <c r="H820">
        <v>22094.400000000001</v>
      </c>
      <c r="I820">
        <v>-17930.419999999998</v>
      </c>
      <c r="J820">
        <v>18217.330000000002</v>
      </c>
      <c r="K820">
        <v>0</v>
      </c>
      <c r="L820">
        <v>0</v>
      </c>
      <c r="M820">
        <v>0</v>
      </c>
    </row>
    <row r="821" spans="1:13">
      <c r="A821">
        <v>4</v>
      </c>
      <c r="B821" t="s">
        <v>200</v>
      </c>
      <c r="C821">
        <v>4</v>
      </c>
      <c r="D821">
        <v>0</v>
      </c>
      <c r="E821">
        <v>2</v>
      </c>
      <c r="F821">
        <v>3</v>
      </c>
      <c r="G821">
        <v>5.0460000000000003</v>
      </c>
      <c r="H821">
        <v>0</v>
      </c>
      <c r="I821">
        <v>0</v>
      </c>
      <c r="J821">
        <v>0</v>
      </c>
      <c r="K821">
        <v>-16526.759999999998</v>
      </c>
      <c r="L821">
        <v>-19116.259999999998</v>
      </c>
      <c r="M821">
        <v>18217.330000000002</v>
      </c>
    </row>
    <row r="822" spans="1:13">
      <c r="A822">
        <v>4</v>
      </c>
      <c r="B822" t="s">
        <v>200</v>
      </c>
      <c r="C822">
        <v>4</v>
      </c>
      <c r="D822">
        <v>0</v>
      </c>
      <c r="E822">
        <v>2</v>
      </c>
      <c r="F822" t="s">
        <v>202</v>
      </c>
      <c r="G822">
        <v>5.92</v>
      </c>
      <c r="H822">
        <v>0</v>
      </c>
      <c r="I822">
        <v>0</v>
      </c>
      <c r="J822">
        <v>0</v>
      </c>
      <c r="K822">
        <v>-33451.65</v>
      </c>
      <c r="L822">
        <v>-19613.349999999999</v>
      </c>
      <c r="M822">
        <v>18217.330000000002</v>
      </c>
    </row>
    <row r="823" spans="1:13">
      <c r="A823">
        <v>4</v>
      </c>
      <c r="B823" t="s">
        <v>200</v>
      </c>
      <c r="C823">
        <v>5</v>
      </c>
      <c r="D823">
        <v>0</v>
      </c>
      <c r="E823">
        <v>2</v>
      </c>
      <c r="F823" t="s">
        <v>201</v>
      </c>
      <c r="G823">
        <v>0</v>
      </c>
      <c r="H823">
        <v>0</v>
      </c>
      <c r="I823">
        <v>0</v>
      </c>
      <c r="J823">
        <v>0</v>
      </c>
      <c r="K823">
        <v>-33451.65</v>
      </c>
      <c r="L823">
        <v>-19613.349999999999</v>
      </c>
      <c r="M823">
        <v>18217.330000000002</v>
      </c>
    </row>
    <row r="824" spans="1:13">
      <c r="A824">
        <v>4</v>
      </c>
      <c r="B824" t="s">
        <v>200</v>
      </c>
      <c r="C824">
        <v>5</v>
      </c>
      <c r="D824">
        <v>0</v>
      </c>
      <c r="E824">
        <v>2</v>
      </c>
      <c r="F824" t="s">
        <v>202</v>
      </c>
      <c r="G824">
        <v>0.27500000000000002</v>
      </c>
      <c r="H824">
        <v>0</v>
      </c>
      <c r="I824">
        <v>0</v>
      </c>
      <c r="J824">
        <v>0</v>
      </c>
      <c r="K824">
        <v>-38866.839999999997</v>
      </c>
      <c r="L824">
        <v>-19769.759999999998</v>
      </c>
      <c r="M824">
        <v>18217.330000000002</v>
      </c>
    </row>
    <row r="825" spans="1:13">
      <c r="A825">
        <v>4</v>
      </c>
      <c r="B825" t="s">
        <v>200</v>
      </c>
      <c r="C825">
        <v>6</v>
      </c>
      <c r="D825">
        <v>1</v>
      </c>
      <c r="E825">
        <v>2</v>
      </c>
      <c r="F825" t="s">
        <v>201</v>
      </c>
      <c r="G825">
        <v>0</v>
      </c>
      <c r="H825">
        <v>24158.38</v>
      </c>
      <c r="I825">
        <v>7114.98</v>
      </c>
      <c r="J825">
        <v>32934.980000000003</v>
      </c>
      <c r="K825">
        <v>-1495</v>
      </c>
      <c r="L825">
        <v>14476.93</v>
      </c>
      <c r="M825">
        <v>6849.98</v>
      </c>
    </row>
    <row r="826" spans="1:13">
      <c r="A826">
        <v>4</v>
      </c>
      <c r="B826" t="s">
        <v>200</v>
      </c>
      <c r="C826">
        <v>6</v>
      </c>
      <c r="D826">
        <v>1</v>
      </c>
      <c r="E826">
        <v>0</v>
      </c>
      <c r="F826" t="s">
        <v>202</v>
      </c>
      <c r="G826">
        <v>0.27500000000000002</v>
      </c>
      <c r="H826">
        <v>24396.34</v>
      </c>
      <c r="I826">
        <v>-5845.13</v>
      </c>
      <c r="J826">
        <v>32934.980000000003</v>
      </c>
      <c r="K826">
        <v>0</v>
      </c>
      <c r="L826">
        <v>0</v>
      </c>
      <c r="M826">
        <v>0</v>
      </c>
    </row>
    <row r="827" spans="1:13">
      <c r="A827">
        <v>4</v>
      </c>
      <c r="B827" t="s">
        <v>200</v>
      </c>
      <c r="C827">
        <v>7</v>
      </c>
      <c r="D827">
        <v>1</v>
      </c>
      <c r="E827">
        <v>0</v>
      </c>
      <c r="F827" t="s">
        <v>201</v>
      </c>
      <c r="G827">
        <v>0</v>
      </c>
      <c r="H827">
        <v>24396.34</v>
      </c>
      <c r="I827">
        <v>-5845.13</v>
      </c>
      <c r="J827">
        <v>32934.980000000003</v>
      </c>
      <c r="K827">
        <v>0</v>
      </c>
      <c r="L827">
        <v>0</v>
      </c>
      <c r="M827">
        <v>0</v>
      </c>
    </row>
    <row r="828" spans="1:13">
      <c r="A828">
        <v>4</v>
      </c>
      <c r="B828" t="s">
        <v>200</v>
      </c>
      <c r="C828">
        <v>7</v>
      </c>
      <c r="D828">
        <v>1</v>
      </c>
      <c r="E828">
        <v>0</v>
      </c>
      <c r="F828">
        <v>1</v>
      </c>
      <c r="G828">
        <v>0.875</v>
      </c>
      <c r="H828">
        <v>19064.12</v>
      </c>
      <c r="I828">
        <v>-6342.79</v>
      </c>
      <c r="J828">
        <v>32934.980000000003</v>
      </c>
      <c r="K828">
        <v>0</v>
      </c>
      <c r="L828">
        <v>0</v>
      </c>
      <c r="M828">
        <v>0</v>
      </c>
    </row>
    <row r="829" spans="1:13">
      <c r="A829">
        <v>4</v>
      </c>
      <c r="B829" t="s">
        <v>200</v>
      </c>
      <c r="C829">
        <v>7</v>
      </c>
      <c r="D829">
        <v>1</v>
      </c>
      <c r="E829">
        <v>0</v>
      </c>
      <c r="F829">
        <v>2</v>
      </c>
      <c r="G829">
        <v>2.96</v>
      </c>
      <c r="H829">
        <v>4603.16</v>
      </c>
      <c r="I829">
        <v>-7528.63</v>
      </c>
      <c r="J829">
        <v>32934.980000000003</v>
      </c>
      <c r="K829">
        <v>0</v>
      </c>
      <c r="L829">
        <v>0</v>
      </c>
      <c r="M829">
        <v>0</v>
      </c>
    </row>
    <row r="830" spans="1:13">
      <c r="A830">
        <v>4</v>
      </c>
      <c r="B830" t="s">
        <v>200</v>
      </c>
      <c r="C830">
        <v>7</v>
      </c>
      <c r="D830">
        <v>0</v>
      </c>
      <c r="E830">
        <v>4</v>
      </c>
      <c r="F830">
        <v>3</v>
      </c>
      <c r="G830">
        <v>5.0449999999999999</v>
      </c>
      <c r="H830">
        <v>0</v>
      </c>
      <c r="I830">
        <v>0</v>
      </c>
      <c r="J830">
        <v>0</v>
      </c>
      <c r="K830">
        <v>-12337.43</v>
      </c>
      <c r="L830">
        <v>-8715.36</v>
      </c>
      <c r="M830">
        <v>32932.26</v>
      </c>
    </row>
    <row r="831" spans="1:13">
      <c r="A831">
        <v>4</v>
      </c>
      <c r="B831" t="s">
        <v>200</v>
      </c>
      <c r="C831">
        <v>7</v>
      </c>
      <c r="D831">
        <v>0</v>
      </c>
      <c r="E831">
        <v>4</v>
      </c>
      <c r="F831" t="s">
        <v>202</v>
      </c>
      <c r="G831">
        <v>5.92</v>
      </c>
      <c r="H831">
        <v>0</v>
      </c>
      <c r="I831">
        <v>0</v>
      </c>
      <c r="J831">
        <v>0</v>
      </c>
      <c r="K831">
        <v>-20181.099999999999</v>
      </c>
      <c r="L831">
        <v>-9213.02</v>
      </c>
      <c r="M831">
        <v>32932.26</v>
      </c>
    </row>
    <row r="832" spans="1:13">
      <c r="A832">
        <v>4</v>
      </c>
      <c r="B832" t="s">
        <v>200</v>
      </c>
      <c r="C832">
        <v>8</v>
      </c>
      <c r="D832">
        <v>0</v>
      </c>
      <c r="E832">
        <v>4</v>
      </c>
      <c r="F832" t="s">
        <v>201</v>
      </c>
      <c r="G832">
        <v>0</v>
      </c>
      <c r="H832">
        <v>0</v>
      </c>
      <c r="I832">
        <v>0</v>
      </c>
      <c r="J832">
        <v>0</v>
      </c>
      <c r="K832">
        <v>-20181.099999999999</v>
      </c>
      <c r="L832">
        <v>-9213.02</v>
      </c>
      <c r="M832">
        <v>32932.26</v>
      </c>
    </row>
    <row r="833" spans="1:13">
      <c r="A833">
        <v>4</v>
      </c>
      <c r="B833" t="s">
        <v>200</v>
      </c>
      <c r="C833">
        <v>8</v>
      </c>
      <c r="D833">
        <v>0</v>
      </c>
      <c r="E833">
        <v>4</v>
      </c>
      <c r="F833" t="s">
        <v>202</v>
      </c>
      <c r="G833">
        <v>0.27500000000000002</v>
      </c>
      <c r="H833">
        <v>0</v>
      </c>
      <c r="I833">
        <v>0</v>
      </c>
      <c r="J833">
        <v>0</v>
      </c>
      <c r="K833">
        <v>-22736.18</v>
      </c>
      <c r="L833">
        <v>-9369.42</v>
      </c>
      <c r="M833">
        <v>32932.26</v>
      </c>
    </row>
    <row r="834" spans="1:13">
      <c r="A834">
        <v>4</v>
      </c>
      <c r="B834" t="s">
        <v>200</v>
      </c>
      <c r="C834">
        <v>9</v>
      </c>
      <c r="D834">
        <v>2</v>
      </c>
      <c r="E834">
        <v>0</v>
      </c>
      <c r="F834" t="s">
        <v>201</v>
      </c>
      <c r="G834">
        <v>0</v>
      </c>
      <c r="H834">
        <v>8237.92</v>
      </c>
      <c r="I834">
        <v>15818.14</v>
      </c>
      <c r="J834">
        <v>40046.18</v>
      </c>
      <c r="K834">
        <v>0</v>
      </c>
      <c r="L834">
        <v>0</v>
      </c>
      <c r="M834">
        <v>0</v>
      </c>
    </row>
    <row r="835" spans="1:13">
      <c r="A835">
        <v>4</v>
      </c>
      <c r="B835" t="s">
        <v>200</v>
      </c>
      <c r="C835">
        <v>9</v>
      </c>
      <c r="D835">
        <v>2</v>
      </c>
      <c r="E835">
        <v>0</v>
      </c>
      <c r="F835" t="s">
        <v>202</v>
      </c>
      <c r="G835">
        <v>0.27500000000000002</v>
      </c>
      <c r="H835">
        <v>9182.56</v>
      </c>
      <c r="I835">
        <v>-1652.26</v>
      </c>
      <c r="J835">
        <v>40046.18</v>
      </c>
      <c r="K835">
        <v>0</v>
      </c>
      <c r="L835">
        <v>0</v>
      </c>
      <c r="M835">
        <v>0</v>
      </c>
    </row>
    <row r="836" spans="1:13">
      <c r="A836">
        <v>4</v>
      </c>
      <c r="B836" t="s">
        <v>200</v>
      </c>
      <c r="C836">
        <v>10</v>
      </c>
      <c r="D836">
        <v>2</v>
      </c>
      <c r="E836">
        <v>0</v>
      </c>
      <c r="F836" t="s">
        <v>201</v>
      </c>
      <c r="G836">
        <v>0</v>
      </c>
      <c r="H836">
        <v>9182.56</v>
      </c>
      <c r="I836">
        <v>-1652.26</v>
      </c>
      <c r="J836">
        <v>40046.18</v>
      </c>
      <c r="K836">
        <v>0</v>
      </c>
      <c r="L836">
        <v>0</v>
      </c>
      <c r="M836">
        <v>0</v>
      </c>
    </row>
    <row r="837" spans="1:13">
      <c r="A837">
        <v>4</v>
      </c>
      <c r="B837" t="s">
        <v>200</v>
      </c>
      <c r="C837">
        <v>10</v>
      </c>
      <c r="D837">
        <v>2</v>
      </c>
      <c r="E837">
        <v>0</v>
      </c>
      <c r="F837">
        <v>1</v>
      </c>
      <c r="G837">
        <v>0.875</v>
      </c>
      <c r="H837">
        <v>7519.12</v>
      </c>
      <c r="I837">
        <v>-2149.91</v>
      </c>
      <c r="J837">
        <v>40046.18</v>
      </c>
      <c r="K837">
        <v>0</v>
      </c>
      <c r="L837">
        <v>0</v>
      </c>
      <c r="M837">
        <v>0</v>
      </c>
    </row>
    <row r="838" spans="1:13">
      <c r="A838">
        <v>4</v>
      </c>
      <c r="B838" t="s">
        <v>200</v>
      </c>
      <c r="C838">
        <v>10</v>
      </c>
      <c r="D838">
        <v>2</v>
      </c>
      <c r="E838">
        <v>0</v>
      </c>
      <c r="F838">
        <v>2</v>
      </c>
      <c r="G838">
        <v>2.96</v>
      </c>
      <c r="H838">
        <v>1812.64</v>
      </c>
      <c r="I838">
        <v>-3117.32</v>
      </c>
      <c r="J838">
        <v>40053.199999999997</v>
      </c>
      <c r="K838">
        <v>0</v>
      </c>
      <c r="L838">
        <v>0</v>
      </c>
      <c r="M838">
        <v>0</v>
      </c>
    </row>
    <row r="839" spans="1:13">
      <c r="A839">
        <v>4</v>
      </c>
      <c r="B839" t="s">
        <v>200</v>
      </c>
      <c r="C839">
        <v>10</v>
      </c>
      <c r="D839">
        <v>0</v>
      </c>
      <c r="E839">
        <v>4</v>
      </c>
      <c r="F839">
        <v>3</v>
      </c>
      <c r="G839">
        <v>5.0449999999999999</v>
      </c>
      <c r="H839">
        <v>0</v>
      </c>
      <c r="I839">
        <v>0</v>
      </c>
      <c r="J839">
        <v>0</v>
      </c>
      <c r="K839">
        <v>-6394.29</v>
      </c>
      <c r="L839">
        <v>-4500.59</v>
      </c>
      <c r="M839">
        <v>40049.040000000001</v>
      </c>
    </row>
    <row r="840" spans="1:13">
      <c r="A840">
        <v>4</v>
      </c>
      <c r="B840" t="s">
        <v>200</v>
      </c>
      <c r="C840">
        <v>10</v>
      </c>
      <c r="D840">
        <v>0</v>
      </c>
      <c r="E840">
        <v>2</v>
      </c>
      <c r="F840" t="s">
        <v>202</v>
      </c>
      <c r="G840">
        <v>5.92</v>
      </c>
      <c r="H840">
        <v>0</v>
      </c>
      <c r="I840">
        <v>0</v>
      </c>
      <c r="J840">
        <v>0</v>
      </c>
      <c r="K840">
        <v>-10565.11</v>
      </c>
      <c r="L840">
        <v>-5019.25</v>
      </c>
      <c r="M840">
        <v>40046.18</v>
      </c>
    </row>
    <row r="841" spans="1:13">
      <c r="A841">
        <v>4</v>
      </c>
      <c r="B841" t="s">
        <v>200</v>
      </c>
      <c r="C841">
        <v>11</v>
      </c>
      <c r="D841">
        <v>0</v>
      </c>
      <c r="E841">
        <v>2</v>
      </c>
      <c r="F841" t="s">
        <v>201</v>
      </c>
      <c r="G841">
        <v>0</v>
      </c>
      <c r="H841">
        <v>0</v>
      </c>
      <c r="I841">
        <v>0</v>
      </c>
      <c r="J841">
        <v>0</v>
      </c>
      <c r="K841">
        <v>-10565.11</v>
      </c>
      <c r="L841">
        <v>-5019.25</v>
      </c>
      <c r="M841">
        <v>40046.18</v>
      </c>
    </row>
    <row r="842" spans="1:13">
      <c r="A842">
        <v>4</v>
      </c>
      <c r="B842" t="s">
        <v>200</v>
      </c>
      <c r="C842">
        <v>11</v>
      </c>
      <c r="D842">
        <v>0</v>
      </c>
      <c r="E842">
        <v>2</v>
      </c>
      <c r="F842" t="s">
        <v>202</v>
      </c>
      <c r="G842">
        <v>0.27500000000000002</v>
      </c>
      <c r="H842">
        <v>0</v>
      </c>
      <c r="I842">
        <v>0</v>
      </c>
      <c r="J842">
        <v>0</v>
      </c>
      <c r="K842">
        <v>-11966.91</v>
      </c>
      <c r="L842">
        <v>-5175.66</v>
      </c>
      <c r="M842">
        <v>40046.18</v>
      </c>
    </row>
    <row r="843" spans="1:13">
      <c r="A843">
        <v>4</v>
      </c>
      <c r="B843" t="s">
        <v>200</v>
      </c>
      <c r="C843">
        <v>12</v>
      </c>
      <c r="D843">
        <v>0</v>
      </c>
      <c r="E843">
        <v>4</v>
      </c>
      <c r="F843" t="s">
        <v>201</v>
      </c>
      <c r="G843">
        <v>0</v>
      </c>
      <c r="H843">
        <v>0</v>
      </c>
      <c r="I843">
        <v>0</v>
      </c>
      <c r="J843">
        <v>0</v>
      </c>
      <c r="K843">
        <v>-14883.62</v>
      </c>
      <c r="L843">
        <v>6234.74</v>
      </c>
      <c r="M843">
        <v>39354.589999999997</v>
      </c>
    </row>
    <row r="844" spans="1:13">
      <c r="A844">
        <v>4</v>
      </c>
      <c r="B844" t="s">
        <v>200</v>
      </c>
      <c r="C844">
        <v>12</v>
      </c>
      <c r="D844">
        <v>0</v>
      </c>
      <c r="E844">
        <v>4</v>
      </c>
      <c r="F844" t="s">
        <v>202</v>
      </c>
      <c r="G844">
        <v>0.27500000000000002</v>
      </c>
      <c r="H844">
        <v>0</v>
      </c>
      <c r="I844">
        <v>0</v>
      </c>
      <c r="J844">
        <v>0</v>
      </c>
      <c r="K844">
        <v>-13190.57</v>
      </c>
      <c r="L844">
        <v>6078.33</v>
      </c>
      <c r="M844">
        <v>39354.589999999997</v>
      </c>
    </row>
    <row r="845" spans="1:13">
      <c r="A845">
        <v>4</v>
      </c>
      <c r="B845" t="s">
        <v>200</v>
      </c>
      <c r="C845">
        <v>13</v>
      </c>
      <c r="D845">
        <v>0</v>
      </c>
      <c r="E845">
        <v>4</v>
      </c>
      <c r="F845" t="s">
        <v>201</v>
      </c>
      <c r="G845">
        <v>0</v>
      </c>
      <c r="H845">
        <v>0</v>
      </c>
      <c r="I845">
        <v>0</v>
      </c>
      <c r="J845">
        <v>0</v>
      </c>
      <c r="K845">
        <v>-13190.57</v>
      </c>
      <c r="L845">
        <v>6078.33</v>
      </c>
      <c r="M845">
        <v>39354.589999999997</v>
      </c>
    </row>
    <row r="846" spans="1:13">
      <c r="A846">
        <v>4</v>
      </c>
      <c r="B846" t="s">
        <v>200</v>
      </c>
      <c r="C846">
        <v>13</v>
      </c>
      <c r="D846">
        <v>0</v>
      </c>
      <c r="E846">
        <v>2</v>
      </c>
      <c r="F846">
        <v>1</v>
      </c>
      <c r="G846">
        <v>0.875</v>
      </c>
      <c r="H846">
        <v>0</v>
      </c>
      <c r="I846">
        <v>0</v>
      </c>
      <c r="J846">
        <v>0</v>
      </c>
      <c r="K846">
        <v>-8093.07</v>
      </c>
      <c r="L846">
        <v>5559.66</v>
      </c>
      <c r="M846">
        <v>39357.449999999997</v>
      </c>
    </row>
    <row r="847" spans="1:13">
      <c r="A847">
        <v>4</v>
      </c>
      <c r="B847" t="s">
        <v>200</v>
      </c>
      <c r="C847">
        <v>13</v>
      </c>
      <c r="D847">
        <v>4</v>
      </c>
      <c r="E847">
        <v>0</v>
      </c>
      <c r="F847">
        <v>2</v>
      </c>
      <c r="G847">
        <v>2.96</v>
      </c>
      <c r="H847">
        <v>2322.0300000000002</v>
      </c>
      <c r="I847">
        <v>4176.3900000000003</v>
      </c>
      <c r="J847">
        <v>39361.61</v>
      </c>
      <c r="K847">
        <v>0</v>
      </c>
      <c r="L847">
        <v>0</v>
      </c>
      <c r="M847">
        <v>0</v>
      </c>
    </row>
    <row r="848" spans="1:13">
      <c r="A848">
        <v>4</v>
      </c>
      <c r="B848" t="s">
        <v>200</v>
      </c>
      <c r="C848">
        <v>13</v>
      </c>
      <c r="D848">
        <v>4</v>
      </c>
      <c r="E848">
        <v>0</v>
      </c>
      <c r="F848">
        <v>3</v>
      </c>
      <c r="G848">
        <v>5.0449999999999999</v>
      </c>
      <c r="H848">
        <v>10236.67</v>
      </c>
      <c r="I848">
        <v>3208.99</v>
      </c>
      <c r="J848">
        <v>39354.589999999997</v>
      </c>
      <c r="K848">
        <v>0</v>
      </c>
      <c r="L848">
        <v>0</v>
      </c>
      <c r="M848">
        <v>0</v>
      </c>
    </row>
    <row r="849" spans="1:13">
      <c r="A849">
        <v>4</v>
      </c>
      <c r="B849" t="s">
        <v>200</v>
      </c>
      <c r="C849">
        <v>13</v>
      </c>
      <c r="D849">
        <v>4</v>
      </c>
      <c r="E849">
        <v>0</v>
      </c>
      <c r="F849" t="s">
        <v>202</v>
      </c>
      <c r="G849">
        <v>5.92</v>
      </c>
      <c r="H849">
        <v>12826.81</v>
      </c>
      <c r="I849">
        <v>2711.33</v>
      </c>
      <c r="J849">
        <v>39354.589999999997</v>
      </c>
      <c r="K849">
        <v>0</v>
      </c>
      <c r="L849">
        <v>0</v>
      </c>
      <c r="M849">
        <v>0</v>
      </c>
    </row>
    <row r="850" spans="1:13">
      <c r="A850">
        <v>4</v>
      </c>
      <c r="B850" t="s">
        <v>200</v>
      </c>
      <c r="C850">
        <v>14</v>
      </c>
      <c r="D850">
        <v>4</v>
      </c>
      <c r="E850">
        <v>0</v>
      </c>
      <c r="F850" t="s">
        <v>201</v>
      </c>
      <c r="G850">
        <v>0</v>
      </c>
      <c r="H850">
        <v>12826.81</v>
      </c>
      <c r="I850">
        <v>2711.33</v>
      </c>
      <c r="J850">
        <v>39354.589999999997</v>
      </c>
      <c r="K850">
        <v>0</v>
      </c>
      <c r="L850">
        <v>0</v>
      </c>
      <c r="M850">
        <v>0</v>
      </c>
    </row>
    <row r="851" spans="1:13">
      <c r="A851">
        <v>4</v>
      </c>
      <c r="B851" t="s">
        <v>200</v>
      </c>
      <c r="C851">
        <v>14</v>
      </c>
      <c r="D851">
        <v>4</v>
      </c>
      <c r="E851">
        <v>0</v>
      </c>
      <c r="F851" t="s">
        <v>202</v>
      </c>
      <c r="G851">
        <v>0.27500000000000002</v>
      </c>
      <c r="H851">
        <v>12188.17</v>
      </c>
      <c r="I851">
        <v>-14715.02</v>
      </c>
      <c r="J851">
        <v>39354.589999999997</v>
      </c>
      <c r="K851">
        <v>0</v>
      </c>
      <c r="L851">
        <v>0</v>
      </c>
      <c r="M851">
        <v>0</v>
      </c>
    </row>
    <row r="852" spans="1:13">
      <c r="A852">
        <v>4</v>
      </c>
      <c r="B852" t="s">
        <v>200</v>
      </c>
      <c r="C852">
        <v>15</v>
      </c>
      <c r="D852">
        <v>0</v>
      </c>
      <c r="E852">
        <v>2</v>
      </c>
      <c r="F852" t="s">
        <v>201</v>
      </c>
      <c r="G852">
        <v>0</v>
      </c>
      <c r="H852">
        <v>0</v>
      </c>
      <c r="I852">
        <v>0</v>
      </c>
      <c r="J852">
        <v>0</v>
      </c>
      <c r="K852">
        <v>-23699.200000000001</v>
      </c>
      <c r="L852">
        <v>9957.75</v>
      </c>
      <c r="M852">
        <v>31056.19</v>
      </c>
    </row>
    <row r="853" spans="1:13">
      <c r="A853">
        <v>4</v>
      </c>
      <c r="B853" t="s">
        <v>200</v>
      </c>
      <c r="C853">
        <v>15</v>
      </c>
      <c r="D853">
        <v>0</v>
      </c>
      <c r="E853">
        <v>2</v>
      </c>
      <c r="F853" t="s">
        <v>202</v>
      </c>
      <c r="G853">
        <v>0.27500000000000002</v>
      </c>
      <c r="H853">
        <v>0</v>
      </c>
      <c r="I853">
        <v>0</v>
      </c>
      <c r="J853">
        <v>0</v>
      </c>
      <c r="K853">
        <v>-20982.32</v>
      </c>
      <c r="L853">
        <v>9801.34</v>
      </c>
      <c r="M853">
        <v>31056.19</v>
      </c>
    </row>
    <row r="854" spans="1:13">
      <c r="A854">
        <v>4</v>
      </c>
      <c r="B854" t="s">
        <v>200</v>
      </c>
      <c r="C854">
        <v>16</v>
      </c>
      <c r="D854">
        <v>0</v>
      </c>
      <c r="E854">
        <v>2</v>
      </c>
      <c r="F854" t="s">
        <v>201</v>
      </c>
      <c r="G854">
        <v>0</v>
      </c>
      <c r="H854">
        <v>0</v>
      </c>
      <c r="I854">
        <v>0</v>
      </c>
      <c r="J854">
        <v>0</v>
      </c>
      <c r="K854">
        <v>-20982.32</v>
      </c>
      <c r="L854">
        <v>9801.34</v>
      </c>
      <c r="M854">
        <v>31056.19</v>
      </c>
    </row>
    <row r="855" spans="1:13">
      <c r="A855">
        <v>4</v>
      </c>
      <c r="B855" t="s">
        <v>200</v>
      </c>
      <c r="C855">
        <v>16</v>
      </c>
      <c r="D855">
        <v>0</v>
      </c>
      <c r="E855">
        <v>2</v>
      </c>
      <c r="F855">
        <v>1</v>
      </c>
      <c r="G855">
        <v>0.875</v>
      </c>
      <c r="H855">
        <v>0</v>
      </c>
      <c r="I855">
        <v>0</v>
      </c>
      <c r="J855">
        <v>0</v>
      </c>
      <c r="K855">
        <v>-12623.88</v>
      </c>
      <c r="L855">
        <v>9303.68</v>
      </c>
      <c r="M855">
        <v>31056.19</v>
      </c>
    </row>
    <row r="856" spans="1:13">
      <c r="A856">
        <v>4</v>
      </c>
      <c r="B856" t="s">
        <v>200</v>
      </c>
      <c r="C856">
        <v>16</v>
      </c>
      <c r="D856">
        <v>1</v>
      </c>
      <c r="E856">
        <v>0</v>
      </c>
      <c r="F856">
        <v>2</v>
      </c>
      <c r="G856">
        <v>2.96</v>
      </c>
      <c r="H856">
        <v>5543.37</v>
      </c>
      <c r="I856">
        <v>8116.96</v>
      </c>
      <c r="J856">
        <v>31058.92</v>
      </c>
      <c r="K856">
        <v>0</v>
      </c>
      <c r="L856">
        <v>0</v>
      </c>
      <c r="M856">
        <v>0</v>
      </c>
    </row>
    <row r="857" spans="1:13">
      <c r="A857">
        <v>4</v>
      </c>
      <c r="B857" t="s">
        <v>200</v>
      </c>
      <c r="C857">
        <v>16</v>
      </c>
      <c r="D857">
        <v>1</v>
      </c>
      <c r="E857">
        <v>0</v>
      </c>
      <c r="F857">
        <v>3</v>
      </c>
      <c r="G857">
        <v>5.0449999999999999</v>
      </c>
      <c r="H857">
        <v>21230.97</v>
      </c>
      <c r="I857">
        <v>6931.11</v>
      </c>
      <c r="J857">
        <v>31058.92</v>
      </c>
      <c r="K857">
        <v>0</v>
      </c>
      <c r="L857">
        <v>0</v>
      </c>
      <c r="M857">
        <v>0</v>
      </c>
    </row>
    <row r="858" spans="1:13">
      <c r="A858">
        <v>4</v>
      </c>
      <c r="B858" t="s">
        <v>200</v>
      </c>
      <c r="C858">
        <v>16</v>
      </c>
      <c r="D858">
        <v>1</v>
      </c>
      <c r="E858">
        <v>0</v>
      </c>
      <c r="F858" t="s">
        <v>202</v>
      </c>
      <c r="G858">
        <v>5.92</v>
      </c>
      <c r="H858">
        <v>27077.97</v>
      </c>
      <c r="I858">
        <v>6433.46</v>
      </c>
      <c r="J858">
        <v>31058.92</v>
      </c>
      <c r="K858">
        <v>0</v>
      </c>
      <c r="L858">
        <v>0</v>
      </c>
      <c r="M858">
        <v>0</v>
      </c>
    </row>
    <row r="859" spans="1:13">
      <c r="A859">
        <v>4</v>
      </c>
      <c r="B859" t="s">
        <v>200</v>
      </c>
      <c r="C859">
        <v>17</v>
      </c>
      <c r="D859">
        <v>1</v>
      </c>
      <c r="E859">
        <v>0</v>
      </c>
      <c r="F859" t="s">
        <v>201</v>
      </c>
      <c r="G859">
        <v>0</v>
      </c>
      <c r="H859">
        <v>27077.97</v>
      </c>
      <c r="I859">
        <v>6433.46</v>
      </c>
      <c r="J859">
        <v>31058.92</v>
      </c>
      <c r="K859">
        <v>0</v>
      </c>
      <c r="L859">
        <v>0</v>
      </c>
      <c r="M859">
        <v>0</v>
      </c>
    </row>
    <row r="860" spans="1:13">
      <c r="A860">
        <v>4</v>
      </c>
      <c r="B860" t="s">
        <v>200</v>
      </c>
      <c r="C860">
        <v>17</v>
      </c>
      <c r="D860">
        <v>1</v>
      </c>
      <c r="E860">
        <v>4</v>
      </c>
      <c r="F860" t="s">
        <v>202</v>
      </c>
      <c r="G860">
        <v>0.27500000000000002</v>
      </c>
      <c r="H860">
        <v>27011.279999999999</v>
      </c>
      <c r="I860">
        <v>-6535.78</v>
      </c>
      <c r="J860">
        <v>31058.92</v>
      </c>
      <c r="K860">
        <v>-1067.6400000000001</v>
      </c>
      <c r="L860">
        <v>-14471.17</v>
      </c>
      <c r="M860">
        <v>6510.82</v>
      </c>
    </row>
    <row r="861" spans="1:13">
      <c r="A861">
        <v>4</v>
      </c>
      <c r="B861" t="s">
        <v>200</v>
      </c>
      <c r="C861">
        <v>18</v>
      </c>
      <c r="D861">
        <v>0</v>
      </c>
      <c r="E861">
        <v>4</v>
      </c>
      <c r="F861" t="s">
        <v>201</v>
      </c>
      <c r="G861">
        <v>0</v>
      </c>
      <c r="H861">
        <v>0</v>
      </c>
      <c r="I861">
        <v>0</v>
      </c>
      <c r="J861">
        <v>0</v>
      </c>
      <c r="K861">
        <v>-40446.49</v>
      </c>
      <c r="L861">
        <v>16667.43</v>
      </c>
      <c r="M861">
        <v>15237.72</v>
      </c>
    </row>
    <row r="862" spans="1:13">
      <c r="A862">
        <v>4</v>
      </c>
      <c r="B862" t="s">
        <v>200</v>
      </c>
      <c r="C862">
        <v>18</v>
      </c>
      <c r="D862">
        <v>0</v>
      </c>
      <c r="E862">
        <v>4</v>
      </c>
      <c r="F862" t="s">
        <v>202</v>
      </c>
      <c r="G862">
        <v>0.27500000000000002</v>
      </c>
      <c r="H862">
        <v>0</v>
      </c>
      <c r="I862">
        <v>0</v>
      </c>
      <c r="J862">
        <v>0</v>
      </c>
      <c r="K862">
        <v>-35884.449999999997</v>
      </c>
      <c r="L862">
        <v>16511.02</v>
      </c>
      <c r="M862">
        <v>15237.72</v>
      </c>
    </row>
    <row r="863" spans="1:13">
      <c r="A863">
        <v>4</v>
      </c>
      <c r="B863" t="s">
        <v>200</v>
      </c>
      <c r="C863">
        <v>19</v>
      </c>
      <c r="D863">
        <v>0</v>
      </c>
      <c r="E863">
        <v>4</v>
      </c>
      <c r="F863" t="s">
        <v>201</v>
      </c>
      <c r="G863">
        <v>0</v>
      </c>
      <c r="H863">
        <v>0</v>
      </c>
      <c r="I863">
        <v>0</v>
      </c>
      <c r="J863">
        <v>0</v>
      </c>
      <c r="K863">
        <v>-35884.449999999997</v>
      </c>
      <c r="L863">
        <v>16511.02</v>
      </c>
      <c r="M863">
        <v>15237.72</v>
      </c>
    </row>
    <row r="864" spans="1:13">
      <c r="A864">
        <v>4</v>
      </c>
      <c r="B864" t="s">
        <v>200</v>
      </c>
      <c r="C864">
        <v>19</v>
      </c>
      <c r="D864">
        <v>0</v>
      </c>
      <c r="E864">
        <v>4</v>
      </c>
      <c r="F864">
        <v>1</v>
      </c>
      <c r="G864">
        <v>0.875</v>
      </c>
      <c r="H864">
        <v>0</v>
      </c>
      <c r="I864">
        <v>0</v>
      </c>
      <c r="J864">
        <v>0</v>
      </c>
      <c r="K864">
        <v>-21437.3</v>
      </c>
      <c r="L864">
        <v>16511.02</v>
      </c>
      <c r="M864">
        <v>15237.72</v>
      </c>
    </row>
    <row r="865" spans="1:13">
      <c r="A865">
        <v>4</v>
      </c>
      <c r="B865" t="s">
        <v>200</v>
      </c>
      <c r="C865">
        <v>19</v>
      </c>
      <c r="D865">
        <v>4</v>
      </c>
      <c r="E865">
        <v>0</v>
      </c>
      <c r="F865">
        <v>2</v>
      </c>
      <c r="G865">
        <v>2.96</v>
      </c>
      <c r="H865">
        <v>12988.18</v>
      </c>
      <c r="I865">
        <v>16511.02</v>
      </c>
      <c r="J865">
        <v>15237.72</v>
      </c>
      <c r="K865">
        <v>0</v>
      </c>
      <c r="L865">
        <v>0</v>
      </c>
      <c r="M865">
        <v>0</v>
      </c>
    </row>
    <row r="866" spans="1:13">
      <c r="A866">
        <v>4</v>
      </c>
      <c r="B866" t="s">
        <v>200</v>
      </c>
      <c r="C866">
        <v>19</v>
      </c>
      <c r="D866">
        <v>4</v>
      </c>
      <c r="E866">
        <v>0</v>
      </c>
      <c r="F866">
        <v>3</v>
      </c>
      <c r="G866">
        <v>5.0449999999999999</v>
      </c>
      <c r="H866">
        <v>46421.95</v>
      </c>
      <c r="I866">
        <v>11728.91</v>
      </c>
      <c r="J866">
        <v>15237.72</v>
      </c>
      <c r="K866">
        <v>0</v>
      </c>
      <c r="L866">
        <v>0</v>
      </c>
      <c r="M866">
        <v>0</v>
      </c>
    </row>
    <row r="867" spans="1:13">
      <c r="A867">
        <v>4</v>
      </c>
      <c r="B867" t="s">
        <v>200</v>
      </c>
      <c r="C867">
        <v>19</v>
      </c>
      <c r="D867">
        <v>4</v>
      </c>
      <c r="E867">
        <v>0</v>
      </c>
      <c r="F867" t="s">
        <v>202</v>
      </c>
      <c r="G867">
        <v>5.92</v>
      </c>
      <c r="H867">
        <v>56467.03</v>
      </c>
      <c r="I867">
        <v>11231.25</v>
      </c>
      <c r="J867">
        <v>15237.72</v>
      </c>
      <c r="K867">
        <v>0</v>
      </c>
      <c r="L867">
        <v>0</v>
      </c>
      <c r="M867">
        <v>0</v>
      </c>
    </row>
    <row r="868" spans="1:13">
      <c r="A868">
        <v>4</v>
      </c>
      <c r="B868" t="s">
        <v>200</v>
      </c>
      <c r="C868">
        <v>20</v>
      </c>
      <c r="D868">
        <v>4</v>
      </c>
      <c r="E868">
        <v>0</v>
      </c>
      <c r="F868" t="s">
        <v>201</v>
      </c>
      <c r="G868">
        <v>0</v>
      </c>
      <c r="H868">
        <v>56467.03</v>
      </c>
      <c r="I868">
        <v>11231.25</v>
      </c>
      <c r="J868">
        <v>15237.72</v>
      </c>
      <c r="K868">
        <v>0</v>
      </c>
      <c r="L868">
        <v>0</v>
      </c>
      <c r="M868">
        <v>0</v>
      </c>
    </row>
    <row r="869" spans="1:13">
      <c r="A869">
        <v>4</v>
      </c>
      <c r="B869" t="s">
        <v>200</v>
      </c>
      <c r="C869">
        <v>20</v>
      </c>
      <c r="D869">
        <v>2</v>
      </c>
      <c r="E869">
        <v>0</v>
      </c>
      <c r="F869" t="s">
        <v>202</v>
      </c>
      <c r="G869">
        <v>0.27500000000000002</v>
      </c>
      <c r="H869">
        <v>59636.43</v>
      </c>
      <c r="I869">
        <v>11477.25</v>
      </c>
      <c r="J869">
        <v>15247.36</v>
      </c>
      <c r="K869">
        <v>0</v>
      </c>
      <c r="L869">
        <v>0</v>
      </c>
      <c r="M869">
        <v>0</v>
      </c>
    </row>
    <row r="870" spans="1:13">
      <c r="A870">
        <v>4</v>
      </c>
      <c r="B870" t="s">
        <v>200</v>
      </c>
      <c r="C870">
        <v>21</v>
      </c>
      <c r="D870">
        <v>0</v>
      </c>
      <c r="E870">
        <v>4</v>
      </c>
      <c r="F870" t="s">
        <v>201</v>
      </c>
      <c r="G870">
        <v>0</v>
      </c>
      <c r="H870">
        <v>0</v>
      </c>
      <c r="I870">
        <v>0</v>
      </c>
      <c r="J870">
        <v>0</v>
      </c>
      <c r="K870">
        <v>-3379.27</v>
      </c>
      <c r="L870">
        <v>20037.84</v>
      </c>
      <c r="M870">
        <v>0</v>
      </c>
    </row>
    <row r="871" spans="1:13">
      <c r="A871">
        <v>4</v>
      </c>
      <c r="B871" t="s">
        <v>200</v>
      </c>
      <c r="C871">
        <v>21</v>
      </c>
      <c r="D871">
        <v>0</v>
      </c>
      <c r="E871">
        <v>1</v>
      </c>
      <c r="F871" t="s">
        <v>202</v>
      </c>
      <c r="G871">
        <v>0.27500000000000002</v>
      </c>
      <c r="H871">
        <v>0</v>
      </c>
      <c r="I871">
        <v>0</v>
      </c>
      <c r="J871">
        <v>0</v>
      </c>
      <c r="K871">
        <v>-696.5</v>
      </c>
      <c r="L871">
        <v>890.09</v>
      </c>
      <c r="M871">
        <v>0</v>
      </c>
    </row>
    <row r="872" spans="1:13">
      <c r="A872">
        <v>4</v>
      </c>
      <c r="B872" t="s">
        <v>200</v>
      </c>
      <c r="C872">
        <v>22</v>
      </c>
      <c r="D872">
        <v>0</v>
      </c>
      <c r="E872">
        <v>1</v>
      </c>
      <c r="F872" t="s">
        <v>201</v>
      </c>
      <c r="G872">
        <v>0</v>
      </c>
      <c r="H872">
        <v>0</v>
      </c>
      <c r="I872">
        <v>0</v>
      </c>
      <c r="J872">
        <v>0</v>
      </c>
      <c r="K872">
        <v>-696.5</v>
      </c>
      <c r="L872">
        <v>890.09</v>
      </c>
      <c r="M872">
        <v>0</v>
      </c>
    </row>
    <row r="873" spans="1:13">
      <c r="A873">
        <v>4</v>
      </c>
      <c r="B873" t="s">
        <v>200</v>
      </c>
      <c r="C873">
        <v>22</v>
      </c>
      <c r="D873">
        <v>1</v>
      </c>
      <c r="E873">
        <v>0</v>
      </c>
      <c r="F873" t="s">
        <v>202</v>
      </c>
      <c r="G873">
        <v>1.5649999999999999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</row>
    <row r="874" spans="1:13">
      <c r="A874">
        <v>4</v>
      </c>
      <c r="B874" t="s">
        <v>200</v>
      </c>
      <c r="C874">
        <v>23</v>
      </c>
      <c r="D874">
        <v>0</v>
      </c>
      <c r="E874">
        <v>4</v>
      </c>
      <c r="F874" t="s">
        <v>201</v>
      </c>
      <c r="G874">
        <v>0</v>
      </c>
      <c r="H874">
        <v>0</v>
      </c>
      <c r="I874">
        <v>0</v>
      </c>
      <c r="J874">
        <v>0</v>
      </c>
      <c r="K874">
        <v>-74683.539999999994</v>
      </c>
      <c r="L874">
        <v>18390.89</v>
      </c>
      <c r="M874">
        <v>-6851.06</v>
      </c>
    </row>
    <row r="875" spans="1:13">
      <c r="A875">
        <v>4</v>
      </c>
      <c r="B875" t="s">
        <v>200</v>
      </c>
      <c r="C875">
        <v>23</v>
      </c>
      <c r="D875">
        <v>0</v>
      </c>
      <c r="E875">
        <v>4</v>
      </c>
      <c r="F875" t="s">
        <v>202</v>
      </c>
      <c r="G875">
        <v>1.175</v>
      </c>
      <c r="H875">
        <v>0</v>
      </c>
      <c r="I875">
        <v>0</v>
      </c>
      <c r="J875">
        <v>0</v>
      </c>
      <c r="K875">
        <v>-53074.239999999998</v>
      </c>
      <c r="L875">
        <v>18390.89</v>
      </c>
      <c r="M875">
        <v>-6851.06</v>
      </c>
    </row>
    <row r="876" spans="1:13">
      <c r="A876">
        <v>4</v>
      </c>
      <c r="B876" t="s">
        <v>200</v>
      </c>
      <c r="C876">
        <v>24</v>
      </c>
      <c r="D876">
        <v>0</v>
      </c>
      <c r="E876">
        <v>2</v>
      </c>
      <c r="F876" t="s">
        <v>201</v>
      </c>
      <c r="G876">
        <v>0</v>
      </c>
      <c r="H876">
        <v>0</v>
      </c>
      <c r="I876">
        <v>0</v>
      </c>
      <c r="J876">
        <v>0</v>
      </c>
      <c r="K876">
        <v>-62741.5</v>
      </c>
      <c r="L876">
        <v>14879.24</v>
      </c>
      <c r="M876">
        <v>-27338.65</v>
      </c>
    </row>
    <row r="877" spans="1:13">
      <c r="A877">
        <v>4</v>
      </c>
      <c r="B877" t="s">
        <v>200</v>
      </c>
      <c r="C877">
        <v>24</v>
      </c>
      <c r="D877">
        <v>0</v>
      </c>
      <c r="E877">
        <v>2</v>
      </c>
      <c r="F877" t="s">
        <v>202</v>
      </c>
      <c r="G877">
        <v>1.175</v>
      </c>
      <c r="H877">
        <v>0</v>
      </c>
      <c r="I877">
        <v>0</v>
      </c>
      <c r="J877">
        <v>0</v>
      </c>
      <c r="K877">
        <v>-45258.39</v>
      </c>
      <c r="L877">
        <v>14879.24</v>
      </c>
      <c r="M877">
        <v>-27338.65</v>
      </c>
    </row>
    <row r="878" spans="1:13">
      <c r="A878">
        <v>4</v>
      </c>
      <c r="B878" t="s">
        <v>200</v>
      </c>
      <c r="C878">
        <v>25</v>
      </c>
      <c r="D878">
        <v>0</v>
      </c>
      <c r="E878">
        <v>4</v>
      </c>
      <c r="F878" t="s">
        <v>201</v>
      </c>
      <c r="G878">
        <v>0</v>
      </c>
      <c r="H878">
        <v>0</v>
      </c>
      <c r="I878">
        <v>0</v>
      </c>
      <c r="J878">
        <v>0</v>
      </c>
      <c r="K878">
        <v>-30894.959999999999</v>
      </c>
      <c r="L878">
        <v>7280.71</v>
      </c>
      <c r="M878">
        <v>-24830.34</v>
      </c>
    </row>
    <row r="879" spans="1:13">
      <c r="A879">
        <v>4</v>
      </c>
      <c r="B879" t="s">
        <v>200</v>
      </c>
      <c r="C879">
        <v>25</v>
      </c>
      <c r="D879">
        <v>0</v>
      </c>
      <c r="E879">
        <v>2</v>
      </c>
      <c r="F879" t="s">
        <v>202</v>
      </c>
      <c r="G879">
        <v>1.175</v>
      </c>
      <c r="H879">
        <v>0</v>
      </c>
      <c r="I879">
        <v>0</v>
      </c>
      <c r="J879">
        <v>0</v>
      </c>
      <c r="K879">
        <v>-22340.6</v>
      </c>
      <c r="L879">
        <v>7277.44</v>
      </c>
      <c r="M879">
        <v>-25129.71</v>
      </c>
    </row>
    <row r="880" spans="1:13">
      <c r="A880">
        <v>4</v>
      </c>
      <c r="B880" t="s">
        <v>200</v>
      </c>
      <c r="C880">
        <v>26</v>
      </c>
      <c r="D880">
        <v>4</v>
      </c>
      <c r="E880">
        <v>2</v>
      </c>
      <c r="F880" t="s">
        <v>201</v>
      </c>
      <c r="G880">
        <v>0</v>
      </c>
      <c r="H880">
        <v>3656.55</v>
      </c>
      <c r="I880">
        <v>-865.39</v>
      </c>
      <c r="J880">
        <v>-21652.94</v>
      </c>
      <c r="K880">
        <v>-162.16999999999999</v>
      </c>
      <c r="L880">
        <v>36.729999999999997</v>
      </c>
      <c r="M880">
        <v>-17725.8</v>
      </c>
    </row>
    <row r="881" spans="1:13">
      <c r="A881">
        <v>4</v>
      </c>
      <c r="B881" t="s">
        <v>200</v>
      </c>
      <c r="C881">
        <v>26</v>
      </c>
      <c r="D881">
        <v>4</v>
      </c>
      <c r="E881">
        <v>2</v>
      </c>
      <c r="F881" t="s">
        <v>202</v>
      </c>
      <c r="G881">
        <v>1.175</v>
      </c>
      <c r="H881">
        <v>2639.71</v>
      </c>
      <c r="I881">
        <v>-865.39</v>
      </c>
      <c r="J881">
        <v>-21652.94</v>
      </c>
      <c r="K881">
        <v>-119.01</v>
      </c>
      <c r="L881">
        <v>36.729999999999997</v>
      </c>
      <c r="M881">
        <v>-17725.8</v>
      </c>
    </row>
    <row r="882" spans="1:13">
      <c r="A882">
        <v>4</v>
      </c>
      <c r="B882" t="s">
        <v>200</v>
      </c>
      <c r="C882">
        <v>27</v>
      </c>
      <c r="D882">
        <v>2</v>
      </c>
      <c r="E882">
        <v>0</v>
      </c>
      <c r="F882" t="s">
        <v>201</v>
      </c>
      <c r="G882">
        <v>0</v>
      </c>
      <c r="H882">
        <v>35808.230000000003</v>
      </c>
      <c r="I882">
        <v>-8465.18</v>
      </c>
      <c r="J882">
        <v>-24315.54</v>
      </c>
      <c r="K882">
        <v>0</v>
      </c>
      <c r="L882">
        <v>0</v>
      </c>
      <c r="M882">
        <v>0</v>
      </c>
    </row>
    <row r="883" spans="1:13">
      <c r="A883">
        <v>4</v>
      </c>
      <c r="B883" t="s">
        <v>200</v>
      </c>
      <c r="C883">
        <v>27</v>
      </c>
      <c r="D883">
        <v>4</v>
      </c>
      <c r="E883">
        <v>0</v>
      </c>
      <c r="F883" t="s">
        <v>202</v>
      </c>
      <c r="G883">
        <v>1.175</v>
      </c>
      <c r="H883">
        <v>25862.12</v>
      </c>
      <c r="I883">
        <v>-8461.92</v>
      </c>
      <c r="J883">
        <v>-24614.91</v>
      </c>
      <c r="K883">
        <v>0</v>
      </c>
      <c r="L883">
        <v>0</v>
      </c>
      <c r="M883">
        <v>0</v>
      </c>
    </row>
    <row r="884" spans="1:13">
      <c r="A884">
        <v>4</v>
      </c>
      <c r="B884" t="s">
        <v>200</v>
      </c>
      <c r="C884">
        <v>28</v>
      </c>
      <c r="D884">
        <v>4</v>
      </c>
      <c r="E884">
        <v>0</v>
      </c>
      <c r="F884" t="s">
        <v>201</v>
      </c>
      <c r="G884">
        <v>0</v>
      </c>
      <c r="H884">
        <v>67174.05</v>
      </c>
      <c r="I884">
        <v>-15982.79</v>
      </c>
      <c r="J884">
        <v>-23657.11</v>
      </c>
      <c r="K884">
        <v>0</v>
      </c>
      <c r="L884">
        <v>0</v>
      </c>
      <c r="M884">
        <v>0</v>
      </c>
    </row>
    <row r="885" spans="1:13">
      <c r="A885">
        <v>4</v>
      </c>
      <c r="B885" t="s">
        <v>200</v>
      </c>
      <c r="C885">
        <v>28</v>
      </c>
      <c r="D885">
        <v>4</v>
      </c>
      <c r="E885">
        <v>0</v>
      </c>
      <c r="F885" t="s">
        <v>202</v>
      </c>
      <c r="G885">
        <v>1.175</v>
      </c>
      <c r="H885">
        <v>48394.27</v>
      </c>
      <c r="I885">
        <v>-15982.79</v>
      </c>
      <c r="J885">
        <v>-23657.11</v>
      </c>
      <c r="K885">
        <v>0</v>
      </c>
      <c r="L885">
        <v>0</v>
      </c>
      <c r="M885">
        <v>0</v>
      </c>
    </row>
    <row r="886" spans="1:13">
      <c r="A886">
        <v>4</v>
      </c>
      <c r="B886" t="s">
        <v>200</v>
      </c>
      <c r="C886">
        <v>29</v>
      </c>
      <c r="D886">
        <v>2</v>
      </c>
      <c r="E886">
        <v>0</v>
      </c>
      <c r="F886" t="s">
        <v>201</v>
      </c>
      <c r="G886">
        <v>0</v>
      </c>
      <c r="H886">
        <v>62926.45</v>
      </c>
      <c r="I886">
        <v>-15411.28</v>
      </c>
      <c r="J886">
        <v>-7824.62</v>
      </c>
      <c r="K886">
        <v>0</v>
      </c>
      <c r="L886">
        <v>0</v>
      </c>
      <c r="M886">
        <v>0</v>
      </c>
    </row>
    <row r="887" spans="1:13">
      <c r="A887">
        <v>4</v>
      </c>
      <c r="B887" t="s">
        <v>200</v>
      </c>
      <c r="C887">
        <v>29</v>
      </c>
      <c r="D887">
        <v>2</v>
      </c>
      <c r="E887">
        <v>0</v>
      </c>
      <c r="F887" t="s">
        <v>202</v>
      </c>
      <c r="G887">
        <v>1.175</v>
      </c>
      <c r="H887">
        <v>44818.19</v>
      </c>
      <c r="I887">
        <v>-15411.28</v>
      </c>
      <c r="J887">
        <v>-7824.62</v>
      </c>
      <c r="K887">
        <v>0</v>
      </c>
      <c r="L887">
        <v>0</v>
      </c>
      <c r="M887">
        <v>0</v>
      </c>
    </row>
    <row r="888" spans="1:13">
      <c r="A888">
        <v>4</v>
      </c>
      <c r="B888" t="s">
        <v>200</v>
      </c>
      <c r="C888">
        <v>30</v>
      </c>
      <c r="D888">
        <v>0</v>
      </c>
      <c r="E888">
        <v>4</v>
      </c>
      <c r="F888" t="s">
        <v>201</v>
      </c>
      <c r="G888">
        <v>0</v>
      </c>
      <c r="H888">
        <v>0</v>
      </c>
      <c r="I888">
        <v>0</v>
      </c>
      <c r="J888">
        <v>0</v>
      </c>
      <c r="K888">
        <v>-53074.239999999998</v>
      </c>
      <c r="L888">
        <v>18390.89</v>
      </c>
      <c r="M888">
        <v>-6851.06</v>
      </c>
    </row>
    <row r="889" spans="1:13">
      <c r="A889">
        <v>4</v>
      </c>
      <c r="B889" t="s">
        <v>200</v>
      </c>
      <c r="C889">
        <v>30</v>
      </c>
      <c r="D889">
        <v>0</v>
      </c>
      <c r="E889">
        <v>4</v>
      </c>
      <c r="F889" t="s">
        <v>202</v>
      </c>
      <c r="G889">
        <v>6.1749999999999998</v>
      </c>
      <c r="H889">
        <v>0</v>
      </c>
      <c r="I889">
        <v>0</v>
      </c>
      <c r="J889">
        <v>0</v>
      </c>
      <c r="K889">
        <v>-42158.34</v>
      </c>
      <c r="L889">
        <v>18390.89</v>
      </c>
      <c r="M889">
        <v>-8332.26</v>
      </c>
    </row>
    <row r="890" spans="1:13">
      <c r="A890">
        <v>4</v>
      </c>
      <c r="B890" t="s">
        <v>200</v>
      </c>
      <c r="C890">
        <v>31</v>
      </c>
      <c r="D890">
        <v>4</v>
      </c>
      <c r="E890">
        <v>0</v>
      </c>
      <c r="F890" t="s">
        <v>201</v>
      </c>
      <c r="G890">
        <v>0</v>
      </c>
      <c r="H890">
        <v>59752.85</v>
      </c>
      <c r="I890">
        <v>18485.509999999998</v>
      </c>
      <c r="J890">
        <v>-4014.16</v>
      </c>
      <c r="K890">
        <v>0</v>
      </c>
      <c r="L890">
        <v>0</v>
      </c>
      <c r="M890">
        <v>0</v>
      </c>
    </row>
    <row r="891" spans="1:13">
      <c r="A891">
        <v>4</v>
      </c>
      <c r="B891" t="s">
        <v>200</v>
      </c>
      <c r="C891">
        <v>31</v>
      </c>
      <c r="D891">
        <v>0</v>
      </c>
      <c r="E891">
        <v>2</v>
      </c>
      <c r="F891" t="s">
        <v>202</v>
      </c>
      <c r="G891">
        <v>6.1749999999999998</v>
      </c>
      <c r="H891">
        <v>0</v>
      </c>
      <c r="I891">
        <v>0</v>
      </c>
      <c r="J891">
        <v>0</v>
      </c>
      <c r="K891">
        <v>-44297.98</v>
      </c>
      <c r="L891">
        <v>14879.24</v>
      </c>
      <c r="M891">
        <v>-28819.85</v>
      </c>
    </row>
    <row r="892" spans="1:13">
      <c r="A892">
        <v>4</v>
      </c>
      <c r="B892" t="s">
        <v>200</v>
      </c>
      <c r="C892">
        <v>32</v>
      </c>
      <c r="D892">
        <v>0</v>
      </c>
      <c r="E892">
        <v>2</v>
      </c>
      <c r="F892" t="s">
        <v>201</v>
      </c>
      <c r="G892">
        <v>0</v>
      </c>
      <c r="H892">
        <v>0</v>
      </c>
      <c r="I892">
        <v>0</v>
      </c>
      <c r="J892">
        <v>0</v>
      </c>
      <c r="K892">
        <v>-36410.230000000003</v>
      </c>
      <c r="L892">
        <v>14781.52</v>
      </c>
      <c r="M892">
        <v>-25599.69</v>
      </c>
    </row>
    <row r="893" spans="1:13">
      <c r="A893">
        <v>4</v>
      </c>
      <c r="B893" t="s">
        <v>200</v>
      </c>
      <c r="C893">
        <v>32</v>
      </c>
      <c r="D893">
        <v>2</v>
      </c>
      <c r="E893">
        <v>0</v>
      </c>
      <c r="F893" t="s">
        <v>202</v>
      </c>
      <c r="G893">
        <v>6.1749999999999998</v>
      </c>
      <c r="H893">
        <v>46399.53</v>
      </c>
      <c r="I893">
        <v>14781.52</v>
      </c>
      <c r="J893">
        <v>-27080.89</v>
      </c>
      <c r="K893">
        <v>0</v>
      </c>
      <c r="L893">
        <v>0</v>
      </c>
      <c r="M893">
        <v>0</v>
      </c>
    </row>
    <row r="894" spans="1:13">
      <c r="A894">
        <v>4</v>
      </c>
      <c r="B894" t="s">
        <v>200</v>
      </c>
      <c r="C894">
        <v>33</v>
      </c>
      <c r="D894">
        <v>0</v>
      </c>
      <c r="E894">
        <v>2</v>
      </c>
      <c r="F894" t="s">
        <v>201</v>
      </c>
      <c r="G894">
        <v>0</v>
      </c>
      <c r="H894">
        <v>0</v>
      </c>
      <c r="I894">
        <v>0</v>
      </c>
      <c r="J894">
        <v>0</v>
      </c>
      <c r="K894">
        <v>-22116.560000000001</v>
      </c>
      <c r="L894">
        <v>7221.47</v>
      </c>
      <c r="M894">
        <v>-24378.28</v>
      </c>
    </row>
    <row r="895" spans="1:13">
      <c r="A895">
        <v>4</v>
      </c>
      <c r="B895" t="s">
        <v>200</v>
      </c>
      <c r="C895">
        <v>33</v>
      </c>
      <c r="D895">
        <v>0</v>
      </c>
      <c r="E895">
        <v>2</v>
      </c>
      <c r="F895" t="s">
        <v>202</v>
      </c>
      <c r="G895">
        <v>6.1749999999999998</v>
      </c>
      <c r="H895">
        <v>0</v>
      </c>
      <c r="I895">
        <v>0</v>
      </c>
      <c r="J895">
        <v>0</v>
      </c>
      <c r="K895">
        <v>-17953.96</v>
      </c>
      <c r="L895">
        <v>7221.47</v>
      </c>
      <c r="M895">
        <v>-25859.48</v>
      </c>
    </row>
    <row r="896" spans="1:13">
      <c r="A896">
        <v>4</v>
      </c>
      <c r="B896" t="s">
        <v>200</v>
      </c>
      <c r="C896">
        <v>34</v>
      </c>
      <c r="D896">
        <v>4</v>
      </c>
      <c r="E896">
        <v>0</v>
      </c>
      <c r="F896" t="s">
        <v>201</v>
      </c>
      <c r="G896">
        <v>0</v>
      </c>
      <c r="H896">
        <v>22555.17</v>
      </c>
      <c r="I896">
        <v>7208.99</v>
      </c>
      <c r="J896">
        <v>-24591.69</v>
      </c>
      <c r="K896">
        <v>0</v>
      </c>
      <c r="L896">
        <v>0</v>
      </c>
      <c r="M896">
        <v>0</v>
      </c>
    </row>
    <row r="897" spans="1:13">
      <c r="A897">
        <v>4</v>
      </c>
      <c r="B897" t="s">
        <v>200</v>
      </c>
      <c r="C897">
        <v>34</v>
      </c>
      <c r="D897">
        <v>4</v>
      </c>
      <c r="E897">
        <v>2</v>
      </c>
      <c r="F897" t="s">
        <v>202</v>
      </c>
      <c r="G897">
        <v>6.1749999999999998</v>
      </c>
      <c r="H897">
        <v>2623.72</v>
      </c>
      <c r="I897">
        <v>-881.13</v>
      </c>
      <c r="J897">
        <v>-23646.93</v>
      </c>
      <c r="K897">
        <v>-135</v>
      </c>
      <c r="L897">
        <v>20.99</v>
      </c>
      <c r="M897">
        <v>-19719.78</v>
      </c>
    </row>
    <row r="898" spans="1:13">
      <c r="A898">
        <v>4</v>
      </c>
      <c r="B898" t="s">
        <v>200</v>
      </c>
      <c r="C898">
        <v>35</v>
      </c>
      <c r="D898">
        <v>4</v>
      </c>
      <c r="E898">
        <v>0</v>
      </c>
      <c r="F898" t="s">
        <v>201</v>
      </c>
      <c r="G898">
        <v>0</v>
      </c>
      <c r="H898">
        <v>2420.83</v>
      </c>
      <c r="I898">
        <v>-933.53</v>
      </c>
      <c r="J898">
        <v>-22813.15</v>
      </c>
      <c r="K898">
        <v>0</v>
      </c>
      <c r="L898">
        <v>0</v>
      </c>
      <c r="M898">
        <v>0</v>
      </c>
    </row>
    <row r="899" spans="1:13">
      <c r="A899">
        <v>4</v>
      </c>
      <c r="B899" t="s">
        <v>200</v>
      </c>
      <c r="C899">
        <v>35</v>
      </c>
      <c r="D899">
        <v>0</v>
      </c>
      <c r="E899">
        <v>4</v>
      </c>
      <c r="F899" t="s">
        <v>202</v>
      </c>
      <c r="G899">
        <v>6.1749999999999998</v>
      </c>
      <c r="H899">
        <v>0</v>
      </c>
      <c r="I899">
        <v>0</v>
      </c>
      <c r="J899">
        <v>0</v>
      </c>
      <c r="K899">
        <v>-2845.04</v>
      </c>
      <c r="L899">
        <v>-933.53</v>
      </c>
      <c r="M899">
        <v>-24294.35</v>
      </c>
    </row>
    <row r="900" spans="1:13">
      <c r="A900">
        <v>4</v>
      </c>
      <c r="B900" t="s">
        <v>200</v>
      </c>
      <c r="C900">
        <v>36</v>
      </c>
      <c r="D900">
        <v>4</v>
      </c>
      <c r="E900">
        <v>0</v>
      </c>
      <c r="F900" t="s">
        <v>201</v>
      </c>
      <c r="G900">
        <v>0</v>
      </c>
      <c r="H900">
        <v>26575.43</v>
      </c>
      <c r="I900">
        <v>-8643.89</v>
      </c>
      <c r="J900">
        <v>-28772.62</v>
      </c>
      <c r="K900">
        <v>0</v>
      </c>
      <c r="L900">
        <v>0</v>
      </c>
      <c r="M900">
        <v>0</v>
      </c>
    </row>
    <row r="901" spans="1:13">
      <c r="A901">
        <v>4</v>
      </c>
      <c r="B901" t="s">
        <v>200</v>
      </c>
      <c r="C901">
        <v>36</v>
      </c>
      <c r="D901">
        <v>4</v>
      </c>
      <c r="E901">
        <v>0</v>
      </c>
      <c r="F901" t="s">
        <v>202</v>
      </c>
      <c r="G901">
        <v>6.1749999999999998</v>
      </c>
      <c r="H901">
        <v>20508.240000000002</v>
      </c>
      <c r="I901">
        <v>-8643.89</v>
      </c>
      <c r="J901">
        <v>-30253.82</v>
      </c>
      <c r="K901">
        <v>0</v>
      </c>
      <c r="L901">
        <v>0</v>
      </c>
      <c r="M901">
        <v>0</v>
      </c>
    </row>
    <row r="902" spans="1:13">
      <c r="A902">
        <v>4</v>
      </c>
      <c r="B902" t="s">
        <v>203</v>
      </c>
      <c r="C902">
        <v>1</v>
      </c>
      <c r="D902">
        <v>1</v>
      </c>
      <c r="E902">
        <v>1</v>
      </c>
      <c r="F902" t="s">
        <v>201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</row>
    <row r="903" spans="1:13">
      <c r="A903">
        <v>4</v>
      </c>
      <c r="B903" t="s">
        <v>203</v>
      </c>
      <c r="C903">
        <v>1</v>
      </c>
      <c r="D903">
        <v>0</v>
      </c>
      <c r="E903">
        <v>1</v>
      </c>
      <c r="F903" t="s">
        <v>202</v>
      </c>
      <c r="G903">
        <v>1.5649999999999999</v>
      </c>
      <c r="H903">
        <v>0</v>
      </c>
      <c r="I903">
        <v>0</v>
      </c>
      <c r="J903">
        <v>0</v>
      </c>
      <c r="K903">
        <v>-696.5</v>
      </c>
      <c r="L903">
        <v>-890.09</v>
      </c>
      <c r="M903">
        <v>0</v>
      </c>
    </row>
    <row r="904" spans="1:13">
      <c r="A904">
        <v>4</v>
      </c>
      <c r="B904" t="s">
        <v>203</v>
      </c>
      <c r="C904">
        <v>2</v>
      </c>
      <c r="D904">
        <v>0</v>
      </c>
      <c r="E904">
        <v>1</v>
      </c>
      <c r="F904" t="s">
        <v>201</v>
      </c>
      <c r="G904">
        <v>0</v>
      </c>
      <c r="H904">
        <v>0</v>
      </c>
      <c r="I904">
        <v>0</v>
      </c>
      <c r="J904">
        <v>0</v>
      </c>
      <c r="K904">
        <v>-696.5</v>
      </c>
      <c r="L904">
        <v>-890.09</v>
      </c>
      <c r="M904">
        <v>0</v>
      </c>
    </row>
    <row r="905" spans="1:13">
      <c r="A905">
        <v>4</v>
      </c>
      <c r="B905" t="s">
        <v>203</v>
      </c>
      <c r="C905">
        <v>2</v>
      </c>
      <c r="D905">
        <v>0</v>
      </c>
      <c r="E905">
        <v>2</v>
      </c>
      <c r="F905" t="s">
        <v>202</v>
      </c>
      <c r="G905">
        <v>0.27500000000000002</v>
      </c>
      <c r="H905">
        <v>0</v>
      </c>
      <c r="I905">
        <v>0</v>
      </c>
      <c r="J905">
        <v>0</v>
      </c>
      <c r="K905">
        <v>-3368.04</v>
      </c>
      <c r="L905">
        <v>-20034.599999999999</v>
      </c>
      <c r="M905">
        <v>0</v>
      </c>
    </row>
    <row r="906" spans="1:13">
      <c r="A906">
        <v>4</v>
      </c>
      <c r="B906" t="s">
        <v>203</v>
      </c>
      <c r="C906">
        <v>3</v>
      </c>
      <c r="D906">
        <v>2</v>
      </c>
      <c r="E906">
        <v>1</v>
      </c>
      <c r="F906" t="s">
        <v>201</v>
      </c>
      <c r="G906">
        <v>0</v>
      </c>
      <c r="H906">
        <v>11643.29</v>
      </c>
      <c r="I906">
        <v>1200.83</v>
      </c>
      <c r="J906">
        <v>3817.69</v>
      </c>
      <c r="K906">
        <v>71313.429999999993</v>
      </c>
      <c r="L906">
        <v>-12507.55</v>
      </c>
      <c r="M906">
        <v>18232.169999999998</v>
      </c>
    </row>
    <row r="907" spans="1:13">
      <c r="A907">
        <v>4</v>
      </c>
      <c r="B907" t="s">
        <v>203</v>
      </c>
      <c r="C907">
        <v>3</v>
      </c>
      <c r="D907">
        <v>2</v>
      </c>
      <c r="E907">
        <v>1</v>
      </c>
      <c r="F907" t="s">
        <v>202</v>
      </c>
      <c r="G907">
        <v>0.27500000000000002</v>
      </c>
      <c r="H907">
        <v>11952.01</v>
      </c>
      <c r="I907">
        <v>1044.43</v>
      </c>
      <c r="J907">
        <v>3817.69</v>
      </c>
      <c r="K907">
        <v>67852.350000000006</v>
      </c>
      <c r="L907">
        <v>-12663.95</v>
      </c>
      <c r="M907">
        <v>18232.169999999998</v>
      </c>
    </row>
    <row r="908" spans="1:13">
      <c r="A908">
        <v>4</v>
      </c>
      <c r="B908" t="s">
        <v>203</v>
      </c>
      <c r="C908">
        <v>4</v>
      </c>
      <c r="D908">
        <v>2</v>
      </c>
      <c r="E908">
        <v>1</v>
      </c>
      <c r="F908" t="s">
        <v>201</v>
      </c>
      <c r="G908">
        <v>0</v>
      </c>
      <c r="H908">
        <v>11952.01</v>
      </c>
      <c r="I908">
        <v>1044.43</v>
      </c>
      <c r="J908">
        <v>3817.69</v>
      </c>
      <c r="K908">
        <v>67852.350000000006</v>
      </c>
      <c r="L908">
        <v>-12663.95</v>
      </c>
      <c r="M908">
        <v>18232.169999999998</v>
      </c>
    </row>
    <row r="909" spans="1:13">
      <c r="A909">
        <v>4</v>
      </c>
      <c r="B909" t="s">
        <v>203</v>
      </c>
      <c r="C909">
        <v>4</v>
      </c>
      <c r="D909">
        <v>2</v>
      </c>
      <c r="E909">
        <v>1</v>
      </c>
      <c r="F909">
        <v>1</v>
      </c>
      <c r="G909">
        <v>0.875</v>
      </c>
      <c r="H909">
        <v>12865.89</v>
      </c>
      <c r="I909">
        <v>1044.43</v>
      </c>
      <c r="J909">
        <v>3817.69</v>
      </c>
      <c r="K909">
        <v>56771.38</v>
      </c>
      <c r="L909">
        <v>-12663.95</v>
      </c>
      <c r="M909">
        <v>18232.169999999998</v>
      </c>
    </row>
    <row r="910" spans="1:13">
      <c r="A910">
        <v>4</v>
      </c>
      <c r="B910" t="s">
        <v>203</v>
      </c>
      <c r="C910">
        <v>4</v>
      </c>
      <c r="D910">
        <v>0</v>
      </c>
      <c r="E910">
        <v>2</v>
      </c>
      <c r="F910">
        <v>2</v>
      </c>
      <c r="G910">
        <v>2.9609999999999999</v>
      </c>
      <c r="H910">
        <v>0</v>
      </c>
      <c r="I910">
        <v>0</v>
      </c>
      <c r="J910">
        <v>0</v>
      </c>
      <c r="K910">
        <v>22094.400000000001</v>
      </c>
      <c r="L910">
        <v>-17930.419999999998</v>
      </c>
      <c r="M910">
        <v>18217.330000000002</v>
      </c>
    </row>
    <row r="911" spans="1:13">
      <c r="A911">
        <v>4</v>
      </c>
      <c r="B911" t="s">
        <v>203</v>
      </c>
      <c r="C911">
        <v>4</v>
      </c>
      <c r="D911">
        <v>0</v>
      </c>
      <c r="E911">
        <v>2</v>
      </c>
      <c r="F911">
        <v>3</v>
      </c>
      <c r="G911">
        <v>5.0460000000000003</v>
      </c>
      <c r="H911">
        <v>0</v>
      </c>
      <c r="I911">
        <v>0</v>
      </c>
      <c r="J911">
        <v>0</v>
      </c>
      <c r="K911">
        <v>-16526.759999999998</v>
      </c>
      <c r="L911">
        <v>-19116.259999999998</v>
      </c>
      <c r="M911">
        <v>18217.330000000002</v>
      </c>
    </row>
    <row r="912" spans="1:13">
      <c r="A912">
        <v>4</v>
      </c>
      <c r="B912" t="s">
        <v>203</v>
      </c>
      <c r="C912">
        <v>4</v>
      </c>
      <c r="D912">
        <v>0</v>
      </c>
      <c r="E912">
        <v>2</v>
      </c>
      <c r="F912" t="s">
        <v>202</v>
      </c>
      <c r="G912">
        <v>5.92</v>
      </c>
      <c r="H912">
        <v>0</v>
      </c>
      <c r="I912">
        <v>0</v>
      </c>
      <c r="J912">
        <v>0</v>
      </c>
      <c r="K912">
        <v>-33451.65</v>
      </c>
      <c r="L912">
        <v>-19613.349999999999</v>
      </c>
      <c r="M912">
        <v>18217.330000000002</v>
      </c>
    </row>
    <row r="913" spans="1:13">
      <c r="A913">
        <v>4</v>
      </c>
      <c r="B913" t="s">
        <v>203</v>
      </c>
      <c r="C913">
        <v>5</v>
      </c>
      <c r="D913">
        <v>0</v>
      </c>
      <c r="E913">
        <v>2</v>
      </c>
      <c r="F913" t="s">
        <v>201</v>
      </c>
      <c r="G913">
        <v>0</v>
      </c>
      <c r="H913">
        <v>0</v>
      </c>
      <c r="I913">
        <v>0</v>
      </c>
      <c r="J913">
        <v>0</v>
      </c>
      <c r="K913">
        <v>-33451.65</v>
      </c>
      <c r="L913">
        <v>-19613.349999999999</v>
      </c>
      <c r="M913">
        <v>18217.330000000002</v>
      </c>
    </row>
    <row r="914" spans="1:13">
      <c r="A914">
        <v>4</v>
      </c>
      <c r="B914" t="s">
        <v>203</v>
      </c>
      <c r="C914">
        <v>5</v>
      </c>
      <c r="D914">
        <v>0</v>
      </c>
      <c r="E914">
        <v>2</v>
      </c>
      <c r="F914" t="s">
        <v>202</v>
      </c>
      <c r="G914">
        <v>0.27500000000000002</v>
      </c>
      <c r="H914">
        <v>0</v>
      </c>
      <c r="I914">
        <v>0</v>
      </c>
      <c r="J914">
        <v>0</v>
      </c>
      <c r="K914">
        <v>-38866.839999999997</v>
      </c>
      <c r="L914">
        <v>-19769.759999999998</v>
      </c>
      <c r="M914">
        <v>18217.330000000002</v>
      </c>
    </row>
    <row r="915" spans="1:13">
      <c r="A915">
        <v>4</v>
      </c>
      <c r="B915" t="s">
        <v>203</v>
      </c>
      <c r="C915">
        <v>6</v>
      </c>
      <c r="D915">
        <v>2</v>
      </c>
      <c r="E915">
        <v>0</v>
      </c>
      <c r="F915" t="s">
        <v>201</v>
      </c>
      <c r="G915">
        <v>0</v>
      </c>
      <c r="H915">
        <v>-1495</v>
      </c>
      <c r="I915">
        <v>14476.93</v>
      </c>
      <c r="J915">
        <v>6849.98</v>
      </c>
      <c r="K915">
        <v>0</v>
      </c>
      <c r="L915">
        <v>0</v>
      </c>
      <c r="M915">
        <v>0</v>
      </c>
    </row>
    <row r="916" spans="1:13">
      <c r="A916">
        <v>4</v>
      </c>
      <c r="B916" t="s">
        <v>203</v>
      </c>
      <c r="C916">
        <v>6</v>
      </c>
      <c r="D916">
        <v>2</v>
      </c>
      <c r="E916">
        <v>4</v>
      </c>
      <c r="F916" t="s">
        <v>202</v>
      </c>
      <c r="G916">
        <v>0.27500000000000002</v>
      </c>
      <c r="H916">
        <v>699.23</v>
      </c>
      <c r="I916">
        <v>1003.59</v>
      </c>
      <c r="J916">
        <v>6849.98</v>
      </c>
      <c r="K916">
        <v>24393.65</v>
      </c>
      <c r="L916">
        <v>-5846.02</v>
      </c>
      <c r="M916">
        <v>32932.26</v>
      </c>
    </row>
    <row r="917" spans="1:13">
      <c r="A917">
        <v>4</v>
      </c>
      <c r="B917" t="s">
        <v>203</v>
      </c>
      <c r="C917">
        <v>7</v>
      </c>
      <c r="D917">
        <v>2</v>
      </c>
      <c r="E917">
        <v>4</v>
      </c>
      <c r="F917" t="s">
        <v>201</v>
      </c>
      <c r="G917">
        <v>0</v>
      </c>
      <c r="H917">
        <v>699.23</v>
      </c>
      <c r="I917">
        <v>1003.59</v>
      </c>
      <c r="J917">
        <v>6849.98</v>
      </c>
      <c r="K917">
        <v>24393.65</v>
      </c>
      <c r="L917">
        <v>-5846.02</v>
      </c>
      <c r="M917">
        <v>32932.26</v>
      </c>
    </row>
    <row r="918" spans="1:13">
      <c r="A918">
        <v>4</v>
      </c>
      <c r="B918" t="s">
        <v>203</v>
      </c>
      <c r="C918">
        <v>7</v>
      </c>
      <c r="D918">
        <v>2</v>
      </c>
      <c r="E918">
        <v>4</v>
      </c>
      <c r="F918">
        <v>1</v>
      </c>
      <c r="G918">
        <v>0.875</v>
      </c>
      <c r="H918">
        <v>1359.64</v>
      </c>
      <c r="I918">
        <v>505.93</v>
      </c>
      <c r="J918">
        <v>6849.98</v>
      </c>
      <c r="K918">
        <v>19060.66</v>
      </c>
      <c r="L918">
        <v>-6343.68</v>
      </c>
      <c r="M918">
        <v>32932.26</v>
      </c>
    </row>
    <row r="919" spans="1:13">
      <c r="A919">
        <v>4</v>
      </c>
      <c r="B919" t="s">
        <v>203</v>
      </c>
      <c r="C919">
        <v>7</v>
      </c>
      <c r="D919">
        <v>0</v>
      </c>
      <c r="E919">
        <v>4</v>
      </c>
      <c r="F919">
        <v>2</v>
      </c>
      <c r="G919">
        <v>2.96</v>
      </c>
      <c r="H919">
        <v>0</v>
      </c>
      <c r="I919">
        <v>0</v>
      </c>
      <c r="J919">
        <v>0</v>
      </c>
      <c r="K919">
        <v>4597.8599999999997</v>
      </c>
      <c r="L919">
        <v>-7529.52</v>
      </c>
      <c r="M919">
        <v>32932.26</v>
      </c>
    </row>
    <row r="920" spans="1:13">
      <c r="A920">
        <v>4</v>
      </c>
      <c r="B920" t="s">
        <v>203</v>
      </c>
      <c r="C920">
        <v>7</v>
      </c>
      <c r="D920">
        <v>0</v>
      </c>
      <c r="E920">
        <v>4</v>
      </c>
      <c r="F920">
        <v>3</v>
      </c>
      <c r="G920">
        <v>5.0449999999999999</v>
      </c>
      <c r="H920">
        <v>0</v>
      </c>
      <c r="I920">
        <v>0</v>
      </c>
      <c r="J920">
        <v>0</v>
      </c>
      <c r="K920">
        <v>-12337.43</v>
      </c>
      <c r="L920">
        <v>-8715.36</v>
      </c>
      <c r="M920">
        <v>32932.26</v>
      </c>
    </row>
    <row r="921" spans="1:13">
      <c r="A921">
        <v>4</v>
      </c>
      <c r="B921" t="s">
        <v>203</v>
      </c>
      <c r="C921">
        <v>7</v>
      </c>
      <c r="D921">
        <v>0</v>
      </c>
      <c r="E921">
        <v>4</v>
      </c>
      <c r="F921" t="s">
        <v>202</v>
      </c>
      <c r="G921">
        <v>5.92</v>
      </c>
      <c r="H921">
        <v>0</v>
      </c>
      <c r="I921">
        <v>0</v>
      </c>
      <c r="J921">
        <v>0</v>
      </c>
      <c r="K921">
        <v>-20181.099999999999</v>
      </c>
      <c r="L921">
        <v>-9213.02</v>
      </c>
      <c r="M921">
        <v>32932.26</v>
      </c>
    </row>
    <row r="922" spans="1:13">
      <c r="A922">
        <v>4</v>
      </c>
      <c r="B922" t="s">
        <v>203</v>
      </c>
      <c r="C922">
        <v>8</v>
      </c>
      <c r="D922">
        <v>0</v>
      </c>
      <c r="E922">
        <v>4</v>
      </c>
      <c r="F922" t="s">
        <v>201</v>
      </c>
      <c r="G922">
        <v>0</v>
      </c>
      <c r="H922">
        <v>0</v>
      </c>
      <c r="I922">
        <v>0</v>
      </c>
      <c r="J922">
        <v>0</v>
      </c>
      <c r="K922">
        <v>-20181.099999999999</v>
      </c>
      <c r="L922">
        <v>-9213.02</v>
      </c>
      <c r="M922">
        <v>32932.26</v>
      </c>
    </row>
    <row r="923" spans="1:13">
      <c r="A923">
        <v>4</v>
      </c>
      <c r="B923" t="s">
        <v>203</v>
      </c>
      <c r="C923">
        <v>8</v>
      </c>
      <c r="D923">
        <v>0</v>
      </c>
      <c r="E923">
        <v>4</v>
      </c>
      <c r="F923" t="s">
        <v>202</v>
      </c>
      <c r="G923">
        <v>0.27500000000000002</v>
      </c>
      <c r="H923">
        <v>0</v>
      </c>
      <c r="I923">
        <v>0</v>
      </c>
      <c r="J923">
        <v>0</v>
      </c>
      <c r="K923">
        <v>-22736.18</v>
      </c>
      <c r="L923">
        <v>-9369.42</v>
      </c>
      <c r="M923">
        <v>32932.26</v>
      </c>
    </row>
    <row r="924" spans="1:13">
      <c r="A924">
        <v>4</v>
      </c>
      <c r="B924" t="s">
        <v>203</v>
      </c>
      <c r="C924">
        <v>9</v>
      </c>
      <c r="D924">
        <v>2</v>
      </c>
      <c r="E924">
        <v>0</v>
      </c>
      <c r="F924" t="s">
        <v>201</v>
      </c>
      <c r="G924">
        <v>0</v>
      </c>
      <c r="H924">
        <v>1499.8</v>
      </c>
      <c r="I924">
        <v>17717.29</v>
      </c>
      <c r="J924">
        <v>8297.58</v>
      </c>
      <c r="K924">
        <v>0</v>
      </c>
      <c r="L924">
        <v>0</v>
      </c>
      <c r="M924">
        <v>0</v>
      </c>
    </row>
    <row r="925" spans="1:13">
      <c r="A925">
        <v>4</v>
      </c>
      <c r="B925" t="s">
        <v>203</v>
      </c>
      <c r="C925">
        <v>9</v>
      </c>
      <c r="D925">
        <v>1</v>
      </c>
      <c r="E925">
        <v>2</v>
      </c>
      <c r="F925" t="s">
        <v>202</v>
      </c>
      <c r="G925">
        <v>0.27500000000000002</v>
      </c>
      <c r="H925">
        <v>2820.6</v>
      </c>
      <c r="I925">
        <v>144.08000000000001</v>
      </c>
      <c r="J925">
        <v>8300.51</v>
      </c>
      <c r="K925">
        <v>9182.56</v>
      </c>
      <c r="L925">
        <v>-1652.26</v>
      </c>
      <c r="M925">
        <v>40046.18</v>
      </c>
    </row>
    <row r="926" spans="1:13">
      <c r="A926">
        <v>4</v>
      </c>
      <c r="B926" t="s">
        <v>203</v>
      </c>
      <c r="C926">
        <v>10</v>
      </c>
      <c r="D926">
        <v>1</v>
      </c>
      <c r="E926">
        <v>2</v>
      </c>
      <c r="F926" t="s">
        <v>201</v>
      </c>
      <c r="G926">
        <v>0</v>
      </c>
      <c r="H926">
        <v>2820.6</v>
      </c>
      <c r="I926">
        <v>144.08000000000001</v>
      </c>
      <c r="J926">
        <v>8300.51</v>
      </c>
      <c r="K926">
        <v>9182.56</v>
      </c>
      <c r="L926">
        <v>-1652.26</v>
      </c>
      <c r="M926">
        <v>40046.18</v>
      </c>
    </row>
    <row r="927" spans="1:13">
      <c r="A927">
        <v>4</v>
      </c>
      <c r="B927" t="s">
        <v>203</v>
      </c>
      <c r="C927">
        <v>10</v>
      </c>
      <c r="D927">
        <v>0</v>
      </c>
      <c r="E927">
        <v>2</v>
      </c>
      <c r="F927">
        <v>1</v>
      </c>
      <c r="G927">
        <v>0.875</v>
      </c>
      <c r="H927">
        <v>0</v>
      </c>
      <c r="I927">
        <v>0</v>
      </c>
      <c r="J927">
        <v>0</v>
      </c>
      <c r="K927">
        <v>7519.12</v>
      </c>
      <c r="L927">
        <v>-2149.91</v>
      </c>
      <c r="M927">
        <v>40046.18</v>
      </c>
    </row>
    <row r="928" spans="1:13">
      <c r="A928">
        <v>4</v>
      </c>
      <c r="B928" t="s">
        <v>203</v>
      </c>
      <c r="C928">
        <v>10</v>
      </c>
      <c r="D928">
        <v>0</v>
      </c>
      <c r="E928">
        <v>2</v>
      </c>
      <c r="F928">
        <v>2</v>
      </c>
      <c r="G928">
        <v>2.96</v>
      </c>
      <c r="H928">
        <v>0</v>
      </c>
      <c r="I928">
        <v>0</v>
      </c>
      <c r="J928">
        <v>0</v>
      </c>
      <c r="K928">
        <v>1800.31</v>
      </c>
      <c r="L928">
        <v>-3335.76</v>
      </c>
      <c r="M928">
        <v>40046.18</v>
      </c>
    </row>
    <row r="929" spans="1:13">
      <c r="A929">
        <v>4</v>
      </c>
      <c r="B929" t="s">
        <v>203</v>
      </c>
      <c r="C929">
        <v>10</v>
      </c>
      <c r="D929">
        <v>0</v>
      </c>
      <c r="E929">
        <v>2</v>
      </c>
      <c r="F929">
        <v>3</v>
      </c>
      <c r="G929">
        <v>5.0449999999999999</v>
      </c>
      <c r="H929">
        <v>0</v>
      </c>
      <c r="I929">
        <v>0</v>
      </c>
      <c r="J929">
        <v>0</v>
      </c>
      <c r="K929">
        <v>-6390.98</v>
      </c>
      <c r="L929">
        <v>-4521.6000000000004</v>
      </c>
      <c r="M929">
        <v>40046.18</v>
      </c>
    </row>
    <row r="930" spans="1:13">
      <c r="A930">
        <v>4</v>
      </c>
      <c r="B930" t="s">
        <v>203</v>
      </c>
      <c r="C930">
        <v>10</v>
      </c>
      <c r="D930">
        <v>0</v>
      </c>
      <c r="E930">
        <v>2</v>
      </c>
      <c r="F930" t="s">
        <v>202</v>
      </c>
      <c r="G930">
        <v>5.92</v>
      </c>
      <c r="H930">
        <v>0</v>
      </c>
      <c r="I930">
        <v>0</v>
      </c>
      <c r="J930">
        <v>0</v>
      </c>
      <c r="K930">
        <v>-10565.11</v>
      </c>
      <c r="L930">
        <v>-5019.25</v>
      </c>
      <c r="M930">
        <v>40046.18</v>
      </c>
    </row>
    <row r="931" spans="1:13">
      <c r="A931">
        <v>4</v>
      </c>
      <c r="B931" t="s">
        <v>203</v>
      </c>
      <c r="C931">
        <v>11</v>
      </c>
      <c r="D931">
        <v>0</v>
      </c>
      <c r="E931">
        <v>2</v>
      </c>
      <c r="F931" t="s">
        <v>201</v>
      </c>
      <c r="G931">
        <v>0</v>
      </c>
      <c r="H931">
        <v>0</v>
      </c>
      <c r="I931">
        <v>0</v>
      </c>
      <c r="J931">
        <v>0</v>
      </c>
      <c r="K931">
        <v>-10565.11</v>
      </c>
      <c r="L931">
        <v>-5019.25</v>
      </c>
      <c r="M931">
        <v>40046.18</v>
      </c>
    </row>
    <row r="932" spans="1:13">
      <c r="A932">
        <v>4</v>
      </c>
      <c r="B932" t="s">
        <v>203</v>
      </c>
      <c r="C932">
        <v>11</v>
      </c>
      <c r="D932">
        <v>0</v>
      </c>
      <c r="E932">
        <v>2</v>
      </c>
      <c r="F932" t="s">
        <v>202</v>
      </c>
      <c r="G932">
        <v>0.27500000000000002</v>
      </c>
      <c r="H932">
        <v>0</v>
      </c>
      <c r="I932">
        <v>0</v>
      </c>
      <c r="J932">
        <v>0</v>
      </c>
      <c r="K932">
        <v>-11966.91</v>
      </c>
      <c r="L932">
        <v>-5175.66</v>
      </c>
      <c r="M932">
        <v>40046.18</v>
      </c>
    </row>
    <row r="933" spans="1:13">
      <c r="A933">
        <v>4</v>
      </c>
      <c r="B933" t="s">
        <v>203</v>
      </c>
      <c r="C933">
        <v>12</v>
      </c>
      <c r="D933">
        <v>4</v>
      </c>
      <c r="E933">
        <v>0</v>
      </c>
      <c r="F933" t="s">
        <v>201</v>
      </c>
      <c r="G933">
        <v>0</v>
      </c>
      <c r="H933">
        <v>-14883.62</v>
      </c>
      <c r="I933">
        <v>6234.74</v>
      </c>
      <c r="J933">
        <v>39354.589999999997</v>
      </c>
      <c r="K933">
        <v>0</v>
      </c>
      <c r="L933">
        <v>0</v>
      </c>
      <c r="M933">
        <v>0</v>
      </c>
    </row>
    <row r="934" spans="1:13">
      <c r="A934">
        <v>4</v>
      </c>
      <c r="B934" t="s">
        <v>203</v>
      </c>
      <c r="C934">
        <v>12</v>
      </c>
      <c r="D934">
        <v>4</v>
      </c>
      <c r="E934">
        <v>0</v>
      </c>
      <c r="F934" t="s">
        <v>202</v>
      </c>
      <c r="G934">
        <v>0.27500000000000002</v>
      </c>
      <c r="H934">
        <v>-13190.57</v>
      </c>
      <c r="I934">
        <v>6078.33</v>
      </c>
      <c r="J934">
        <v>39354.589999999997</v>
      </c>
      <c r="K934">
        <v>0</v>
      </c>
      <c r="L934">
        <v>0</v>
      </c>
      <c r="M934">
        <v>0</v>
      </c>
    </row>
    <row r="935" spans="1:13">
      <c r="A935">
        <v>4</v>
      </c>
      <c r="B935" t="s">
        <v>203</v>
      </c>
      <c r="C935">
        <v>13</v>
      </c>
      <c r="D935">
        <v>4</v>
      </c>
      <c r="E935">
        <v>0</v>
      </c>
      <c r="F935" t="s">
        <v>201</v>
      </c>
      <c r="G935">
        <v>0</v>
      </c>
      <c r="H935">
        <v>-13190.57</v>
      </c>
      <c r="I935">
        <v>6078.33</v>
      </c>
      <c r="J935">
        <v>39354.589999999997</v>
      </c>
      <c r="K935">
        <v>0</v>
      </c>
      <c r="L935">
        <v>0</v>
      </c>
      <c r="M935">
        <v>0</v>
      </c>
    </row>
    <row r="936" spans="1:13">
      <c r="A936">
        <v>4</v>
      </c>
      <c r="B936" t="s">
        <v>203</v>
      </c>
      <c r="C936">
        <v>13</v>
      </c>
      <c r="D936">
        <v>4</v>
      </c>
      <c r="E936">
        <v>0</v>
      </c>
      <c r="F936">
        <v>1</v>
      </c>
      <c r="G936">
        <v>0.875</v>
      </c>
      <c r="H936">
        <v>-8089.76</v>
      </c>
      <c r="I936">
        <v>5580.67</v>
      </c>
      <c r="J936">
        <v>39354.589999999997</v>
      </c>
      <c r="K936">
        <v>0</v>
      </c>
      <c r="L936">
        <v>0</v>
      </c>
      <c r="M936">
        <v>0</v>
      </c>
    </row>
    <row r="937" spans="1:13">
      <c r="A937">
        <v>4</v>
      </c>
      <c r="B937" t="s">
        <v>203</v>
      </c>
      <c r="C937">
        <v>13</v>
      </c>
      <c r="D937">
        <v>4</v>
      </c>
      <c r="E937">
        <v>0</v>
      </c>
      <c r="F937">
        <v>2</v>
      </c>
      <c r="G937">
        <v>2.96</v>
      </c>
      <c r="H937">
        <v>2309.6999999999998</v>
      </c>
      <c r="I937">
        <v>4394.83</v>
      </c>
      <c r="J937">
        <v>39354.589999999997</v>
      </c>
      <c r="K937">
        <v>0</v>
      </c>
      <c r="L937">
        <v>0</v>
      </c>
      <c r="M937">
        <v>0</v>
      </c>
    </row>
    <row r="938" spans="1:13">
      <c r="A938">
        <v>4</v>
      </c>
      <c r="B938" t="s">
        <v>203</v>
      </c>
      <c r="C938">
        <v>13</v>
      </c>
      <c r="D938">
        <v>4</v>
      </c>
      <c r="E938">
        <v>0</v>
      </c>
      <c r="F938">
        <v>3</v>
      </c>
      <c r="G938">
        <v>5.0449999999999999</v>
      </c>
      <c r="H938">
        <v>10236.67</v>
      </c>
      <c r="I938">
        <v>3208.99</v>
      </c>
      <c r="J938">
        <v>39354.589999999997</v>
      </c>
      <c r="K938">
        <v>0</v>
      </c>
      <c r="L938">
        <v>0</v>
      </c>
      <c r="M938">
        <v>0</v>
      </c>
    </row>
    <row r="939" spans="1:13">
      <c r="A939">
        <v>4</v>
      </c>
      <c r="B939" t="s">
        <v>203</v>
      </c>
      <c r="C939">
        <v>13</v>
      </c>
      <c r="D939">
        <v>4</v>
      </c>
      <c r="E939">
        <v>0</v>
      </c>
      <c r="F939" t="s">
        <v>202</v>
      </c>
      <c r="G939">
        <v>5.92</v>
      </c>
      <c r="H939">
        <v>12826.81</v>
      </c>
      <c r="I939">
        <v>2711.33</v>
      </c>
      <c r="J939">
        <v>39354.589999999997</v>
      </c>
      <c r="K939">
        <v>0</v>
      </c>
      <c r="L939">
        <v>0</v>
      </c>
      <c r="M939">
        <v>0</v>
      </c>
    </row>
    <row r="940" spans="1:13">
      <c r="A940">
        <v>4</v>
      </c>
      <c r="B940" t="s">
        <v>203</v>
      </c>
      <c r="C940">
        <v>14</v>
      </c>
      <c r="D940">
        <v>4</v>
      </c>
      <c r="E940">
        <v>0</v>
      </c>
      <c r="F940" t="s">
        <v>201</v>
      </c>
      <c r="G940">
        <v>0</v>
      </c>
      <c r="H940">
        <v>12826.81</v>
      </c>
      <c r="I940">
        <v>2711.33</v>
      </c>
      <c r="J940">
        <v>39354.589999999997</v>
      </c>
      <c r="K940">
        <v>0</v>
      </c>
      <c r="L940">
        <v>0</v>
      </c>
      <c r="M940">
        <v>0</v>
      </c>
    </row>
    <row r="941" spans="1:13">
      <c r="A941">
        <v>4</v>
      </c>
      <c r="B941" t="s">
        <v>203</v>
      </c>
      <c r="C941">
        <v>14</v>
      </c>
      <c r="D941">
        <v>0</v>
      </c>
      <c r="E941">
        <v>4</v>
      </c>
      <c r="F941" t="s">
        <v>202</v>
      </c>
      <c r="G941">
        <v>0.27500000000000002</v>
      </c>
      <c r="H941">
        <v>0</v>
      </c>
      <c r="I941">
        <v>0</v>
      </c>
      <c r="J941">
        <v>0</v>
      </c>
      <c r="K941">
        <v>2629.65</v>
      </c>
      <c r="L941">
        <v>-17411.810000000001</v>
      </c>
      <c r="M941">
        <v>8160.5</v>
      </c>
    </row>
    <row r="942" spans="1:13">
      <c r="A942">
        <v>4</v>
      </c>
      <c r="B942" t="s">
        <v>203</v>
      </c>
      <c r="C942">
        <v>15</v>
      </c>
      <c r="D942">
        <v>2</v>
      </c>
      <c r="E942">
        <v>0</v>
      </c>
      <c r="F942" t="s">
        <v>201</v>
      </c>
      <c r="G942">
        <v>0</v>
      </c>
      <c r="H942">
        <v>-23699.200000000001</v>
      </c>
      <c r="I942">
        <v>9957.75</v>
      </c>
      <c r="J942">
        <v>31056.19</v>
      </c>
      <c r="K942">
        <v>0</v>
      </c>
      <c r="L942">
        <v>0</v>
      </c>
      <c r="M942">
        <v>0</v>
      </c>
    </row>
    <row r="943" spans="1:13">
      <c r="A943">
        <v>4</v>
      </c>
      <c r="B943" t="s">
        <v>203</v>
      </c>
      <c r="C943">
        <v>15</v>
      </c>
      <c r="D943">
        <v>2</v>
      </c>
      <c r="E943">
        <v>0</v>
      </c>
      <c r="F943" t="s">
        <v>202</v>
      </c>
      <c r="G943">
        <v>0.27500000000000002</v>
      </c>
      <c r="H943">
        <v>-20982.32</v>
      </c>
      <c r="I943">
        <v>9801.34</v>
      </c>
      <c r="J943">
        <v>31056.19</v>
      </c>
      <c r="K943">
        <v>0</v>
      </c>
      <c r="L943">
        <v>0</v>
      </c>
      <c r="M943">
        <v>0</v>
      </c>
    </row>
    <row r="944" spans="1:13">
      <c r="A944">
        <v>4</v>
      </c>
      <c r="B944" t="s">
        <v>203</v>
      </c>
      <c r="C944">
        <v>16</v>
      </c>
      <c r="D944">
        <v>2</v>
      </c>
      <c r="E944">
        <v>0</v>
      </c>
      <c r="F944" t="s">
        <v>201</v>
      </c>
      <c r="G944">
        <v>0</v>
      </c>
      <c r="H944">
        <v>-20982.32</v>
      </c>
      <c r="I944">
        <v>9801.34</v>
      </c>
      <c r="J944">
        <v>31056.19</v>
      </c>
      <c r="K944">
        <v>0</v>
      </c>
      <c r="L944">
        <v>0</v>
      </c>
      <c r="M944">
        <v>0</v>
      </c>
    </row>
    <row r="945" spans="1:13">
      <c r="A945">
        <v>4</v>
      </c>
      <c r="B945" t="s">
        <v>203</v>
      </c>
      <c r="C945">
        <v>16</v>
      </c>
      <c r="D945">
        <v>2</v>
      </c>
      <c r="E945">
        <v>0</v>
      </c>
      <c r="F945">
        <v>1</v>
      </c>
      <c r="G945">
        <v>0.875</v>
      </c>
      <c r="H945">
        <v>-12623.88</v>
      </c>
      <c r="I945">
        <v>9303.68</v>
      </c>
      <c r="J945">
        <v>31056.19</v>
      </c>
      <c r="K945">
        <v>0</v>
      </c>
      <c r="L945">
        <v>0</v>
      </c>
      <c r="M945">
        <v>0</v>
      </c>
    </row>
    <row r="946" spans="1:13">
      <c r="A946">
        <v>4</v>
      </c>
      <c r="B946" t="s">
        <v>203</v>
      </c>
      <c r="C946">
        <v>16</v>
      </c>
      <c r="D946">
        <v>2</v>
      </c>
      <c r="E946">
        <v>0</v>
      </c>
      <c r="F946">
        <v>2</v>
      </c>
      <c r="G946">
        <v>2.96</v>
      </c>
      <c r="H946">
        <v>5538.06</v>
      </c>
      <c r="I946">
        <v>8117.84</v>
      </c>
      <c r="J946">
        <v>31056.19</v>
      </c>
      <c r="K946">
        <v>0</v>
      </c>
      <c r="L946">
        <v>0</v>
      </c>
      <c r="M946">
        <v>0</v>
      </c>
    </row>
    <row r="947" spans="1:13">
      <c r="A947">
        <v>4</v>
      </c>
      <c r="B947" t="s">
        <v>203</v>
      </c>
      <c r="C947">
        <v>16</v>
      </c>
      <c r="D947">
        <v>2</v>
      </c>
      <c r="E947">
        <v>4</v>
      </c>
      <c r="F947">
        <v>3</v>
      </c>
      <c r="G947">
        <v>5.0449999999999999</v>
      </c>
      <c r="H947">
        <v>21227.52</v>
      </c>
      <c r="I947">
        <v>6932</v>
      </c>
      <c r="J947">
        <v>31056.19</v>
      </c>
      <c r="K947">
        <v>1760.24</v>
      </c>
      <c r="L947">
        <v>-490.86</v>
      </c>
      <c r="M947">
        <v>6510.82</v>
      </c>
    </row>
    <row r="948" spans="1:13">
      <c r="A948">
        <v>4</v>
      </c>
      <c r="B948" t="s">
        <v>203</v>
      </c>
      <c r="C948">
        <v>16</v>
      </c>
      <c r="D948">
        <v>2</v>
      </c>
      <c r="E948">
        <v>4</v>
      </c>
      <c r="F948" t="s">
        <v>202</v>
      </c>
      <c r="G948">
        <v>5.92</v>
      </c>
      <c r="H948">
        <v>27075.29</v>
      </c>
      <c r="I948">
        <v>6434.34</v>
      </c>
      <c r="J948">
        <v>31056.19</v>
      </c>
      <c r="K948">
        <v>1113.01</v>
      </c>
      <c r="L948">
        <v>-988.51</v>
      </c>
      <c r="M948">
        <v>6510.82</v>
      </c>
    </row>
    <row r="949" spans="1:13">
      <c r="A949">
        <v>4</v>
      </c>
      <c r="B949" t="s">
        <v>203</v>
      </c>
      <c r="C949">
        <v>17</v>
      </c>
      <c r="D949">
        <v>2</v>
      </c>
      <c r="E949">
        <v>4</v>
      </c>
      <c r="F949" t="s">
        <v>201</v>
      </c>
      <c r="G949">
        <v>0</v>
      </c>
      <c r="H949">
        <v>27075.29</v>
      </c>
      <c r="I949">
        <v>6434.34</v>
      </c>
      <c r="J949">
        <v>31056.19</v>
      </c>
      <c r="K949">
        <v>1113.01</v>
      </c>
      <c r="L949">
        <v>-988.51</v>
      </c>
      <c r="M949">
        <v>6510.82</v>
      </c>
    </row>
    <row r="950" spans="1:13">
      <c r="A950">
        <v>4</v>
      </c>
      <c r="B950" t="s">
        <v>203</v>
      </c>
      <c r="C950">
        <v>17</v>
      </c>
      <c r="D950">
        <v>0</v>
      </c>
      <c r="E950">
        <v>4</v>
      </c>
      <c r="F950" t="s">
        <v>202</v>
      </c>
      <c r="G950">
        <v>0.27500000000000002</v>
      </c>
      <c r="H950">
        <v>0</v>
      </c>
      <c r="I950">
        <v>0</v>
      </c>
      <c r="J950">
        <v>0</v>
      </c>
      <c r="K950">
        <v>-1067.6400000000001</v>
      </c>
      <c r="L950">
        <v>-14471.17</v>
      </c>
      <c r="M950">
        <v>6510.82</v>
      </c>
    </row>
    <row r="951" spans="1:13">
      <c r="A951">
        <v>4</v>
      </c>
      <c r="B951" t="s">
        <v>203</v>
      </c>
      <c r="C951">
        <v>18</v>
      </c>
      <c r="D951">
        <v>4</v>
      </c>
      <c r="E951">
        <v>0</v>
      </c>
      <c r="F951" t="s">
        <v>201</v>
      </c>
      <c r="G951">
        <v>0</v>
      </c>
      <c r="H951">
        <v>-40446.49</v>
      </c>
      <c r="I951">
        <v>16667.43</v>
      </c>
      <c r="J951">
        <v>15237.72</v>
      </c>
      <c r="K951">
        <v>0</v>
      </c>
      <c r="L951">
        <v>0</v>
      </c>
      <c r="M951">
        <v>0</v>
      </c>
    </row>
    <row r="952" spans="1:13">
      <c r="A952">
        <v>4</v>
      </c>
      <c r="B952" t="s">
        <v>203</v>
      </c>
      <c r="C952">
        <v>18</v>
      </c>
      <c r="D952">
        <v>4</v>
      </c>
      <c r="E952">
        <v>0</v>
      </c>
      <c r="F952" t="s">
        <v>202</v>
      </c>
      <c r="G952">
        <v>0.27500000000000002</v>
      </c>
      <c r="H952">
        <v>-35884.449999999997</v>
      </c>
      <c r="I952">
        <v>16511.02</v>
      </c>
      <c r="J952">
        <v>15237.72</v>
      </c>
      <c r="K952">
        <v>0</v>
      </c>
      <c r="L952">
        <v>0</v>
      </c>
      <c r="M952">
        <v>0</v>
      </c>
    </row>
    <row r="953" spans="1:13">
      <c r="A953">
        <v>4</v>
      </c>
      <c r="B953" t="s">
        <v>203</v>
      </c>
      <c r="C953">
        <v>19</v>
      </c>
      <c r="D953">
        <v>4</v>
      </c>
      <c r="E953">
        <v>0</v>
      </c>
      <c r="F953" t="s">
        <v>201</v>
      </c>
      <c r="G953">
        <v>0</v>
      </c>
      <c r="H953">
        <v>-35884.449999999997</v>
      </c>
      <c r="I953">
        <v>16511.02</v>
      </c>
      <c r="J953">
        <v>15237.72</v>
      </c>
      <c r="K953">
        <v>0</v>
      </c>
      <c r="L953">
        <v>0</v>
      </c>
      <c r="M953">
        <v>0</v>
      </c>
    </row>
    <row r="954" spans="1:13">
      <c r="A954">
        <v>4</v>
      </c>
      <c r="B954" t="s">
        <v>203</v>
      </c>
      <c r="C954">
        <v>19</v>
      </c>
      <c r="D954">
        <v>4</v>
      </c>
      <c r="E954">
        <v>0</v>
      </c>
      <c r="F954">
        <v>1</v>
      </c>
      <c r="G954">
        <v>0.875</v>
      </c>
      <c r="H954">
        <v>-21437.3</v>
      </c>
      <c r="I954">
        <v>16511.02</v>
      </c>
      <c r="J954">
        <v>15237.72</v>
      </c>
      <c r="K954">
        <v>0</v>
      </c>
      <c r="L954">
        <v>0</v>
      </c>
      <c r="M954">
        <v>0</v>
      </c>
    </row>
    <row r="955" spans="1:13">
      <c r="A955">
        <v>4</v>
      </c>
      <c r="B955" t="s">
        <v>203</v>
      </c>
      <c r="C955">
        <v>19</v>
      </c>
      <c r="D955">
        <v>4</v>
      </c>
      <c r="E955">
        <v>0</v>
      </c>
      <c r="F955">
        <v>2</v>
      </c>
      <c r="G955">
        <v>2.96</v>
      </c>
      <c r="H955">
        <v>12988.18</v>
      </c>
      <c r="I955">
        <v>16511.02</v>
      </c>
      <c r="J955">
        <v>15237.72</v>
      </c>
      <c r="K955">
        <v>0</v>
      </c>
      <c r="L955">
        <v>0</v>
      </c>
      <c r="M955">
        <v>0</v>
      </c>
    </row>
    <row r="956" spans="1:13">
      <c r="A956">
        <v>4</v>
      </c>
      <c r="B956" t="s">
        <v>203</v>
      </c>
      <c r="C956">
        <v>19</v>
      </c>
      <c r="D956">
        <v>1</v>
      </c>
      <c r="E956">
        <v>4</v>
      </c>
      <c r="F956">
        <v>3</v>
      </c>
      <c r="G956">
        <v>5.0449999999999999</v>
      </c>
      <c r="H956">
        <v>45900.18</v>
      </c>
      <c r="I956">
        <v>12192.09</v>
      </c>
      <c r="J956">
        <v>15252.56</v>
      </c>
      <c r="K956">
        <v>10438.99</v>
      </c>
      <c r="L956">
        <v>-206.52</v>
      </c>
      <c r="M956">
        <v>3329.34</v>
      </c>
    </row>
    <row r="957" spans="1:13">
      <c r="A957">
        <v>4</v>
      </c>
      <c r="B957" t="s">
        <v>203</v>
      </c>
      <c r="C957">
        <v>19</v>
      </c>
      <c r="D957">
        <v>1</v>
      </c>
      <c r="E957">
        <v>4</v>
      </c>
      <c r="F957" t="s">
        <v>202</v>
      </c>
      <c r="G957">
        <v>5.92</v>
      </c>
      <c r="H957">
        <v>56350.54</v>
      </c>
      <c r="I957">
        <v>11694.44</v>
      </c>
      <c r="J957">
        <v>15252.56</v>
      </c>
      <c r="K957">
        <v>10040.56</v>
      </c>
      <c r="L957">
        <v>-704.17</v>
      </c>
      <c r="M957">
        <v>3329.34</v>
      </c>
    </row>
    <row r="958" spans="1:13">
      <c r="A958">
        <v>4</v>
      </c>
      <c r="B958" t="s">
        <v>203</v>
      </c>
      <c r="C958">
        <v>20</v>
      </c>
      <c r="D958">
        <v>1</v>
      </c>
      <c r="E958">
        <v>4</v>
      </c>
      <c r="F958" t="s">
        <v>201</v>
      </c>
      <c r="G958">
        <v>0</v>
      </c>
      <c r="H958">
        <v>56350.54</v>
      </c>
      <c r="I958">
        <v>11694.44</v>
      </c>
      <c r="J958">
        <v>15252.56</v>
      </c>
      <c r="K958">
        <v>10040.56</v>
      </c>
      <c r="L958">
        <v>-704.17</v>
      </c>
      <c r="M958">
        <v>3329.34</v>
      </c>
    </row>
    <row r="959" spans="1:13">
      <c r="A959">
        <v>4</v>
      </c>
      <c r="B959" t="s">
        <v>203</v>
      </c>
      <c r="C959">
        <v>20</v>
      </c>
      <c r="D959">
        <v>1</v>
      </c>
      <c r="E959">
        <v>4</v>
      </c>
      <c r="F959" t="s">
        <v>202</v>
      </c>
      <c r="G959">
        <v>0.27500000000000002</v>
      </c>
      <c r="H959">
        <v>59545.01</v>
      </c>
      <c r="I959">
        <v>11538.03</v>
      </c>
      <c r="J959">
        <v>15252.56</v>
      </c>
      <c r="K959">
        <v>9825.42</v>
      </c>
      <c r="L959">
        <v>-860.58</v>
      </c>
      <c r="M959">
        <v>3329.34</v>
      </c>
    </row>
    <row r="960" spans="1:13">
      <c r="A960">
        <v>4</v>
      </c>
      <c r="B960" t="s">
        <v>203</v>
      </c>
      <c r="C960">
        <v>21</v>
      </c>
      <c r="D960">
        <v>4</v>
      </c>
      <c r="E960">
        <v>0</v>
      </c>
      <c r="F960" t="s">
        <v>201</v>
      </c>
      <c r="G960">
        <v>0</v>
      </c>
      <c r="H960">
        <v>-3379.27</v>
      </c>
      <c r="I960">
        <v>20037.84</v>
      </c>
      <c r="J960">
        <v>0</v>
      </c>
      <c r="K960">
        <v>0</v>
      </c>
      <c r="L960">
        <v>0</v>
      </c>
      <c r="M960">
        <v>0</v>
      </c>
    </row>
    <row r="961" spans="1:13">
      <c r="A961">
        <v>4</v>
      </c>
      <c r="B961" t="s">
        <v>203</v>
      </c>
      <c r="C961">
        <v>21</v>
      </c>
      <c r="D961">
        <v>1</v>
      </c>
      <c r="E961">
        <v>0</v>
      </c>
      <c r="F961" t="s">
        <v>202</v>
      </c>
      <c r="G961">
        <v>0.27500000000000002</v>
      </c>
      <c r="H961">
        <v>-696.5</v>
      </c>
      <c r="I961">
        <v>890.09</v>
      </c>
      <c r="J961">
        <v>0</v>
      </c>
      <c r="K961">
        <v>0</v>
      </c>
      <c r="L961">
        <v>0</v>
      </c>
      <c r="M961">
        <v>0</v>
      </c>
    </row>
    <row r="962" spans="1:13">
      <c r="A962">
        <v>4</v>
      </c>
      <c r="B962" t="s">
        <v>203</v>
      </c>
      <c r="C962">
        <v>22</v>
      </c>
      <c r="D962">
        <v>1</v>
      </c>
      <c r="E962">
        <v>0</v>
      </c>
      <c r="F962" t="s">
        <v>201</v>
      </c>
      <c r="G962">
        <v>0</v>
      </c>
      <c r="H962">
        <v>-696.5</v>
      </c>
      <c r="I962">
        <v>890.09</v>
      </c>
      <c r="J962">
        <v>0</v>
      </c>
      <c r="K962">
        <v>0</v>
      </c>
      <c r="L962">
        <v>0</v>
      </c>
      <c r="M962">
        <v>0</v>
      </c>
    </row>
    <row r="963" spans="1:13">
      <c r="A963">
        <v>4</v>
      </c>
      <c r="B963" t="s">
        <v>203</v>
      </c>
      <c r="C963">
        <v>22</v>
      </c>
      <c r="D963">
        <v>4</v>
      </c>
      <c r="E963">
        <v>0</v>
      </c>
      <c r="F963" t="s">
        <v>202</v>
      </c>
      <c r="G963">
        <v>1.5649999999999999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</row>
    <row r="964" spans="1:13">
      <c r="A964">
        <v>4</v>
      </c>
      <c r="B964" t="s">
        <v>203</v>
      </c>
      <c r="C964">
        <v>23</v>
      </c>
      <c r="D964">
        <v>4</v>
      </c>
      <c r="E964">
        <v>0</v>
      </c>
      <c r="F964" t="s">
        <v>201</v>
      </c>
      <c r="G964">
        <v>0</v>
      </c>
      <c r="H964">
        <v>-74683.539999999994</v>
      </c>
      <c r="I964">
        <v>18390.89</v>
      </c>
      <c r="J964">
        <v>-6851.06</v>
      </c>
      <c r="K964">
        <v>0</v>
      </c>
      <c r="L964">
        <v>0</v>
      </c>
      <c r="M964">
        <v>0</v>
      </c>
    </row>
    <row r="965" spans="1:13">
      <c r="A965">
        <v>4</v>
      </c>
      <c r="B965" t="s">
        <v>203</v>
      </c>
      <c r="C965">
        <v>23</v>
      </c>
      <c r="D965">
        <v>4</v>
      </c>
      <c r="E965">
        <v>0</v>
      </c>
      <c r="F965" t="s">
        <v>202</v>
      </c>
      <c r="G965">
        <v>1.175</v>
      </c>
      <c r="H965">
        <v>-53074.239999999998</v>
      </c>
      <c r="I965">
        <v>18390.89</v>
      </c>
      <c r="J965">
        <v>-6851.06</v>
      </c>
      <c r="K965">
        <v>0</v>
      </c>
      <c r="L965">
        <v>0</v>
      </c>
      <c r="M965">
        <v>0</v>
      </c>
    </row>
    <row r="966" spans="1:13">
      <c r="A966">
        <v>4</v>
      </c>
      <c r="B966" t="s">
        <v>203</v>
      </c>
      <c r="C966">
        <v>24</v>
      </c>
      <c r="D966">
        <v>2</v>
      </c>
      <c r="E966">
        <v>0</v>
      </c>
      <c r="F966" t="s">
        <v>201</v>
      </c>
      <c r="G966">
        <v>0</v>
      </c>
      <c r="H966">
        <v>-62741.5</v>
      </c>
      <c r="I966">
        <v>14879.24</v>
      </c>
      <c r="J966">
        <v>-27338.65</v>
      </c>
      <c r="K966">
        <v>0</v>
      </c>
      <c r="L966">
        <v>0</v>
      </c>
      <c r="M966">
        <v>0</v>
      </c>
    </row>
    <row r="967" spans="1:13">
      <c r="A967">
        <v>4</v>
      </c>
      <c r="B967" t="s">
        <v>203</v>
      </c>
      <c r="C967">
        <v>24</v>
      </c>
      <c r="D967">
        <v>2</v>
      </c>
      <c r="E967">
        <v>0</v>
      </c>
      <c r="F967" t="s">
        <v>202</v>
      </c>
      <c r="G967">
        <v>1.175</v>
      </c>
      <c r="H967">
        <v>-45258.39</v>
      </c>
      <c r="I967">
        <v>14879.24</v>
      </c>
      <c r="J967">
        <v>-27338.65</v>
      </c>
      <c r="K967">
        <v>0</v>
      </c>
      <c r="L967">
        <v>0</v>
      </c>
      <c r="M967">
        <v>0</v>
      </c>
    </row>
    <row r="968" spans="1:13">
      <c r="A968">
        <v>4</v>
      </c>
      <c r="B968" t="s">
        <v>203</v>
      </c>
      <c r="C968">
        <v>25</v>
      </c>
      <c r="D968">
        <v>4</v>
      </c>
      <c r="E968">
        <v>0</v>
      </c>
      <c r="F968" t="s">
        <v>201</v>
      </c>
      <c r="G968">
        <v>0</v>
      </c>
      <c r="H968">
        <v>-30894.959999999999</v>
      </c>
      <c r="I968">
        <v>7280.71</v>
      </c>
      <c r="J968">
        <v>-24830.34</v>
      </c>
      <c r="K968">
        <v>0</v>
      </c>
      <c r="L968">
        <v>0</v>
      </c>
      <c r="M968">
        <v>0</v>
      </c>
    </row>
    <row r="969" spans="1:13">
      <c r="A969">
        <v>4</v>
      </c>
      <c r="B969" t="s">
        <v>203</v>
      </c>
      <c r="C969">
        <v>25</v>
      </c>
      <c r="D969">
        <v>4</v>
      </c>
      <c r="E969">
        <v>0</v>
      </c>
      <c r="F969" t="s">
        <v>202</v>
      </c>
      <c r="G969">
        <v>1.175</v>
      </c>
      <c r="H969">
        <v>-22340.13</v>
      </c>
      <c r="I969">
        <v>7280.71</v>
      </c>
      <c r="J969">
        <v>-24830.34</v>
      </c>
      <c r="K969">
        <v>0</v>
      </c>
      <c r="L969">
        <v>0</v>
      </c>
      <c r="M969">
        <v>0</v>
      </c>
    </row>
    <row r="970" spans="1:13">
      <c r="A970">
        <v>4</v>
      </c>
      <c r="B970" t="s">
        <v>203</v>
      </c>
      <c r="C970">
        <v>26</v>
      </c>
      <c r="D970">
        <v>2</v>
      </c>
      <c r="E970">
        <v>4</v>
      </c>
      <c r="F970" t="s">
        <v>201</v>
      </c>
      <c r="G970">
        <v>0</v>
      </c>
      <c r="H970">
        <v>-162.16999999999999</v>
      </c>
      <c r="I970">
        <v>36.729999999999997</v>
      </c>
      <c r="J970">
        <v>-17725.8</v>
      </c>
      <c r="K970">
        <v>3656.55</v>
      </c>
      <c r="L970">
        <v>-865.39</v>
      </c>
      <c r="M970">
        <v>-21652.94</v>
      </c>
    </row>
    <row r="971" spans="1:13">
      <c r="A971">
        <v>4</v>
      </c>
      <c r="B971" t="s">
        <v>203</v>
      </c>
      <c r="C971">
        <v>26</v>
      </c>
      <c r="D971">
        <v>2</v>
      </c>
      <c r="E971">
        <v>4</v>
      </c>
      <c r="F971" t="s">
        <v>202</v>
      </c>
      <c r="G971">
        <v>1.175</v>
      </c>
      <c r="H971">
        <v>-119.01</v>
      </c>
      <c r="I971">
        <v>36.729999999999997</v>
      </c>
      <c r="J971">
        <v>-17725.8</v>
      </c>
      <c r="K971">
        <v>2639.71</v>
      </c>
      <c r="L971">
        <v>-865.39</v>
      </c>
      <c r="M971">
        <v>-21652.94</v>
      </c>
    </row>
    <row r="972" spans="1:13">
      <c r="A972">
        <v>4</v>
      </c>
      <c r="B972" t="s">
        <v>203</v>
      </c>
      <c r="C972">
        <v>27</v>
      </c>
      <c r="D972">
        <v>0</v>
      </c>
      <c r="E972">
        <v>2</v>
      </c>
      <c r="F972" t="s">
        <v>201</v>
      </c>
      <c r="G972">
        <v>0</v>
      </c>
      <c r="H972">
        <v>0</v>
      </c>
      <c r="I972">
        <v>0</v>
      </c>
      <c r="J972">
        <v>0</v>
      </c>
      <c r="K972">
        <v>35808.230000000003</v>
      </c>
      <c r="L972">
        <v>-8465.18</v>
      </c>
      <c r="M972">
        <v>-24315.54</v>
      </c>
    </row>
    <row r="973" spans="1:13">
      <c r="A973">
        <v>4</v>
      </c>
      <c r="B973" t="s">
        <v>203</v>
      </c>
      <c r="C973">
        <v>27</v>
      </c>
      <c r="D973">
        <v>0</v>
      </c>
      <c r="E973">
        <v>2</v>
      </c>
      <c r="F973" t="s">
        <v>202</v>
      </c>
      <c r="G973">
        <v>1.175</v>
      </c>
      <c r="H973">
        <v>0</v>
      </c>
      <c r="I973">
        <v>0</v>
      </c>
      <c r="J973">
        <v>0</v>
      </c>
      <c r="K973">
        <v>25861.65</v>
      </c>
      <c r="L973">
        <v>-8465.18</v>
      </c>
      <c r="M973">
        <v>-24315.54</v>
      </c>
    </row>
    <row r="974" spans="1:13">
      <c r="A974">
        <v>4</v>
      </c>
      <c r="B974" t="s">
        <v>203</v>
      </c>
      <c r="C974">
        <v>28</v>
      </c>
      <c r="D974">
        <v>0</v>
      </c>
      <c r="E974">
        <v>4</v>
      </c>
      <c r="F974" t="s">
        <v>201</v>
      </c>
      <c r="G974">
        <v>0</v>
      </c>
      <c r="H974">
        <v>0</v>
      </c>
      <c r="I974">
        <v>0</v>
      </c>
      <c r="J974">
        <v>0</v>
      </c>
      <c r="K974">
        <v>67174.05</v>
      </c>
      <c r="L974">
        <v>-15982.79</v>
      </c>
      <c r="M974">
        <v>-23657.11</v>
      </c>
    </row>
    <row r="975" spans="1:13">
      <c r="A975">
        <v>4</v>
      </c>
      <c r="B975" t="s">
        <v>203</v>
      </c>
      <c r="C975">
        <v>28</v>
      </c>
      <c r="D975">
        <v>0</v>
      </c>
      <c r="E975">
        <v>4</v>
      </c>
      <c r="F975" t="s">
        <v>202</v>
      </c>
      <c r="G975">
        <v>1.175</v>
      </c>
      <c r="H975">
        <v>0</v>
      </c>
      <c r="I975">
        <v>0</v>
      </c>
      <c r="J975">
        <v>0</v>
      </c>
      <c r="K975">
        <v>48394.27</v>
      </c>
      <c r="L975">
        <v>-15982.79</v>
      </c>
      <c r="M975">
        <v>-23657.11</v>
      </c>
    </row>
    <row r="976" spans="1:13">
      <c r="A976">
        <v>4</v>
      </c>
      <c r="B976" t="s">
        <v>203</v>
      </c>
      <c r="C976">
        <v>29</v>
      </c>
      <c r="D976">
        <v>0</v>
      </c>
      <c r="E976">
        <v>2</v>
      </c>
      <c r="F976" t="s">
        <v>201</v>
      </c>
      <c r="G976">
        <v>0</v>
      </c>
      <c r="H976">
        <v>0</v>
      </c>
      <c r="I976">
        <v>0</v>
      </c>
      <c r="J976">
        <v>0</v>
      </c>
      <c r="K976">
        <v>62926.45</v>
      </c>
      <c r="L976">
        <v>-15411.28</v>
      </c>
      <c r="M976">
        <v>-7824.62</v>
      </c>
    </row>
    <row r="977" spans="1:13">
      <c r="A977">
        <v>4</v>
      </c>
      <c r="B977" t="s">
        <v>203</v>
      </c>
      <c r="C977">
        <v>29</v>
      </c>
      <c r="D977">
        <v>0</v>
      </c>
      <c r="E977">
        <v>2</v>
      </c>
      <c r="F977" t="s">
        <v>202</v>
      </c>
      <c r="G977">
        <v>1.175</v>
      </c>
      <c r="H977">
        <v>0</v>
      </c>
      <c r="I977">
        <v>0</v>
      </c>
      <c r="J977">
        <v>0</v>
      </c>
      <c r="K977">
        <v>44818.19</v>
      </c>
      <c r="L977">
        <v>-15411.28</v>
      </c>
      <c r="M977">
        <v>-7824.62</v>
      </c>
    </row>
    <row r="978" spans="1:13">
      <c r="A978">
        <v>4</v>
      </c>
      <c r="B978" t="s">
        <v>203</v>
      </c>
      <c r="C978">
        <v>30</v>
      </c>
      <c r="D978">
        <v>4</v>
      </c>
      <c r="E978">
        <v>0</v>
      </c>
      <c r="F978" t="s">
        <v>201</v>
      </c>
      <c r="G978">
        <v>0</v>
      </c>
      <c r="H978">
        <v>-53074.239999999998</v>
      </c>
      <c r="I978">
        <v>18390.89</v>
      </c>
      <c r="J978">
        <v>-6851.06</v>
      </c>
      <c r="K978">
        <v>0</v>
      </c>
      <c r="L978">
        <v>0</v>
      </c>
      <c r="M978">
        <v>0</v>
      </c>
    </row>
    <row r="979" spans="1:13">
      <c r="A979">
        <v>4</v>
      </c>
      <c r="B979" t="s">
        <v>203</v>
      </c>
      <c r="C979">
        <v>30</v>
      </c>
      <c r="D979">
        <v>4</v>
      </c>
      <c r="E979">
        <v>0</v>
      </c>
      <c r="F979" t="s">
        <v>202</v>
      </c>
      <c r="G979">
        <v>6.1749999999999998</v>
      </c>
      <c r="H979">
        <v>-42158.34</v>
      </c>
      <c r="I979">
        <v>18390.89</v>
      </c>
      <c r="J979">
        <v>-8332.26</v>
      </c>
      <c r="K979">
        <v>0</v>
      </c>
      <c r="L979">
        <v>0</v>
      </c>
      <c r="M979">
        <v>0</v>
      </c>
    </row>
    <row r="980" spans="1:13">
      <c r="A980">
        <v>4</v>
      </c>
      <c r="B980" t="s">
        <v>203</v>
      </c>
      <c r="C980">
        <v>31</v>
      </c>
      <c r="D980">
        <v>4</v>
      </c>
      <c r="E980">
        <v>0</v>
      </c>
      <c r="F980" t="s">
        <v>201</v>
      </c>
      <c r="G980">
        <v>0</v>
      </c>
      <c r="H980">
        <v>59752.85</v>
      </c>
      <c r="I980">
        <v>18485.509999999998</v>
      </c>
      <c r="J980">
        <v>-4014.16</v>
      </c>
      <c r="K980">
        <v>0</v>
      </c>
      <c r="L980">
        <v>0</v>
      </c>
      <c r="M980">
        <v>0</v>
      </c>
    </row>
    <row r="981" spans="1:13">
      <c r="A981">
        <v>4</v>
      </c>
      <c r="B981" t="s">
        <v>203</v>
      </c>
      <c r="C981">
        <v>31</v>
      </c>
      <c r="D981">
        <v>2</v>
      </c>
      <c r="E981">
        <v>0</v>
      </c>
      <c r="F981" t="s">
        <v>202</v>
      </c>
      <c r="G981">
        <v>6.1749999999999998</v>
      </c>
      <c r="H981">
        <v>-44297.98</v>
      </c>
      <c r="I981">
        <v>14879.24</v>
      </c>
      <c r="J981">
        <v>-28819.85</v>
      </c>
      <c r="K981">
        <v>0</v>
      </c>
      <c r="L981">
        <v>0</v>
      </c>
      <c r="M981">
        <v>0</v>
      </c>
    </row>
    <row r="982" spans="1:13">
      <c r="A982">
        <v>4</v>
      </c>
      <c r="B982" t="s">
        <v>203</v>
      </c>
      <c r="C982">
        <v>32</v>
      </c>
      <c r="D982">
        <v>2</v>
      </c>
      <c r="E982">
        <v>0</v>
      </c>
      <c r="F982" t="s">
        <v>201</v>
      </c>
      <c r="G982">
        <v>0</v>
      </c>
      <c r="H982">
        <v>-36410.230000000003</v>
      </c>
      <c r="I982">
        <v>14781.52</v>
      </c>
      <c r="J982">
        <v>-25599.69</v>
      </c>
      <c r="K982">
        <v>0</v>
      </c>
      <c r="L982">
        <v>0</v>
      </c>
      <c r="M982">
        <v>0</v>
      </c>
    </row>
    <row r="983" spans="1:13">
      <c r="A983">
        <v>4</v>
      </c>
      <c r="B983" t="s">
        <v>203</v>
      </c>
      <c r="C983">
        <v>32</v>
      </c>
      <c r="D983">
        <v>2</v>
      </c>
      <c r="E983">
        <v>0</v>
      </c>
      <c r="F983" t="s">
        <v>202</v>
      </c>
      <c r="G983">
        <v>6.1749999999999998</v>
      </c>
      <c r="H983">
        <v>46399.53</v>
      </c>
      <c r="I983">
        <v>14781.52</v>
      </c>
      <c r="J983">
        <v>-27080.89</v>
      </c>
      <c r="K983">
        <v>0</v>
      </c>
      <c r="L983">
        <v>0</v>
      </c>
      <c r="M983">
        <v>0</v>
      </c>
    </row>
    <row r="984" spans="1:13">
      <c r="A984">
        <v>4</v>
      </c>
      <c r="B984" t="s">
        <v>203</v>
      </c>
      <c r="C984">
        <v>33</v>
      </c>
      <c r="D984">
        <v>4</v>
      </c>
      <c r="E984">
        <v>0</v>
      </c>
      <c r="F984" t="s">
        <v>201</v>
      </c>
      <c r="G984">
        <v>0</v>
      </c>
      <c r="H984">
        <v>-22116.09</v>
      </c>
      <c r="I984">
        <v>7224.73</v>
      </c>
      <c r="J984">
        <v>-24078.91</v>
      </c>
      <c r="K984">
        <v>0</v>
      </c>
      <c r="L984">
        <v>0</v>
      </c>
      <c r="M984">
        <v>0</v>
      </c>
    </row>
    <row r="985" spans="1:13">
      <c r="A985">
        <v>4</v>
      </c>
      <c r="B985" t="s">
        <v>203</v>
      </c>
      <c r="C985">
        <v>33</v>
      </c>
      <c r="D985">
        <v>4</v>
      </c>
      <c r="E985">
        <v>0</v>
      </c>
      <c r="F985" t="s">
        <v>202</v>
      </c>
      <c r="G985">
        <v>6.1749999999999998</v>
      </c>
      <c r="H985">
        <v>-17951.61</v>
      </c>
      <c r="I985">
        <v>7224.73</v>
      </c>
      <c r="J985">
        <v>-25560.11</v>
      </c>
      <c r="K985">
        <v>0</v>
      </c>
      <c r="L985">
        <v>0</v>
      </c>
      <c r="M985">
        <v>0</v>
      </c>
    </row>
    <row r="986" spans="1:13">
      <c r="A986">
        <v>4</v>
      </c>
      <c r="B986" t="s">
        <v>203</v>
      </c>
      <c r="C986">
        <v>34</v>
      </c>
      <c r="D986">
        <v>4</v>
      </c>
      <c r="E986">
        <v>0</v>
      </c>
      <c r="F986" t="s">
        <v>201</v>
      </c>
      <c r="G986">
        <v>0</v>
      </c>
      <c r="H986">
        <v>22555.17</v>
      </c>
      <c r="I986">
        <v>7208.99</v>
      </c>
      <c r="J986">
        <v>-24591.69</v>
      </c>
      <c r="K986">
        <v>0</v>
      </c>
      <c r="L986">
        <v>0</v>
      </c>
      <c r="M986">
        <v>0</v>
      </c>
    </row>
    <row r="987" spans="1:13">
      <c r="A987">
        <v>4</v>
      </c>
      <c r="B987" t="s">
        <v>203</v>
      </c>
      <c r="C987">
        <v>34</v>
      </c>
      <c r="D987">
        <v>2</v>
      </c>
      <c r="E987">
        <v>4</v>
      </c>
      <c r="F987" t="s">
        <v>202</v>
      </c>
      <c r="G987">
        <v>6.1749999999999998</v>
      </c>
      <c r="H987">
        <v>-135</v>
      </c>
      <c r="I987">
        <v>20.99</v>
      </c>
      <c r="J987">
        <v>-19719.78</v>
      </c>
      <c r="K987">
        <v>2623.72</v>
      </c>
      <c r="L987">
        <v>-881.13</v>
      </c>
      <c r="M987">
        <v>-23646.93</v>
      </c>
    </row>
    <row r="988" spans="1:13">
      <c r="A988">
        <v>4</v>
      </c>
      <c r="B988" t="s">
        <v>203</v>
      </c>
      <c r="C988">
        <v>35</v>
      </c>
      <c r="D988">
        <v>0</v>
      </c>
      <c r="E988">
        <v>4</v>
      </c>
      <c r="F988" t="s">
        <v>201</v>
      </c>
      <c r="G988">
        <v>0</v>
      </c>
      <c r="H988">
        <v>0</v>
      </c>
      <c r="I988">
        <v>0</v>
      </c>
      <c r="J988">
        <v>0</v>
      </c>
      <c r="K988">
        <v>2420.83</v>
      </c>
      <c r="L988">
        <v>-933.53</v>
      </c>
      <c r="M988">
        <v>-22813.15</v>
      </c>
    </row>
    <row r="989" spans="1:13">
      <c r="A989">
        <v>4</v>
      </c>
      <c r="B989" t="s">
        <v>203</v>
      </c>
      <c r="C989">
        <v>35</v>
      </c>
      <c r="D989">
        <v>0</v>
      </c>
      <c r="E989">
        <v>4</v>
      </c>
      <c r="F989" t="s">
        <v>202</v>
      </c>
      <c r="G989">
        <v>6.1749999999999998</v>
      </c>
      <c r="H989">
        <v>0</v>
      </c>
      <c r="I989">
        <v>0</v>
      </c>
      <c r="J989">
        <v>0</v>
      </c>
      <c r="K989">
        <v>-2845.04</v>
      </c>
      <c r="L989">
        <v>-933.53</v>
      </c>
      <c r="M989">
        <v>-24294.35</v>
      </c>
    </row>
    <row r="990" spans="1:13">
      <c r="A990">
        <v>4</v>
      </c>
      <c r="B990" t="s">
        <v>203</v>
      </c>
      <c r="C990">
        <v>36</v>
      </c>
      <c r="D990">
        <v>0</v>
      </c>
      <c r="E990">
        <v>2</v>
      </c>
      <c r="F990" t="s">
        <v>201</v>
      </c>
      <c r="G990">
        <v>0</v>
      </c>
      <c r="H990">
        <v>0</v>
      </c>
      <c r="I990">
        <v>0</v>
      </c>
      <c r="J990">
        <v>0</v>
      </c>
      <c r="K990">
        <v>26574.959999999999</v>
      </c>
      <c r="L990">
        <v>-8647.15</v>
      </c>
      <c r="M990">
        <v>-28473.25</v>
      </c>
    </row>
    <row r="991" spans="1:13">
      <c r="A991">
        <v>4</v>
      </c>
      <c r="B991" t="s">
        <v>203</v>
      </c>
      <c r="C991">
        <v>36</v>
      </c>
      <c r="D991">
        <v>0</v>
      </c>
      <c r="E991">
        <v>2</v>
      </c>
      <c r="F991" t="s">
        <v>202</v>
      </c>
      <c r="G991">
        <v>6.1749999999999998</v>
      </c>
      <c r="H991">
        <v>0</v>
      </c>
      <c r="I991">
        <v>0</v>
      </c>
      <c r="J991">
        <v>0</v>
      </c>
      <c r="K991">
        <v>20505.900000000001</v>
      </c>
      <c r="L991">
        <v>-8647.15</v>
      </c>
      <c r="M991">
        <v>-29954.45</v>
      </c>
    </row>
    <row r="992" spans="1:13">
      <c r="A992">
        <v>4</v>
      </c>
      <c r="B992" t="s">
        <v>204</v>
      </c>
      <c r="C992">
        <v>1</v>
      </c>
      <c r="D992">
        <v>1</v>
      </c>
      <c r="E992">
        <v>0</v>
      </c>
      <c r="F992" t="s">
        <v>201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</row>
    <row r="993" spans="1:13">
      <c r="A993">
        <v>4</v>
      </c>
      <c r="B993" t="s">
        <v>204</v>
      </c>
      <c r="C993">
        <v>1</v>
      </c>
      <c r="D993">
        <v>1</v>
      </c>
      <c r="E993">
        <v>0</v>
      </c>
      <c r="F993" t="s">
        <v>202</v>
      </c>
      <c r="G993">
        <v>1.5649999999999999</v>
      </c>
      <c r="H993">
        <v>-696.5</v>
      </c>
      <c r="I993">
        <v>-890.09</v>
      </c>
      <c r="J993">
        <v>0</v>
      </c>
      <c r="K993">
        <v>0</v>
      </c>
      <c r="L993">
        <v>0</v>
      </c>
      <c r="M993">
        <v>0</v>
      </c>
    </row>
    <row r="994" spans="1:13">
      <c r="A994">
        <v>4</v>
      </c>
      <c r="B994" t="s">
        <v>204</v>
      </c>
      <c r="C994">
        <v>2</v>
      </c>
      <c r="D994">
        <v>1</v>
      </c>
      <c r="E994">
        <v>0</v>
      </c>
      <c r="F994" t="s">
        <v>201</v>
      </c>
      <c r="G994">
        <v>0</v>
      </c>
      <c r="H994">
        <v>-696.5</v>
      </c>
      <c r="I994">
        <v>-890.09</v>
      </c>
      <c r="J994">
        <v>0</v>
      </c>
      <c r="K994">
        <v>0</v>
      </c>
      <c r="L994">
        <v>0</v>
      </c>
      <c r="M994">
        <v>0</v>
      </c>
    </row>
    <row r="995" spans="1:13">
      <c r="A995">
        <v>4</v>
      </c>
      <c r="B995" t="s">
        <v>204</v>
      </c>
      <c r="C995">
        <v>2</v>
      </c>
      <c r="D995">
        <v>0</v>
      </c>
      <c r="E995">
        <v>4</v>
      </c>
      <c r="F995" t="s">
        <v>202</v>
      </c>
      <c r="G995">
        <v>0.27500000000000002</v>
      </c>
      <c r="H995">
        <v>0</v>
      </c>
      <c r="I995">
        <v>0</v>
      </c>
      <c r="J995">
        <v>0</v>
      </c>
      <c r="K995">
        <v>-3278.69</v>
      </c>
      <c r="L995">
        <v>-19331.09</v>
      </c>
      <c r="M995">
        <v>0</v>
      </c>
    </row>
    <row r="996" spans="1:13">
      <c r="A996">
        <v>4</v>
      </c>
      <c r="B996" t="s">
        <v>204</v>
      </c>
      <c r="C996">
        <v>3</v>
      </c>
      <c r="D996">
        <v>4</v>
      </c>
      <c r="E996">
        <v>0</v>
      </c>
      <c r="F996" t="s">
        <v>201</v>
      </c>
      <c r="G996">
        <v>0</v>
      </c>
      <c r="H996">
        <v>70205.960000000006</v>
      </c>
      <c r="I996">
        <v>-12143.37</v>
      </c>
      <c r="J996">
        <v>18264.34</v>
      </c>
      <c r="K996">
        <v>0</v>
      </c>
      <c r="L996">
        <v>0</v>
      </c>
      <c r="M996">
        <v>0</v>
      </c>
    </row>
    <row r="997" spans="1:13">
      <c r="A997">
        <v>4</v>
      </c>
      <c r="B997" t="s">
        <v>204</v>
      </c>
      <c r="C997">
        <v>3</v>
      </c>
      <c r="D997">
        <v>4</v>
      </c>
      <c r="E997">
        <v>0</v>
      </c>
      <c r="F997" t="s">
        <v>202</v>
      </c>
      <c r="G997">
        <v>0.27500000000000002</v>
      </c>
      <c r="H997">
        <v>66845.03</v>
      </c>
      <c r="I997">
        <v>-12299.77</v>
      </c>
      <c r="J997">
        <v>18264.34</v>
      </c>
      <c r="K997">
        <v>0</v>
      </c>
      <c r="L997">
        <v>0</v>
      </c>
      <c r="M997">
        <v>0</v>
      </c>
    </row>
    <row r="998" spans="1:13">
      <c r="A998">
        <v>4</v>
      </c>
      <c r="B998" t="s">
        <v>204</v>
      </c>
      <c r="C998">
        <v>4</v>
      </c>
      <c r="D998">
        <v>4</v>
      </c>
      <c r="E998">
        <v>0</v>
      </c>
      <c r="F998" t="s">
        <v>201</v>
      </c>
      <c r="G998">
        <v>0</v>
      </c>
      <c r="H998">
        <v>66845.03</v>
      </c>
      <c r="I998">
        <v>-12299.77</v>
      </c>
      <c r="J998">
        <v>18264.34</v>
      </c>
      <c r="K998">
        <v>0</v>
      </c>
      <c r="L998">
        <v>0</v>
      </c>
      <c r="M998">
        <v>0</v>
      </c>
    </row>
    <row r="999" spans="1:13">
      <c r="A999">
        <v>4</v>
      </c>
      <c r="B999" t="s">
        <v>204</v>
      </c>
      <c r="C999">
        <v>4</v>
      </c>
      <c r="D999">
        <v>4</v>
      </c>
      <c r="E999">
        <v>0</v>
      </c>
      <c r="F999">
        <v>1</v>
      </c>
      <c r="G999">
        <v>0.875</v>
      </c>
      <c r="H999">
        <v>56082.73</v>
      </c>
      <c r="I999">
        <v>-12299.77</v>
      </c>
      <c r="J999">
        <v>18264.34</v>
      </c>
      <c r="K999">
        <v>0</v>
      </c>
      <c r="L999">
        <v>0</v>
      </c>
      <c r="M999">
        <v>0</v>
      </c>
    </row>
    <row r="1000" spans="1:13">
      <c r="A1000">
        <v>4</v>
      </c>
      <c r="B1000" t="s">
        <v>204</v>
      </c>
      <c r="C1000">
        <v>4</v>
      </c>
      <c r="D1000">
        <v>4</v>
      </c>
      <c r="E1000">
        <v>0</v>
      </c>
      <c r="F1000">
        <v>2</v>
      </c>
      <c r="G1000">
        <v>2.9609999999999999</v>
      </c>
      <c r="H1000">
        <v>21665.4</v>
      </c>
      <c r="I1000">
        <v>-17502.740000000002</v>
      </c>
      <c r="J1000">
        <v>18264.34</v>
      </c>
      <c r="K1000">
        <v>0</v>
      </c>
      <c r="L1000">
        <v>0</v>
      </c>
      <c r="M1000">
        <v>0</v>
      </c>
    </row>
    <row r="1001" spans="1:13">
      <c r="A1001">
        <v>4</v>
      </c>
      <c r="B1001" t="s">
        <v>204</v>
      </c>
      <c r="C1001">
        <v>4</v>
      </c>
      <c r="D1001">
        <v>4</v>
      </c>
      <c r="E1001">
        <v>0</v>
      </c>
      <c r="F1001">
        <v>3</v>
      </c>
      <c r="G1001">
        <v>5.0460000000000003</v>
      </c>
      <c r="H1001">
        <v>-16064.06</v>
      </c>
      <c r="I1001">
        <v>-18688.59</v>
      </c>
      <c r="J1001">
        <v>18264.34</v>
      </c>
      <c r="K1001">
        <v>0</v>
      </c>
      <c r="L1001">
        <v>0</v>
      </c>
      <c r="M1001">
        <v>0</v>
      </c>
    </row>
    <row r="1002" spans="1:13">
      <c r="A1002">
        <v>4</v>
      </c>
      <c r="B1002" t="s">
        <v>204</v>
      </c>
      <c r="C1002">
        <v>4</v>
      </c>
      <c r="D1002">
        <v>4</v>
      </c>
      <c r="E1002">
        <v>0</v>
      </c>
      <c r="F1002" t="s">
        <v>202</v>
      </c>
      <c r="G1002">
        <v>5.92</v>
      </c>
      <c r="H1002">
        <v>-32615.05</v>
      </c>
      <c r="I1002">
        <v>-19185.669999999998</v>
      </c>
      <c r="J1002">
        <v>18264.34</v>
      </c>
      <c r="K1002">
        <v>0</v>
      </c>
      <c r="L1002">
        <v>0</v>
      </c>
      <c r="M1002">
        <v>0</v>
      </c>
    </row>
    <row r="1003" spans="1:13">
      <c r="A1003">
        <v>4</v>
      </c>
      <c r="B1003" t="s">
        <v>204</v>
      </c>
      <c r="C1003">
        <v>5</v>
      </c>
      <c r="D1003">
        <v>4</v>
      </c>
      <c r="E1003">
        <v>0</v>
      </c>
      <c r="F1003" t="s">
        <v>201</v>
      </c>
      <c r="G1003">
        <v>0</v>
      </c>
      <c r="H1003">
        <v>-32615.05</v>
      </c>
      <c r="I1003">
        <v>-19185.669999999998</v>
      </c>
      <c r="J1003">
        <v>18264.34</v>
      </c>
      <c r="K1003">
        <v>0</v>
      </c>
      <c r="L1003">
        <v>0</v>
      </c>
      <c r="M1003">
        <v>0</v>
      </c>
    </row>
    <row r="1004" spans="1:13">
      <c r="A1004">
        <v>4</v>
      </c>
      <c r="B1004" t="s">
        <v>204</v>
      </c>
      <c r="C1004">
        <v>5</v>
      </c>
      <c r="D1004">
        <v>4</v>
      </c>
      <c r="E1004">
        <v>0</v>
      </c>
      <c r="F1004" t="s">
        <v>202</v>
      </c>
      <c r="G1004">
        <v>0.27500000000000002</v>
      </c>
      <c r="H1004">
        <v>-37912.620000000003</v>
      </c>
      <c r="I1004">
        <v>-19342.080000000002</v>
      </c>
      <c r="J1004">
        <v>18264.34</v>
      </c>
      <c r="K1004">
        <v>0</v>
      </c>
      <c r="L1004">
        <v>0</v>
      </c>
      <c r="M1004">
        <v>0</v>
      </c>
    </row>
    <row r="1005" spans="1:13">
      <c r="A1005">
        <v>4</v>
      </c>
      <c r="B1005" t="s">
        <v>204</v>
      </c>
      <c r="C1005">
        <v>6</v>
      </c>
      <c r="D1005">
        <v>2</v>
      </c>
      <c r="E1005">
        <v>0</v>
      </c>
      <c r="F1005" t="s">
        <v>201</v>
      </c>
      <c r="G1005">
        <v>0</v>
      </c>
      <c r="H1005">
        <v>23062.06</v>
      </c>
      <c r="I1005">
        <v>7937.95</v>
      </c>
      <c r="J1005">
        <v>32956.449999999997</v>
      </c>
      <c r="K1005">
        <v>0</v>
      </c>
      <c r="L1005">
        <v>0</v>
      </c>
      <c r="M1005">
        <v>0</v>
      </c>
    </row>
    <row r="1006" spans="1:13">
      <c r="A1006">
        <v>4</v>
      </c>
      <c r="B1006" t="s">
        <v>204</v>
      </c>
      <c r="C1006">
        <v>6</v>
      </c>
      <c r="D1006">
        <v>2</v>
      </c>
      <c r="E1006">
        <v>0</v>
      </c>
      <c r="F1006" t="s">
        <v>202</v>
      </c>
      <c r="G1006">
        <v>0.27500000000000002</v>
      </c>
      <c r="H1006">
        <v>23454.86</v>
      </c>
      <c r="I1006">
        <v>-5559.59</v>
      </c>
      <c r="J1006">
        <v>32956.449999999997</v>
      </c>
      <c r="K1006">
        <v>0</v>
      </c>
      <c r="L1006">
        <v>0</v>
      </c>
      <c r="M1006">
        <v>0</v>
      </c>
    </row>
    <row r="1007" spans="1:13">
      <c r="A1007">
        <v>4</v>
      </c>
      <c r="B1007" t="s">
        <v>204</v>
      </c>
      <c r="C1007">
        <v>7</v>
      </c>
      <c r="D1007">
        <v>2</v>
      </c>
      <c r="E1007">
        <v>0</v>
      </c>
      <c r="F1007" t="s">
        <v>201</v>
      </c>
      <c r="G1007">
        <v>0</v>
      </c>
      <c r="H1007">
        <v>23454.86</v>
      </c>
      <c r="I1007">
        <v>-5559.59</v>
      </c>
      <c r="J1007">
        <v>32956.449999999997</v>
      </c>
      <c r="K1007">
        <v>0</v>
      </c>
      <c r="L1007">
        <v>0</v>
      </c>
      <c r="M1007">
        <v>0</v>
      </c>
    </row>
    <row r="1008" spans="1:13">
      <c r="A1008">
        <v>4</v>
      </c>
      <c r="B1008" t="s">
        <v>204</v>
      </c>
      <c r="C1008">
        <v>7</v>
      </c>
      <c r="D1008">
        <v>2</v>
      </c>
      <c r="E1008">
        <v>0</v>
      </c>
      <c r="F1008">
        <v>1</v>
      </c>
      <c r="G1008">
        <v>0.875</v>
      </c>
      <c r="H1008">
        <v>18372.490000000002</v>
      </c>
      <c r="I1008">
        <v>-6057.25</v>
      </c>
      <c r="J1008">
        <v>32956.449999999997</v>
      </c>
      <c r="K1008">
        <v>0</v>
      </c>
      <c r="L1008">
        <v>0</v>
      </c>
      <c r="M1008">
        <v>0</v>
      </c>
    </row>
    <row r="1009" spans="1:13">
      <c r="A1009">
        <v>4</v>
      </c>
      <c r="B1009" t="s">
        <v>204</v>
      </c>
      <c r="C1009">
        <v>7</v>
      </c>
      <c r="D1009">
        <v>2</v>
      </c>
      <c r="E1009">
        <v>0</v>
      </c>
      <c r="F1009">
        <v>2</v>
      </c>
      <c r="G1009">
        <v>2.96</v>
      </c>
      <c r="H1009">
        <v>4506.8900000000003</v>
      </c>
      <c r="I1009">
        <v>-7243.09</v>
      </c>
      <c r="J1009">
        <v>32956.449999999997</v>
      </c>
      <c r="K1009">
        <v>0</v>
      </c>
      <c r="L1009">
        <v>0</v>
      </c>
      <c r="M1009">
        <v>0</v>
      </c>
    </row>
    <row r="1010" spans="1:13">
      <c r="A1010">
        <v>4</v>
      </c>
      <c r="B1010" t="s">
        <v>204</v>
      </c>
      <c r="C1010">
        <v>7</v>
      </c>
      <c r="D1010">
        <v>2</v>
      </c>
      <c r="E1010">
        <v>0</v>
      </c>
      <c r="F1010">
        <v>3</v>
      </c>
      <c r="G1010">
        <v>5.0449999999999999</v>
      </c>
      <c r="H1010">
        <v>-11831.2</v>
      </c>
      <c r="I1010">
        <v>-8428.94</v>
      </c>
      <c r="J1010">
        <v>32956.449999999997</v>
      </c>
      <c r="K1010">
        <v>0</v>
      </c>
      <c r="L1010">
        <v>0</v>
      </c>
      <c r="M1010">
        <v>0</v>
      </c>
    </row>
    <row r="1011" spans="1:13">
      <c r="A1011">
        <v>4</v>
      </c>
      <c r="B1011" t="s">
        <v>204</v>
      </c>
      <c r="C1011">
        <v>7</v>
      </c>
      <c r="D1011">
        <v>2</v>
      </c>
      <c r="E1011">
        <v>0</v>
      </c>
      <c r="F1011" t="s">
        <v>202</v>
      </c>
      <c r="G1011">
        <v>5.92</v>
      </c>
      <c r="H1011">
        <v>-19424.240000000002</v>
      </c>
      <c r="I1011">
        <v>-8926.59</v>
      </c>
      <c r="J1011">
        <v>32956.449999999997</v>
      </c>
      <c r="K1011">
        <v>0</v>
      </c>
      <c r="L1011">
        <v>0</v>
      </c>
      <c r="M1011">
        <v>0</v>
      </c>
    </row>
    <row r="1012" spans="1:13">
      <c r="A1012">
        <v>4</v>
      </c>
      <c r="B1012" t="s">
        <v>204</v>
      </c>
      <c r="C1012">
        <v>8</v>
      </c>
      <c r="D1012">
        <v>2</v>
      </c>
      <c r="E1012">
        <v>0</v>
      </c>
      <c r="F1012" t="s">
        <v>201</v>
      </c>
      <c r="G1012">
        <v>0</v>
      </c>
      <c r="H1012">
        <v>-19424.240000000002</v>
      </c>
      <c r="I1012">
        <v>-8926.59</v>
      </c>
      <c r="J1012">
        <v>32956.449999999997</v>
      </c>
      <c r="K1012">
        <v>0</v>
      </c>
      <c r="L1012">
        <v>0</v>
      </c>
      <c r="M1012">
        <v>0</v>
      </c>
    </row>
    <row r="1013" spans="1:13">
      <c r="A1013">
        <v>4</v>
      </c>
      <c r="B1013" t="s">
        <v>204</v>
      </c>
      <c r="C1013">
        <v>8</v>
      </c>
      <c r="D1013">
        <v>2</v>
      </c>
      <c r="E1013">
        <v>0</v>
      </c>
      <c r="F1013" t="s">
        <v>202</v>
      </c>
      <c r="G1013">
        <v>0.27500000000000002</v>
      </c>
      <c r="H1013">
        <v>-21900.560000000001</v>
      </c>
      <c r="I1013">
        <v>-9083</v>
      </c>
      <c r="J1013">
        <v>32956.449999999997</v>
      </c>
      <c r="K1013">
        <v>0</v>
      </c>
      <c r="L1013">
        <v>0</v>
      </c>
      <c r="M1013">
        <v>0</v>
      </c>
    </row>
    <row r="1014" spans="1:13">
      <c r="A1014">
        <v>4</v>
      </c>
      <c r="B1014" t="s">
        <v>204</v>
      </c>
      <c r="C1014">
        <v>9</v>
      </c>
      <c r="D1014">
        <v>1</v>
      </c>
      <c r="E1014">
        <v>0</v>
      </c>
      <c r="F1014" t="s">
        <v>201</v>
      </c>
      <c r="G1014">
        <v>0</v>
      </c>
      <c r="H1014">
        <v>7465.87</v>
      </c>
      <c r="I1014">
        <v>15521.62</v>
      </c>
      <c r="J1014">
        <v>40056.129999999997</v>
      </c>
      <c r="K1014">
        <v>0</v>
      </c>
      <c r="L1014">
        <v>0</v>
      </c>
      <c r="M1014">
        <v>0</v>
      </c>
    </row>
    <row r="1015" spans="1:13">
      <c r="A1015">
        <v>4</v>
      </c>
      <c r="B1015" t="s">
        <v>204</v>
      </c>
      <c r="C1015">
        <v>9</v>
      </c>
      <c r="D1015">
        <v>1</v>
      </c>
      <c r="E1015">
        <v>0</v>
      </c>
      <c r="F1015" t="s">
        <v>202</v>
      </c>
      <c r="G1015">
        <v>0.27500000000000002</v>
      </c>
      <c r="H1015">
        <v>8422.14</v>
      </c>
      <c r="I1015">
        <v>-1407.87</v>
      </c>
      <c r="J1015">
        <v>40056.129999999997</v>
      </c>
      <c r="K1015">
        <v>0</v>
      </c>
      <c r="L1015">
        <v>0</v>
      </c>
      <c r="M1015">
        <v>0</v>
      </c>
    </row>
    <row r="1016" spans="1:13">
      <c r="A1016">
        <v>4</v>
      </c>
      <c r="B1016" t="s">
        <v>204</v>
      </c>
      <c r="C1016">
        <v>10</v>
      </c>
      <c r="D1016">
        <v>1</v>
      </c>
      <c r="E1016">
        <v>0</v>
      </c>
      <c r="F1016" t="s">
        <v>201</v>
      </c>
      <c r="G1016">
        <v>0</v>
      </c>
      <c r="H1016">
        <v>8422.14</v>
      </c>
      <c r="I1016">
        <v>-1407.87</v>
      </c>
      <c r="J1016">
        <v>40056.129999999997</v>
      </c>
      <c r="K1016">
        <v>0</v>
      </c>
      <c r="L1016">
        <v>0</v>
      </c>
      <c r="M1016">
        <v>0</v>
      </c>
    </row>
    <row r="1017" spans="1:13">
      <c r="A1017">
        <v>4</v>
      </c>
      <c r="B1017" t="s">
        <v>204</v>
      </c>
      <c r="C1017">
        <v>10</v>
      </c>
      <c r="D1017">
        <v>1</v>
      </c>
      <c r="E1017">
        <v>0</v>
      </c>
      <c r="F1017">
        <v>1</v>
      </c>
      <c r="G1017">
        <v>0.875</v>
      </c>
      <c r="H1017">
        <v>6972.53</v>
      </c>
      <c r="I1017">
        <v>-1905.52</v>
      </c>
      <c r="J1017">
        <v>40056.129999999997</v>
      </c>
      <c r="K1017">
        <v>0</v>
      </c>
      <c r="L1017">
        <v>0</v>
      </c>
      <c r="M1017">
        <v>0</v>
      </c>
    </row>
    <row r="1018" spans="1:13">
      <c r="A1018">
        <v>4</v>
      </c>
      <c r="B1018" t="s">
        <v>204</v>
      </c>
      <c r="C1018">
        <v>10</v>
      </c>
      <c r="D1018">
        <v>1</v>
      </c>
      <c r="E1018">
        <v>0</v>
      </c>
      <c r="F1018">
        <v>2</v>
      </c>
      <c r="G1018">
        <v>2.96</v>
      </c>
      <c r="H1018">
        <v>1763.27</v>
      </c>
      <c r="I1018">
        <v>-3091.37</v>
      </c>
      <c r="J1018">
        <v>40056.129999999997</v>
      </c>
      <c r="K1018">
        <v>0</v>
      </c>
      <c r="L1018">
        <v>0</v>
      </c>
      <c r="M1018">
        <v>0</v>
      </c>
    </row>
    <row r="1019" spans="1:13">
      <c r="A1019">
        <v>4</v>
      </c>
      <c r="B1019" t="s">
        <v>204</v>
      </c>
      <c r="C1019">
        <v>10</v>
      </c>
      <c r="D1019">
        <v>1</v>
      </c>
      <c r="E1019">
        <v>0</v>
      </c>
      <c r="F1019">
        <v>3</v>
      </c>
      <c r="G1019">
        <v>5.0449999999999999</v>
      </c>
      <c r="H1019">
        <v>-5918.48</v>
      </c>
      <c r="I1019">
        <v>-4277.21</v>
      </c>
      <c r="J1019">
        <v>40056.129999999997</v>
      </c>
      <c r="K1019">
        <v>0</v>
      </c>
      <c r="L1019">
        <v>0</v>
      </c>
      <c r="M1019">
        <v>0</v>
      </c>
    </row>
    <row r="1020" spans="1:13">
      <c r="A1020">
        <v>4</v>
      </c>
      <c r="B1020" t="s">
        <v>204</v>
      </c>
      <c r="C1020">
        <v>10</v>
      </c>
      <c r="D1020">
        <v>1</v>
      </c>
      <c r="E1020">
        <v>0</v>
      </c>
      <c r="F1020" t="s">
        <v>202</v>
      </c>
      <c r="G1020">
        <v>5.92</v>
      </c>
      <c r="H1020">
        <v>-9878.76</v>
      </c>
      <c r="I1020">
        <v>-4774.87</v>
      </c>
      <c r="J1020">
        <v>40056.129999999997</v>
      </c>
      <c r="K1020">
        <v>0</v>
      </c>
      <c r="L1020">
        <v>0</v>
      </c>
      <c r="M1020">
        <v>0</v>
      </c>
    </row>
    <row r="1021" spans="1:13">
      <c r="A1021">
        <v>4</v>
      </c>
      <c r="B1021" t="s">
        <v>204</v>
      </c>
      <c r="C1021">
        <v>11</v>
      </c>
      <c r="D1021">
        <v>1</v>
      </c>
      <c r="E1021">
        <v>0</v>
      </c>
      <c r="F1021" t="s">
        <v>201</v>
      </c>
      <c r="G1021">
        <v>0</v>
      </c>
      <c r="H1021">
        <v>-9878.76</v>
      </c>
      <c r="I1021">
        <v>-4774.87</v>
      </c>
      <c r="J1021">
        <v>40056.129999999997</v>
      </c>
      <c r="K1021">
        <v>0</v>
      </c>
      <c r="L1021">
        <v>0</v>
      </c>
      <c r="M1021">
        <v>0</v>
      </c>
    </row>
    <row r="1022" spans="1:13">
      <c r="A1022">
        <v>4</v>
      </c>
      <c r="B1022" t="s">
        <v>204</v>
      </c>
      <c r="C1022">
        <v>11</v>
      </c>
      <c r="D1022">
        <v>1</v>
      </c>
      <c r="E1022">
        <v>0</v>
      </c>
      <c r="F1022" t="s">
        <v>202</v>
      </c>
      <c r="G1022">
        <v>0.27500000000000002</v>
      </c>
      <c r="H1022">
        <v>-11213.36</v>
      </c>
      <c r="I1022">
        <v>-4931.2700000000004</v>
      </c>
      <c r="J1022">
        <v>40056.129999999997</v>
      </c>
      <c r="K1022">
        <v>0</v>
      </c>
      <c r="L1022">
        <v>0</v>
      </c>
      <c r="M1022">
        <v>0</v>
      </c>
    </row>
    <row r="1023" spans="1:13">
      <c r="A1023">
        <v>4</v>
      </c>
      <c r="B1023" t="s">
        <v>204</v>
      </c>
      <c r="C1023">
        <v>12</v>
      </c>
      <c r="D1023">
        <v>1</v>
      </c>
      <c r="E1023">
        <v>0</v>
      </c>
      <c r="F1023" t="s">
        <v>201</v>
      </c>
      <c r="G1023">
        <v>0</v>
      </c>
      <c r="H1023">
        <v>-14130.07</v>
      </c>
      <c r="I1023">
        <v>5990.35</v>
      </c>
      <c r="J1023">
        <v>39364.54</v>
      </c>
      <c r="K1023">
        <v>0</v>
      </c>
      <c r="L1023">
        <v>0</v>
      </c>
      <c r="M1023">
        <v>0</v>
      </c>
    </row>
    <row r="1024" spans="1:13">
      <c r="A1024">
        <v>4</v>
      </c>
      <c r="B1024" t="s">
        <v>204</v>
      </c>
      <c r="C1024">
        <v>12</v>
      </c>
      <c r="D1024">
        <v>1</v>
      </c>
      <c r="E1024">
        <v>0</v>
      </c>
      <c r="F1024" t="s">
        <v>202</v>
      </c>
      <c r="G1024">
        <v>0.27500000000000002</v>
      </c>
      <c r="H1024">
        <v>-12504.23</v>
      </c>
      <c r="I1024">
        <v>5833.94</v>
      </c>
      <c r="J1024">
        <v>39364.54</v>
      </c>
      <c r="K1024">
        <v>0</v>
      </c>
      <c r="L1024">
        <v>0</v>
      </c>
      <c r="M1024">
        <v>0</v>
      </c>
    </row>
    <row r="1025" spans="1:13">
      <c r="A1025">
        <v>4</v>
      </c>
      <c r="B1025" t="s">
        <v>204</v>
      </c>
      <c r="C1025">
        <v>13</v>
      </c>
      <c r="D1025">
        <v>1</v>
      </c>
      <c r="E1025">
        <v>0</v>
      </c>
      <c r="F1025" t="s">
        <v>201</v>
      </c>
      <c r="G1025">
        <v>0</v>
      </c>
      <c r="H1025">
        <v>-12504.23</v>
      </c>
      <c r="I1025">
        <v>5833.94</v>
      </c>
      <c r="J1025">
        <v>39364.54</v>
      </c>
      <c r="K1025">
        <v>0</v>
      </c>
      <c r="L1025">
        <v>0</v>
      </c>
      <c r="M1025">
        <v>0</v>
      </c>
    </row>
    <row r="1026" spans="1:13">
      <c r="A1026">
        <v>4</v>
      </c>
      <c r="B1026" t="s">
        <v>204</v>
      </c>
      <c r="C1026">
        <v>13</v>
      </c>
      <c r="D1026">
        <v>1</v>
      </c>
      <c r="E1026">
        <v>0</v>
      </c>
      <c r="F1026">
        <v>1</v>
      </c>
      <c r="G1026">
        <v>0.875</v>
      </c>
      <c r="H1026">
        <v>-7617.26</v>
      </c>
      <c r="I1026">
        <v>5336.29</v>
      </c>
      <c r="J1026">
        <v>39364.54</v>
      </c>
      <c r="K1026">
        <v>0</v>
      </c>
      <c r="L1026">
        <v>0</v>
      </c>
      <c r="M1026">
        <v>0</v>
      </c>
    </row>
    <row r="1027" spans="1:13">
      <c r="A1027">
        <v>4</v>
      </c>
      <c r="B1027" t="s">
        <v>204</v>
      </c>
      <c r="C1027">
        <v>13</v>
      </c>
      <c r="D1027">
        <v>1</v>
      </c>
      <c r="E1027">
        <v>0</v>
      </c>
      <c r="F1027">
        <v>2</v>
      </c>
      <c r="G1027">
        <v>2.96</v>
      </c>
      <c r="H1027">
        <v>2272.66</v>
      </c>
      <c r="I1027">
        <v>4150.4399999999996</v>
      </c>
      <c r="J1027">
        <v>39364.54</v>
      </c>
      <c r="K1027">
        <v>0</v>
      </c>
      <c r="L1027">
        <v>0</v>
      </c>
      <c r="M1027">
        <v>0</v>
      </c>
    </row>
    <row r="1028" spans="1:13">
      <c r="A1028">
        <v>4</v>
      </c>
      <c r="B1028" t="s">
        <v>204</v>
      </c>
      <c r="C1028">
        <v>13</v>
      </c>
      <c r="D1028">
        <v>1</v>
      </c>
      <c r="E1028">
        <v>0</v>
      </c>
      <c r="F1028">
        <v>3</v>
      </c>
      <c r="G1028">
        <v>5.0449999999999999</v>
      </c>
      <c r="H1028">
        <v>9690.09</v>
      </c>
      <c r="I1028">
        <v>2964.6</v>
      </c>
      <c r="J1028">
        <v>39364.54</v>
      </c>
      <c r="K1028">
        <v>0</v>
      </c>
      <c r="L1028">
        <v>0</v>
      </c>
      <c r="M1028">
        <v>0</v>
      </c>
    </row>
    <row r="1029" spans="1:13">
      <c r="A1029">
        <v>4</v>
      </c>
      <c r="B1029" t="s">
        <v>204</v>
      </c>
      <c r="C1029">
        <v>13</v>
      </c>
      <c r="D1029">
        <v>1</v>
      </c>
      <c r="E1029">
        <v>0</v>
      </c>
      <c r="F1029" t="s">
        <v>202</v>
      </c>
      <c r="G1029">
        <v>5.92</v>
      </c>
      <c r="H1029">
        <v>12066.39</v>
      </c>
      <c r="I1029">
        <v>2466.94</v>
      </c>
      <c r="J1029">
        <v>39364.54</v>
      </c>
      <c r="K1029">
        <v>0</v>
      </c>
      <c r="L1029">
        <v>0</v>
      </c>
      <c r="M1029">
        <v>0</v>
      </c>
    </row>
    <row r="1030" spans="1:13">
      <c r="A1030">
        <v>4</v>
      </c>
      <c r="B1030" t="s">
        <v>204</v>
      </c>
      <c r="C1030">
        <v>14</v>
      </c>
      <c r="D1030">
        <v>1</v>
      </c>
      <c r="E1030">
        <v>0</v>
      </c>
      <c r="F1030" t="s">
        <v>201</v>
      </c>
      <c r="G1030">
        <v>0</v>
      </c>
      <c r="H1030">
        <v>12066.39</v>
      </c>
      <c r="I1030">
        <v>2466.94</v>
      </c>
      <c r="J1030">
        <v>39364.54</v>
      </c>
      <c r="K1030">
        <v>0</v>
      </c>
      <c r="L1030">
        <v>0</v>
      </c>
      <c r="M1030">
        <v>0</v>
      </c>
    </row>
    <row r="1031" spans="1:13">
      <c r="A1031">
        <v>4</v>
      </c>
      <c r="B1031" t="s">
        <v>204</v>
      </c>
      <c r="C1031">
        <v>14</v>
      </c>
      <c r="D1031">
        <v>1</v>
      </c>
      <c r="E1031">
        <v>0</v>
      </c>
      <c r="F1031" t="s">
        <v>202</v>
      </c>
      <c r="G1031">
        <v>0.27500000000000002</v>
      </c>
      <c r="H1031">
        <v>11416.12</v>
      </c>
      <c r="I1031">
        <v>-14418.5</v>
      </c>
      <c r="J1031">
        <v>39364.54</v>
      </c>
      <c r="K1031">
        <v>0</v>
      </c>
      <c r="L1031">
        <v>0</v>
      </c>
      <c r="M1031">
        <v>0</v>
      </c>
    </row>
    <row r="1032" spans="1:13">
      <c r="A1032">
        <v>4</v>
      </c>
      <c r="B1032" t="s">
        <v>204</v>
      </c>
      <c r="C1032">
        <v>15</v>
      </c>
      <c r="D1032">
        <v>4</v>
      </c>
      <c r="E1032">
        <v>0</v>
      </c>
      <c r="F1032" t="s">
        <v>201</v>
      </c>
      <c r="G1032">
        <v>0</v>
      </c>
      <c r="H1032">
        <v>-22863.58</v>
      </c>
      <c r="I1032">
        <v>9671.32</v>
      </c>
      <c r="J1032">
        <v>31080.38</v>
      </c>
      <c r="K1032">
        <v>0</v>
      </c>
      <c r="L1032">
        <v>0</v>
      </c>
      <c r="M1032">
        <v>0</v>
      </c>
    </row>
    <row r="1033" spans="1:13">
      <c r="A1033">
        <v>4</v>
      </c>
      <c r="B1033" t="s">
        <v>204</v>
      </c>
      <c r="C1033">
        <v>15</v>
      </c>
      <c r="D1033">
        <v>4</v>
      </c>
      <c r="E1033">
        <v>0</v>
      </c>
      <c r="F1033" t="s">
        <v>202</v>
      </c>
      <c r="G1033">
        <v>0.27500000000000002</v>
      </c>
      <c r="H1033">
        <v>-20225.46</v>
      </c>
      <c r="I1033">
        <v>9514.91</v>
      </c>
      <c r="J1033">
        <v>31080.38</v>
      </c>
      <c r="K1033">
        <v>0</v>
      </c>
      <c r="L1033">
        <v>0</v>
      </c>
      <c r="M1033">
        <v>0</v>
      </c>
    </row>
    <row r="1034" spans="1:13">
      <c r="A1034">
        <v>4</v>
      </c>
      <c r="B1034" t="s">
        <v>204</v>
      </c>
      <c r="C1034">
        <v>16</v>
      </c>
      <c r="D1034">
        <v>4</v>
      </c>
      <c r="E1034">
        <v>0</v>
      </c>
      <c r="F1034" t="s">
        <v>201</v>
      </c>
      <c r="G1034">
        <v>0</v>
      </c>
      <c r="H1034">
        <v>-20225.46</v>
      </c>
      <c r="I1034">
        <v>9514.91</v>
      </c>
      <c r="J1034">
        <v>31080.38</v>
      </c>
      <c r="K1034">
        <v>0</v>
      </c>
      <c r="L1034">
        <v>0</v>
      </c>
      <c r="M1034">
        <v>0</v>
      </c>
    </row>
    <row r="1035" spans="1:13">
      <c r="A1035">
        <v>4</v>
      </c>
      <c r="B1035" t="s">
        <v>204</v>
      </c>
      <c r="C1035">
        <v>16</v>
      </c>
      <c r="D1035">
        <v>4</v>
      </c>
      <c r="E1035">
        <v>0</v>
      </c>
      <c r="F1035">
        <v>1</v>
      </c>
      <c r="G1035">
        <v>0.875</v>
      </c>
      <c r="H1035">
        <v>-12117.64</v>
      </c>
      <c r="I1035">
        <v>9017.26</v>
      </c>
      <c r="J1035">
        <v>31080.38</v>
      </c>
      <c r="K1035">
        <v>0</v>
      </c>
      <c r="L1035">
        <v>0</v>
      </c>
      <c r="M1035">
        <v>0</v>
      </c>
    </row>
    <row r="1036" spans="1:13">
      <c r="A1036">
        <v>4</v>
      </c>
      <c r="B1036" t="s">
        <v>204</v>
      </c>
      <c r="C1036">
        <v>16</v>
      </c>
      <c r="D1036">
        <v>4</v>
      </c>
      <c r="E1036">
        <v>0</v>
      </c>
      <c r="F1036">
        <v>2</v>
      </c>
      <c r="G1036">
        <v>2.96</v>
      </c>
      <c r="H1036">
        <v>5447.1</v>
      </c>
      <c r="I1036">
        <v>7831.41</v>
      </c>
      <c r="J1036">
        <v>31080.38</v>
      </c>
      <c r="K1036">
        <v>0</v>
      </c>
      <c r="L1036">
        <v>0</v>
      </c>
      <c r="M1036">
        <v>0</v>
      </c>
    </row>
    <row r="1037" spans="1:13">
      <c r="A1037">
        <v>4</v>
      </c>
      <c r="B1037" t="s">
        <v>204</v>
      </c>
      <c r="C1037">
        <v>16</v>
      </c>
      <c r="D1037">
        <v>4</v>
      </c>
      <c r="E1037">
        <v>0</v>
      </c>
      <c r="F1037">
        <v>3</v>
      </c>
      <c r="G1037">
        <v>5.0449999999999999</v>
      </c>
      <c r="H1037">
        <v>20539.349999999999</v>
      </c>
      <c r="I1037">
        <v>6645.57</v>
      </c>
      <c r="J1037">
        <v>31080.38</v>
      </c>
      <c r="K1037">
        <v>0</v>
      </c>
      <c r="L1037">
        <v>0</v>
      </c>
      <c r="M1037">
        <v>0</v>
      </c>
    </row>
    <row r="1038" spans="1:13">
      <c r="A1038">
        <v>4</v>
      </c>
      <c r="B1038" t="s">
        <v>204</v>
      </c>
      <c r="C1038">
        <v>16</v>
      </c>
      <c r="D1038">
        <v>4</v>
      </c>
      <c r="E1038">
        <v>0</v>
      </c>
      <c r="F1038" t="s">
        <v>202</v>
      </c>
      <c r="G1038">
        <v>5.92</v>
      </c>
      <c r="H1038">
        <v>26136.5</v>
      </c>
      <c r="I1038">
        <v>6147.91</v>
      </c>
      <c r="J1038">
        <v>31080.38</v>
      </c>
      <c r="K1038">
        <v>0</v>
      </c>
      <c r="L1038">
        <v>0</v>
      </c>
      <c r="M1038">
        <v>0</v>
      </c>
    </row>
    <row r="1039" spans="1:13">
      <c r="A1039">
        <v>4</v>
      </c>
      <c r="B1039" t="s">
        <v>204</v>
      </c>
      <c r="C1039">
        <v>17</v>
      </c>
      <c r="D1039">
        <v>4</v>
      </c>
      <c r="E1039">
        <v>0</v>
      </c>
      <c r="F1039" t="s">
        <v>201</v>
      </c>
      <c r="G1039">
        <v>0</v>
      </c>
      <c r="H1039">
        <v>26136.5</v>
      </c>
      <c r="I1039">
        <v>6147.91</v>
      </c>
      <c r="J1039">
        <v>31080.38</v>
      </c>
      <c r="K1039">
        <v>0</v>
      </c>
      <c r="L1039">
        <v>0</v>
      </c>
      <c r="M1039">
        <v>0</v>
      </c>
    </row>
    <row r="1040" spans="1:13">
      <c r="A1040">
        <v>4</v>
      </c>
      <c r="B1040" t="s">
        <v>204</v>
      </c>
      <c r="C1040">
        <v>17</v>
      </c>
      <c r="D1040">
        <v>4</v>
      </c>
      <c r="E1040">
        <v>0</v>
      </c>
      <c r="F1040" t="s">
        <v>202</v>
      </c>
      <c r="G1040">
        <v>0.27500000000000002</v>
      </c>
      <c r="H1040">
        <v>25914.959999999999</v>
      </c>
      <c r="I1040">
        <v>-7358.75</v>
      </c>
      <c r="J1040">
        <v>31080.38</v>
      </c>
      <c r="K1040">
        <v>0</v>
      </c>
      <c r="L1040">
        <v>0</v>
      </c>
      <c r="M1040">
        <v>0</v>
      </c>
    </row>
    <row r="1041" spans="1:13">
      <c r="A1041">
        <v>4</v>
      </c>
      <c r="B1041" t="s">
        <v>204</v>
      </c>
      <c r="C1041">
        <v>18</v>
      </c>
      <c r="D1041">
        <v>2</v>
      </c>
      <c r="E1041">
        <v>0</v>
      </c>
      <c r="F1041" t="s">
        <v>201</v>
      </c>
      <c r="G1041">
        <v>0</v>
      </c>
      <c r="H1041">
        <v>-39492.269999999997</v>
      </c>
      <c r="I1041">
        <v>16239.75</v>
      </c>
      <c r="J1041">
        <v>15284.73</v>
      </c>
      <c r="K1041">
        <v>0</v>
      </c>
      <c r="L1041">
        <v>0</v>
      </c>
      <c r="M1041">
        <v>0</v>
      </c>
    </row>
    <row r="1042" spans="1:13">
      <c r="A1042">
        <v>4</v>
      </c>
      <c r="B1042" t="s">
        <v>204</v>
      </c>
      <c r="C1042">
        <v>18</v>
      </c>
      <c r="D1042">
        <v>2</v>
      </c>
      <c r="E1042">
        <v>0</v>
      </c>
      <c r="F1042" t="s">
        <v>202</v>
      </c>
      <c r="G1042">
        <v>0.27500000000000002</v>
      </c>
      <c r="H1042">
        <v>-35047.85</v>
      </c>
      <c r="I1042">
        <v>16083.35</v>
      </c>
      <c r="J1042">
        <v>15284.73</v>
      </c>
      <c r="K1042">
        <v>0</v>
      </c>
      <c r="L1042">
        <v>0</v>
      </c>
      <c r="M1042">
        <v>0</v>
      </c>
    </row>
    <row r="1043" spans="1:13">
      <c r="A1043">
        <v>4</v>
      </c>
      <c r="B1043" t="s">
        <v>204</v>
      </c>
      <c r="C1043">
        <v>19</v>
      </c>
      <c r="D1043">
        <v>2</v>
      </c>
      <c r="E1043">
        <v>0</v>
      </c>
      <c r="F1043" t="s">
        <v>201</v>
      </c>
      <c r="G1043">
        <v>0</v>
      </c>
      <c r="H1043">
        <v>-35047.85</v>
      </c>
      <c r="I1043">
        <v>16083.35</v>
      </c>
      <c r="J1043">
        <v>15284.73</v>
      </c>
      <c r="K1043">
        <v>0</v>
      </c>
      <c r="L1043">
        <v>0</v>
      </c>
      <c r="M1043">
        <v>0</v>
      </c>
    </row>
    <row r="1044" spans="1:13">
      <c r="A1044">
        <v>4</v>
      </c>
      <c r="B1044" t="s">
        <v>204</v>
      </c>
      <c r="C1044">
        <v>19</v>
      </c>
      <c r="D1044">
        <v>2</v>
      </c>
      <c r="E1044">
        <v>0</v>
      </c>
      <c r="F1044">
        <v>1</v>
      </c>
      <c r="G1044">
        <v>0.875</v>
      </c>
      <c r="H1044">
        <v>-20974.92</v>
      </c>
      <c r="I1044">
        <v>16083.35</v>
      </c>
      <c r="J1044">
        <v>15284.73</v>
      </c>
      <c r="K1044">
        <v>0</v>
      </c>
      <c r="L1044">
        <v>0</v>
      </c>
      <c r="M1044">
        <v>0</v>
      </c>
    </row>
    <row r="1045" spans="1:13">
      <c r="A1045">
        <v>4</v>
      </c>
      <c r="B1045" t="s">
        <v>204</v>
      </c>
      <c r="C1045">
        <v>19</v>
      </c>
      <c r="D1045">
        <v>2</v>
      </c>
      <c r="E1045">
        <v>0</v>
      </c>
      <c r="F1045">
        <v>2</v>
      </c>
      <c r="G1045">
        <v>2.96</v>
      </c>
      <c r="H1045">
        <v>12558.85</v>
      </c>
      <c r="I1045">
        <v>16083.35</v>
      </c>
      <c r="J1045">
        <v>15284.73</v>
      </c>
      <c r="K1045">
        <v>0</v>
      </c>
      <c r="L1045">
        <v>0</v>
      </c>
      <c r="M1045">
        <v>0</v>
      </c>
    </row>
    <row r="1046" spans="1:13">
      <c r="A1046">
        <v>4</v>
      </c>
      <c r="B1046" t="s">
        <v>204</v>
      </c>
      <c r="C1046">
        <v>19</v>
      </c>
      <c r="D1046">
        <v>2</v>
      </c>
      <c r="E1046">
        <v>0</v>
      </c>
      <c r="F1046">
        <v>3</v>
      </c>
      <c r="G1046">
        <v>5.0449999999999999</v>
      </c>
      <c r="H1046">
        <v>45211.53</v>
      </c>
      <c r="I1046">
        <v>11827.91</v>
      </c>
      <c r="J1046">
        <v>15284.73</v>
      </c>
      <c r="K1046">
        <v>0</v>
      </c>
      <c r="L1046">
        <v>0</v>
      </c>
      <c r="M1046">
        <v>0</v>
      </c>
    </row>
    <row r="1047" spans="1:13">
      <c r="A1047">
        <v>4</v>
      </c>
      <c r="B1047" t="s">
        <v>204</v>
      </c>
      <c r="C1047">
        <v>19</v>
      </c>
      <c r="D1047">
        <v>2</v>
      </c>
      <c r="E1047">
        <v>0</v>
      </c>
      <c r="F1047" t="s">
        <v>202</v>
      </c>
      <c r="G1047">
        <v>5.92</v>
      </c>
      <c r="H1047">
        <v>55343.22</v>
      </c>
      <c r="I1047">
        <v>11330.26</v>
      </c>
      <c r="J1047">
        <v>15284.73</v>
      </c>
      <c r="K1047">
        <v>0</v>
      </c>
      <c r="L1047">
        <v>0</v>
      </c>
      <c r="M1047">
        <v>0</v>
      </c>
    </row>
    <row r="1048" spans="1:13">
      <c r="A1048">
        <v>4</v>
      </c>
      <c r="B1048" t="s">
        <v>204</v>
      </c>
      <c r="C1048">
        <v>20</v>
      </c>
      <c r="D1048">
        <v>2</v>
      </c>
      <c r="E1048">
        <v>0</v>
      </c>
      <c r="F1048" t="s">
        <v>201</v>
      </c>
      <c r="G1048">
        <v>0</v>
      </c>
      <c r="H1048">
        <v>55343.22</v>
      </c>
      <c r="I1048">
        <v>11330.26</v>
      </c>
      <c r="J1048">
        <v>15284.73</v>
      </c>
      <c r="K1048">
        <v>0</v>
      </c>
      <c r="L1048">
        <v>0</v>
      </c>
      <c r="M1048">
        <v>0</v>
      </c>
    </row>
    <row r="1049" spans="1:13">
      <c r="A1049">
        <v>4</v>
      </c>
      <c r="B1049" t="s">
        <v>204</v>
      </c>
      <c r="C1049">
        <v>20</v>
      </c>
      <c r="D1049">
        <v>2</v>
      </c>
      <c r="E1049">
        <v>0</v>
      </c>
      <c r="F1049" t="s">
        <v>202</v>
      </c>
      <c r="G1049">
        <v>0.27500000000000002</v>
      </c>
      <c r="H1049">
        <v>58437.55</v>
      </c>
      <c r="I1049">
        <v>11173.85</v>
      </c>
      <c r="J1049">
        <v>15284.73</v>
      </c>
      <c r="K1049">
        <v>0</v>
      </c>
      <c r="L1049">
        <v>0</v>
      </c>
      <c r="M1049">
        <v>0</v>
      </c>
    </row>
    <row r="1050" spans="1:13">
      <c r="A1050">
        <v>4</v>
      </c>
      <c r="B1050" t="s">
        <v>204</v>
      </c>
      <c r="C1050">
        <v>21</v>
      </c>
      <c r="D1050">
        <v>2</v>
      </c>
      <c r="E1050">
        <v>0</v>
      </c>
      <c r="F1050" t="s">
        <v>201</v>
      </c>
      <c r="G1050">
        <v>0</v>
      </c>
      <c r="H1050">
        <v>-3310.82</v>
      </c>
      <c r="I1050">
        <v>19498.86</v>
      </c>
      <c r="J1050">
        <v>0</v>
      </c>
      <c r="K1050">
        <v>0</v>
      </c>
      <c r="L1050">
        <v>0</v>
      </c>
      <c r="M1050">
        <v>0</v>
      </c>
    </row>
    <row r="1051" spans="1:13">
      <c r="A1051">
        <v>4</v>
      </c>
      <c r="B1051" t="s">
        <v>204</v>
      </c>
      <c r="C1051">
        <v>21</v>
      </c>
      <c r="D1051">
        <v>1</v>
      </c>
      <c r="E1051">
        <v>1</v>
      </c>
      <c r="F1051" t="s">
        <v>202</v>
      </c>
      <c r="G1051">
        <v>0.27500000000000002</v>
      </c>
      <c r="H1051">
        <v>-696.5</v>
      </c>
      <c r="I1051">
        <v>890.09</v>
      </c>
      <c r="J1051">
        <v>0</v>
      </c>
      <c r="K1051">
        <v>-696.5</v>
      </c>
      <c r="L1051">
        <v>890.09</v>
      </c>
      <c r="M1051">
        <v>0</v>
      </c>
    </row>
    <row r="1052" spans="1:13">
      <c r="A1052">
        <v>4</v>
      </c>
      <c r="B1052" t="s">
        <v>204</v>
      </c>
      <c r="C1052">
        <v>22</v>
      </c>
      <c r="D1052">
        <v>2</v>
      </c>
      <c r="E1052">
        <v>0</v>
      </c>
      <c r="F1052" t="s">
        <v>201</v>
      </c>
      <c r="G1052">
        <v>0</v>
      </c>
      <c r="H1052">
        <v>-696.5</v>
      </c>
      <c r="I1052">
        <v>890.09</v>
      </c>
      <c r="J1052">
        <v>0</v>
      </c>
      <c r="K1052">
        <v>0</v>
      </c>
      <c r="L1052">
        <v>0</v>
      </c>
      <c r="M1052">
        <v>0</v>
      </c>
    </row>
    <row r="1053" spans="1:13">
      <c r="A1053">
        <v>4</v>
      </c>
      <c r="B1053" t="s">
        <v>204</v>
      </c>
      <c r="C1053">
        <v>22</v>
      </c>
      <c r="D1053">
        <v>2</v>
      </c>
      <c r="E1053">
        <v>0</v>
      </c>
      <c r="F1053" t="s">
        <v>202</v>
      </c>
      <c r="G1053">
        <v>1.5649999999999999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</row>
    <row r="1054" spans="1:13">
      <c r="A1054">
        <v>4</v>
      </c>
      <c r="B1054" t="s">
        <v>204</v>
      </c>
      <c r="C1054">
        <v>23</v>
      </c>
      <c r="D1054">
        <v>0</v>
      </c>
      <c r="E1054">
        <v>2</v>
      </c>
      <c r="F1054" t="s">
        <v>201</v>
      </c>
      <c r="G1054">
        <v>0</v>
      </c>
      <c r="H1054">
        <v>0</v>
      </c>
      <c r="I1054">
        <v>0</v>
      </c>
      <c r="J1054">
        <v>0</v>
      </c>
      <c r="K1054">
        <v>-15011.33</v>
      </c>
      <c r="L1054">
        <v>3653.77</v>
      </c>
      <c r="M1054">
        <v>-21268.7</v>
      </c>
    </row>
    <row r="1055" spans="1:13">
      <c r="A1055">
        <v>4</v>
      </c>
      <c r="B1055" t="s">
        <v>204</v>
      </c>
      <c r="C1055">
        <v>23</v>
      </c>
      <c r="D1055">
        <v>0</v>
      </c>
      <c r="E1055">
        <v>2</v>
      </c>
      <c r="F1055" t="s">
        <v>202</v>
      </c>
      <c r="G1055">
        <v>1.175</v>
      </c>
      <c r="H1055">
        <v>0</v>
      </c>
      <c r="I1055">
        <v>0</v>
      </c>
      <c r="J1055">
        <v>0</v>
      </c>
      <c r="K1055">
        <v>-10718.15</v>
      </c>
      <c r="L1055">
        <v>3653.77</v>
      </c>
      <c r="M1055">
        <v>-21268.7</v>
      </c>
    </row>
    <row r="1056" spans="1:13">
      <c r="A1056">
        <v>4</v>
      </c>
      <c r="B1056" t="s">
        <v>204</v>
      </c>
      <c r="C1056">
        <v>24</v>
      </c>
      <c r="D1056">
        <v>0</v>
      </c>
      <c r="E1056">
        <v>2</v>
      </c>
      <c r="F1056" t="s">
        <v>201</v>
      </c>
      <c r="G1056">
        <v>0</v>
      </c>
      <c r="H1056">
        <v>0</v>
      </c>
      <c r="I1056">
        <v>0</v>
      </c>
      <c r="J1056">
        <v>0</v>
      </c>
      <c r="K1056">
        <v>-61306.95</v>
      </c>
      <c r="L1056">
        <v>14537.82</v>
      </c>
      <c r="M1056">
        <v>-27454.29</v>
      </c>
    </row>
    <row r="1057" spans="1:13">
      <c r="A1057">
        <v>4</v>
      </c>
      <c r="B1057" t="s">
        <v>204</v>
      </c>
      <c r="C1057">
        <v>24</v>
      </c>
      <c r="D1057">
        <v>0</v>
      </c>
      <c r="E1057">
        <v>2</v>
      </c>
      <c r="F1057" t="s">
        <v>202</v>
      </c>
      <c r="G1057">
        <v>1.175</v>
      </c>
      <c r="H1057">
        <v>0</v>
      </c>
      <c r="I1057">
        <v>0</v>
      </c>
      <c r="J1057">
        <v>0</v>
      </c>
      <c r="K1057">
        <v>-44225.01</v>
      </c>
      <c r="L1057">
        <v>14537.82</v>
      </c>
      <c r="M1057">
        <v>-27454.29</v>
      </c>
    </row>
    <row r="1058" spans="1:13">
      <c r="A1058">
        <v>4</v>
      </c>
      <c r="B1058" t="s">
        <v>204</v>
      </c>
      <c r="C1058">
        <v>25</v>
      </c>
      <c r="D1058">
        <v>0</v>
      </c>
      <c r="E1058">
        <v>2</v>
      </c>
      <c r="F1058" t="s">
        <v>201</v>
      </c>
      <c r="G1058">
        <v>0</v>
      </c>
      <c r="H1058">
        <v>0</v>
      </c>
      <c r="I1058">
        <v>0</v>
      </c>
      <c r="J1058">
        <v>0</v>
      </c>
      <c r="K1058">
        <v>-29440.31</v>
      </c>
      <c r="L1058">
        <v>6932.84</v>
      </c>
      <c r="M1058">
        <v>-25194.21</v>
      </c>
    </row>
    <row r="1059" spans="1:13">
      <c r="A1059">
        <v>4</v>
      </c>
      <c r="B1059" t="s">
        <v>204</v>
      </c>
      <c r="C1059">
        <v>25</v>
      </c>
      <c r="D1059">
        <v>0</v>
      </c>
      <c r="E1059">
        <v>2</v>
      </c>
      <c r="F1059" t="s">
        <v>202</v>
      </c>
      <c r="G1059">
        <v>1.175</v>
      </c>
      <c r="H1059">
        <v>0</v>
      </c>
      <c r="I1059">
        <v>0</v>
      </c>
      <c r="J1059">
        <v>0</v>
      </c>
      <c r="K1059">
        <v>-21294.23</v>
      </c>
      <c r="L1059">
        <v>6932.84</v>
      </c>
      <c r="M1059">
        <v>-25194.21</v>
      </c>
    </row>
    <row r="1060" spans="1:13">
      <c r="A1060">
        <v>4</v>
      </c>
      <c r="B1060" t="s">
        <v>204</v>
      </c>
      <c r="C1060">
        <v>26</v>
      </c>
      <c r="D1060">
        <v>0</v>
      </c>
      <c r="E1060">
        <v>2</v>
      </c>
      <c r="F1060" t="s">
        <v>201</v>
      </c>
      <c r="G1060">
        <v>0</v>
      </c>
      <c r="H1060">
        <v>0</v>
      </c>
      <c r="I1060">
        <v>0</v>
      </c>
      <c r="J1060">
        <v>0</v>
      </c>
      <c r="K1060">
        <v>2176.88</v>
      </c>
      <c r="L1060">
        <v>-517.78</v>
      </c>
      <c r="M1060">
        <v>-21652.94</v>
      </c>
    </row>
    <row r="1061" spans="1:13">
      <c r="A1061">
        <v>4</v>
      </c>
      <c r="B1061" t="s">
        <v>204</v>
      </c>
      <c r="C1061">
        <v>26</v>
      </c>
      <c r="D1061">
        <v>0</v>
      </c>
      <c r="E1061">
        <v>2</v>
      </c>
      <c r="F1061" t="s">
        <v>202</v>
      </c>
      <c r="G1061">
        <v>1.175</v>
      </c>
      <c r="H1061">
        <v>0</v>
      </c>
      <c r="I1061">
        <v>0</v>
      </c>
      <c r="J1061">
        <v>0</v>
      </c>
      <c r="K1061">
        <v>1568.49</v>
      </c>
      <c r="L1061">
        <v>-517.78</v>
      </c>
      <c r="M1061">
        <v>-21652.94</v>
      </c>
    </row>
    <row r="1062" spans="1:13">
      <c r="A1062">
        <v>4</v>
      </c>
      <c r="B1062" t="s">
        <v>204</v>
      </c>
      <c r="C1062">
        <v>27</v>
      </c>
      <c r="D1062">
        <v>0</v>
      </c>
      <c r="E1062">
        <v>4</v>
      </c>
      <c r="F1062" t="s">
        <v>201</v>
      </c>
      <c r="G1062">
        <v>0</v>
      </c>
      <c r="H1062">
        <v>0</v>
      </c>
      <c r="I1062">
        <v>0</v>
      </c>
      <c r="J1062">
        <v>0</v>
      </c>
      <c r="K1062">
        <v>34353.58</v>
      </c>
      <c r="L1062">
        <v>-8117.31</v>
      </c>
      <c r="M1062">
        <v>-24679.41</v>
      </c>
    </row>
    <row r="1063" spans="1:13">
      <c r="A1063">
        <v>4</v>
      </c>
      <c r="B1063" t="s">
        <v>204</v>
      </c>
      <c r="C1063">
        <v>27</v>
      </c>
      <c r="D1063">
        <v>0</v>
      </c>
      <c r="E1063">
        <v>4</v>
      </c>
      <c r="F1063" t="s">
        <v>202</v>
      </c>
      <c r="G1063">
        <v>1.175</v>
      </c>
      <c r="H1063">
        <v>0</v>
      </c>
      <c r="I1063">
        <v>0</v>
      </c>
      <c r="J1063">
        <v>0</v>
      </c>
      <c r="K1063">
        <v>24815.74</v>
      </c>
      <c r="L1063">
        <v>-8117.31</v>
      </c>
      <c r="M1063">
        <v>-24679.41</v>
      </c>
    </row>
    <row r="1064" spans="1:13">
      <c r="A1064">
        <v>4</v>
      </c>
      <c r="B1064" t="s">
        <v>204</v>
      </c>
      <c r="C1064">
        <v>28</v>
      </c>
      <c r="D1064">
        <v>0</v>
      </c>
      <c r="E1064">
        <v>4</v>
      </c>
      <c r="F1064" t="s">
        <v>201</v>
      </c>
      <c r="G1064">
        <v>0</v>
      </c>
      <c r="H1064">
        <v>0</v>
      </c>
      <c r="I1064">
        <v>0</v>
      </c>
      <c r="J1064">
        <v>0</v>
      </c>
      <c r="K1064">
        <v>65739.509999999995</v>
      </c>
      <c r="L1064">
        <v>-15641.37</v>
      </c>
      <c r="M1064">
        <v>-23772.76</v>
      </c>
    </row>
    <row r="1065" spans="1:13">
      <c r="A1065">
        <v>4</v>
      </c>
      <c r="B1065" t="s">
        <v>204</v>
      </c>
      <c r="C1065">
        <v>28</v>
      </c>
      <c r="D1065">
        <v>0</v>
      </c>
      <c r="E1065">
        <v>4</v>
      </c>
      <c r="F1065" t="s">
        <v>202</v>
      </c>
      <c r="G1065">
        <v>1.175</v>
      </c>
      <c r="H1065">
        <v>0</v>
      </c>
      <c r="I1065">
        <v>0</v>
      </c>
      <c r="J1065">
        <v>0</v>
      </c>
      <c r="K1065">
        <v>47360.9</v>
      </c>
      <c r="L1065">
        <v>-15641.37</v>
      </c>
      <c r="M1065">
        <v>-23772.76</v>
      </c>
    </row>
    <row r="1066" spans="1:13">
      <c r="A1066">
        <v>4</v>
      </c>
      <c r="B1066" t="s">
        <v>204</v>
      </c>
      <c r="C1066">
        <v>29</v>
      </c>
      <c r="D1066">
        <v>0</v>
      </c>
      <c r="E1066">
        <v>4</v>
      </c>
      <c r="F1066" t="s">
        <v>201</v>
      </c>
      <c r="G1066">
        <v>0</v>
      </c>
      <c r="H1066">
        <v>0</v>
      </c>
      <c r="I1066">
        <v>0</v>
      </c>
      <c r="J1066">
        <v>0</v>
      </c>
      <c r="K1066">
        <v>13204.68</v>
      </c>
      <c r="L1066">
        <v>-3165.42</v>
      </c>
      <c r="M1066">
        <v>-20931.689999999999</v>
      </c>
    </row>
    <row r="1067" spans="1:13">
      <c r="A1067">
        <v>4</v>
      </c>
      <c r="B1067" t="s">
        <v>204</v>
      </c>
      <c r="C1067">
        <v>29</v>
      </c>
      <c r="D1067">
        <v>0</v>
      </c>
      <c r="E1067">
        <v>4</v>
      </c>
      <c r="F1067" t="s">
        <v>202</v>
      </c>
      <c r="G1067">
        <v>1.175</v>
      </c>
      <c r="H1067">
        <v>0</v>
      </c>
      <c r="I1067">
        <v>0</v>
      </c>
      <c r="J1067">
        <v>0</v>
      </c>
      <c r="K1067">
        <v>9485.31</v>
      </c>
      <c r="L1067">
        <v>-3165.42</v>
      </c>
      <c r="M1067">
        <v>-20931.689999999999</v>
      </c>
    </row>
    <row r="1068" spans="1:13">
      <c r="A1068">
        <v>4</v>
      </c>
      <c r="B1068" t="s">
        <v>204</v>
      </c>
      <c r="C1068">
        <v>30</v>
      </c>
      <c r="D1068">
        <v>0</v>
      </c>
      <c r="E1068">
        <v>2</v>
      </c>
      <c r="F1068" t="s">
        <v>201</v>
      </c>
      <c r="G1068">
        <v>0</v>
      </c>
      <c r="H1068">
        <v>0</v>
      </c>
      <c r="I1068">
        <v>0</v>
      </c>
      <c r="J1068">
        <v>0</v>
      </c>
      <c r="K1068">
        <v>-10718.15</v>
      </c>
      <c r="L1068">
        <v>3653.77</v>
      </c>
      <c r="M1068">
        <v>-21268.7</v>
      </c>
    </row>
    <row r="1069" spans="1:13">
      <c r="A1069">
        <v>4</v>
      </c>
      <c r="B1069" t="s">
        <v>204</v>
      </c>
      <c r="C1069">
        <v>30</v>
      </c>
      <c r="D1069">
        <v>0</v>
      </c>
      <c r="E1069">
        <v>2</v>
      </c>
      <c r="F1069" t="s">
        <v>202</v>
      </c>
      <c r="G1069">
        <v>6.1749999999999998</v>
      </c>
      <c r="H1069">
        <v>0</v>
      </c>
      <c r="I1069">
        <v>0</v>
      </c>
      <c r="J1069">
        <v>0</v>
      </c>
      <c r="K1069">
        <v>-8276.1</v>
      </c>
      <c r="L1069">
        <v>3653.77</v>
      </c>
      <c r="M1069">
        <v>-22749.9</v>
      </c>
    </row>
    <row r="1070" spans="1:13">
      <c r="A1070">
        <v>4</v>
      </c>
      <c r="B1070" t="s">
        <v>204</v>
      </c>
      <c r="C1070">
        <v>31</v>
      </c>
      <c r="D1070">
        <v>0</v>
      </c>
      <c r="E1070">
        <v>2</v>
      </c>
      <c r="F1070" t="s">
        <v>201</v>
      </c>
      <c r="G1070">
        <v>0</v>
      </c>
      <c r="H1070">
        <v>0</v>
      </c>
      <c r="I1070">
        <v>0</v>
      </c>
      <c r="J1070">
        <v>0</v>
      </c>
      <c r="K1070">
        <v>11107.22</v>
      </c>
      <c r="L1070">
        <v>3748.39</v>
      </c>
      <c r="M1070">
        <v>-18431.8</v>
      </c>
    </row>
    <row r="1071" spans="1:13">
      <c r="A1071">
        <v>4</v>
      </c>
      <c r="B1071" t="s">
        <v>204</v>
      </c>
      <c r="C1071">
        <v>31</v>
      </c>
      <c r="D1071">
        <v>0</v>
      </c>
      <c r="E1071">
        <v>2</v>
      </c>
      <c r="F1071" t="s">
        <v>202</v>
      </c>
      <c r="G1071">
        <v>6.1749999999999998</v>
      </c>
      <c r="H1071">
        <v>0</v>
      </c>
      <c r="I1071">
        <v>0</v>
      </c>
      <c r="J1071">
        <v>0</v>
      </c>
      <c r="K1071">
        <v>-43264.61</v>
      </c>
      <c r="L1071">
        <v>14537.82</v>
      </c>
      <c r="M1071">
        <v>-28935.49</v>
      </c>
    </row>
    <row r="1072" spans="1:13">
      <c r="A1072">
        <v>4</v>
      </c>
      <c r="B1072" t="s">
        <v>204</v>
      </c>
      <c r="C1072">
        <v>32</v>
      </c>
      <c r="D1072">
        <v>0</v>
      </c>
      <c r="E1072">
        <v>2</v>
      </c>
      <c r="F1072" t="s">
        <v>201</v>
      </c>
      <c r="G1072">
        <v>0</v>
      </c>
      <c r="H1072">
        <v>0</v>
      </c>
      <c r="I1072">
        <v>0</v>
      </c>
      <c r="J1072">
        <v>0</v>
      </c>
      <c r="K1072">
        <v>-35573.160000000003</v>
      </c>
      <c r="L1072">
        <v>14440.09</v>
      </c>
      <c r="M1072">
        <v>-25715.33</v>
      </c>
    </row>
    <row r="1073" spans="1:13">
      <c r="A1073">
        <v>4</v>
      </c>
      <c r="B1073" t="s">
        <v>204</v>
      </c>
      <c r="C1073">
        <v>32</v>
      </c>
      <c r="D1073">
        <v>0</v>
      </c>
      <c r="E1073">
        <v>2</v>
      </c>
      <c r="F1073" t="s">
        <v>202</v>
      </c>
      <c r="G1073">
        <v>6.1749999999999998</v>
      </c>
      <c r="H1073">
        <v>0</v>
      </c>
      <c r="I1073">
        <v>0</v>
      </c>
      <c r="J1073">
        <v>0</v>
      </c>
      <c r="K1073">
        <v>45324.61</v>
      </c>
      <c r="L1073">
        <v>14440.09</v>
      </c>
      <c r="M1073">
        <v>-27196.53</v>
      </c>
    </row>
    <row r="1074" spans="1:13">
      <c r="A1074">
        <v>4</v>
      </c>
      <c r="B1074" t="s">
        <v>204</v>
      </c>
      <c r="C1074">
        <v>33</v>
      </c>
      <c r="D1074">
        <v>0</v>
      </c>
      <c r="E1074">
        <v>2</v>
      </c>
      <c r="F1074" t="s">
        <v>201</v>
      </c>
      <c r="G1074">
        <v>0</v>
      </c>
      <c r="H1074">
        <v>0</v>
      </c>
      <c r="I1074">
        <v>0</v>
      </c>
      <c r="J1074">
        <v>0</v>
      </c>
      <c r="K1074">
        <v>-21070.19</v>
      </c>
      <c r="L1074">
        <v>6876.86</v>
      </c>
      <c r="M1074">
        <v>-24442.77</v>
      </c>
    </row>
    <row r="1075" spans="1:13">
      <c r="A1075">
        <v>4</v>
      </c>
      <c r="B1075" t="s">
        <v>204</v>
      </c>
      <c r="C1075">
        <v>33</v>
      </c>
      <c r="D1075">
        <v>0</v>
      </c>
      <c r="E1075">
        <v>2</v>
      </c>
      <c r="F1075" t="s">
        <v>202</v>
      </c>
      <c r="G1075">
        <v>6.1749999999999998</v>
      </c>
      <c r="H1075">
        <v>0</v>
      </c>
      <c r="I1075">
        <v>0</v>
      </c>
      <c r="J1075">
        <v>0</v>
      </c>
      <c r="K1075">
        <v>-17105.73</v>
      </c>
      <c r="L1075">
        <v>6876.86</v>
      </c>
      <c r="M1075">
        <v>-25923.97</v>
      </c>
    </row>
    <row r="1076" spans="1:13">
      <c r="A1076">
        <v>4</v>
      </c>
      <c r="B1076" t="s">
        <v>204</v>
      </c>
      <c r="C1076">
        <v>34</v>
      </c>
      <c r="D1076">
        <v>0</v>
      </c>
      <c r="E1076">
        <v>2</v>
      </c>
      <c r="F1076" t="s">
        <v>201</v>
      </c>
      <c r="G1076">
        <v>0</v>
      </c>
      <c r="H1076">
        <v>0</v>
      </c>
      <c r="I1076">
        <v>0</v>
      </c>
      <c r="J1076">
        <v>0</v>
      </c>
      <c r="K1076">
        <v>21453.02</v>
      </c>
      <c r="L1076">
        <v>6861.12</v>
      </c>
      <c r="M1076">
        <v>-24955.55</v>
      </c>
    </row>
    <row r="1077" spans="1:13">
      <c r="A1077">
        <v>4</v>
      </c>
      <c r="B1077" t="s">
        <v>204</v>
      </c>
      <c r="C1077">
        <v>34</v>
      </c>
      <c r="D1077">
        <v>0</v>
      </c>
      <c r="E1077">
        <v>2</v>
      </c>
      <c r="F1077" t="s">
        <v>202</v>
      </c>
      <c r="G1077">
        <v>6.1749999999999998</v>
      </c>
      <c r="H1077">
        <v>0</v>
      </c>
      <c r="I1077">
        <v>0</v>
      </c>
      <c r="J1077">
        <v>0</v>
      </c>
      <c r="K1077">
        <v>1552.5</v>
      </c>
      <c r="L1077">
        <v>-533.52</v>
      </c>
      <c r="M1077">
        <v>-23646.93</v>
      </c>
    </row>
    <row r="1078" spans="1:13">
      <c r="A1078">
        <v>4</v>
      </c>
      <c r="B1078" t="s">
        <v>204</v>
      </c>
      <c r="C1078">
        <v>35</v>
      </c>
      <c r="D1078">
        <v>0</v>
      </c>
      <c r="E1078">
        <v>2</v>
      </c>
      <c r="F1078" t="s">
        <v>201</v>
      </c>
      <c r="G1078">
        <v>0</v>
      </c>
      <c r="H1078">
        <v>0</v>
      </c>
      <c r="I1078">
        <v>0</v>
      </c>
      <c r="J1078">
        <v>0</v>
      </c>
      <c r="K1078">
        <v>1549.48</v>
      </c>
      <c r="L1078">
        <v>-585.91</v>
      </c>
      <c r="M1078">
        <v>-22813.15</v>
      </c>
    </row>
    <row r="1079" spans="1:13">
      <c r="A1079">
        <v>4</v>
      </c>
      <c r="B1079" t="s">
        <v>204</v>
      </c>
      <c r="C1079">
        <v>35</v>
      </c>
      <c r="D1079">
        <v>0</v>
      </c>
      <c r="E1079">
        <v>2</v>
      </c>
      <c r="F1079" t="s">
        <v>202</v>
      </c>
      <c r="G1079">
        <v>6.1749999999999998</v>
      </c>
      <c r="H1079">
        <v>0</v>
      </c>
      <c r="I1079">
        <v>0</v>
      </c>
      <c r="J1079">
        <v>0</v>
      </c>
      <c r="K1079">
        <v>-1769.77</v>
      </c>
      <c r="L1079">
        <v>-585.91</v>
      </c>
      <c r="M1079">
        <v>-24294.35</v>
      </c>
    </row>
    <row r="1080" spans="1:13">
      <c r="A1080">
        <v>4</v>
      </c>
      <c r="B1080" t="s">
        <v>204</v>
      </c>
      <c r="C1080">
        <v>36</v>
      </c>
      <c r="D1080">
        <v>0</v>
      </c>
      <c r="E1080">
        <v>4</v>
      </c>
      <c r="F1080" t="s">
        <v>201</v>
      </c>
      <c r="G1080">
        <v>0</v>
      </c>
      <c r="H1080">
        <v>0</v>
      </c>
      <c r="I1080">
        <v>0</v>
      </c>
      <c r="J1080">
        <v>0</v>
      </c>
      <c r="K1080">
        <v>25529.05</v>
      </c>
      <c r="L1080">
        <v>-8299.2900000000009</v>
      </c>
      <c r="M1080">
        <v>-28837.11</v>
      </c>
    </row>
    <row r="1081" spans="1:13">
      <c r="A1081">
        <v>4</v>
      </c>
      <c r="B1081" t="s">
        <v>204</v>
      </c>
      <c r="C1081">
        <v>36</v>
      </c>
      <c r="D1081">
        <v>0</v>
      </c>
      <c r="E1081">
        <v>4</v>
      </c>
      <c r="F1081" t="s">
        <v>202</v>
      </c>
      <c r="G1081">
        <v>6.1749999999999998</v>
      </c>
      <c r="H1081">
        <v>0</v>
      </c>
      <c r="I1081">
        <v>0</v>
      </c>
      <c r="J1081">
        <v>0</v>
      </c>
      <c r="K1081">
        <v>19660.009999999998</v>
      </c>
      <c r="L1081">
        <v>-8299.2900000000009</v>
      </c>
      <c r="M1081">
        <v>-30318.31</v>
      </c>
    </row>
  </sheetData>
  <phoneticPr fontId="2"/>
  <pageMargins left="0.7" right="0.7" top="0.75" bottom="0.75" header="0.3" footer="0.3"/>
  <pageSetup paperSize="9" orientation="portrait" horizontalDpi="400" verticalDpi="4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097" r:id="rId4" name="Button 1">
              <controlPr defaultSize="0" print="0" autoFill="0" autoPict="0" macro="[0]!ピックアップファイル_Click">
                <anchor moveWithCells="1">
                  <from>
                    <xdr:col>1</xdr:col>
                    <xdr:colOff>161925</xdr:colOff>
                    <xdr:row>0</xdr:row>
                    <xdr:rowOff>0</xdr:rowOff>
                  </from>
                  <to>
                    <xdr:col>3</xdr:col>
                    <xdr:colOff>809625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ckUpDispSheet"/>
  <dimension ref="A1:K445"/>
  <sheetViews>
    <sheetView zoomScaleNormal="100" workbookViewId="0">
      <selection activeCell="F2" sqref="F2"/>
    </sheetView>
  </sheetViews>
  <sheetFormatPr defaultRowHeight="13.5"/>
  <cols>
    <col min="1" max="1" width="9.25" bestFit="1" customWidth="1"/>
    <col min="2" max="2" width="11" bestFit="1" customWidth="1"/>
    <col min="3" max="3" width="7.5" bestFit="1" customWidth="1"/>
    <col min="4" max="5" width="11.625" bestFit="1" customWidth="1"/>
    <col min="6" max="11" width="9" customWidth="1"/>
  </cols>
  <sheetData>
    <row r="1" spans="1:11">
      <c r="A1" t="s">
        <v>188</v>
      </c>
      <c r="B1" t="s">
        <v>189</v>
      </c>
      <c r="C1" t="s">
        <v>205</v>
      </c>
      <c r="D1" t="s">
        <v>191</v>
      </c>
      <c r="E1" t="s">
        <v>192</v>
      </c>
      <c r="F1" t="s">
        <v>206</v>
      </c>
      <c r="G1" t="s">
        <v>207</v>
      </c>
      <c r="H1" t="s">
        <v>208</v>
      </c>
      <c r="I1" t="s">
        <v>209</v>
      </c>
      <c r="J1" t="s">
        <v>210</v>
      </c>
      <c r="K1" t="s">
        <v>211</v>
      </c>
    </row>
    <row r="2" spans="1:11">
      <c r="A2">
        <v>1</v>
      </c>
      <c r="B2" t="s">
        <v>112</v>
      </c>
      <c r="C2">
        <v>1</v>
      </c>
      <c r="D2">
        <v>22</v>
      </c>
      <c r="E2">
        <v>0</v>
      </c>
      <c r="F2">
        <v>4.1790789999999996E-3</v>
      </c>
      <c r="G2">
        <v>-1.652852E-4</v>
      </c>
      <c r="H2">
        <v>1.8354370000000001E-4</v>
      </c>
      <c r="I2">
        <v>0</v>
      </c>
      <c r="J2">
        <v>0</v>
      </c>
      <c r="K2">
        <v>0</v>
      </c>
    </row>
    <row r="3" spans="1:11">
      <c r="A3">
        <v>1</v>
      </c>
      <c r="B3" t="s">
        <v>112</v>
      </c>
      <c r="C3">
        <v>2</v>
      </c>
      <c r="D3">
        <v>22</v>
      </c>
      <c r="E3">
        <v>0</v>
      </c>
      <c r="F3">
        <v>3.7878289999999999E-3</v>
      </c>
      <c r="G3">
        <v>1.2215309999999999E-4</v>
      </c>
      <c r="H3">
        <v>1.8403540000000001E-4</v>
      </c>
      <c r="I3">
        <v>0</v>
      </c>
      <c r="J3">
        <v>0</v>
      </c>
      <c r="K3">
        <v>0</v>
      </c>
    </row>
    <row r="4" spans="1:11">
      <c r="A4">
        <v>1</v>
      </c>
      <c r="B4" t="s">
        <v>112</v>
      </c>
      <c r="C4">
        <v>3</v>
      </c>
      <c r="D4">
        <v>22</v>
      </c>
      <c r="E4">
        <v>0</v>
      </c>
      <c r="F4">
        <v>3.7560789999999998E-3</v>
      </c>
      <c r="G4">
        <v>1.7276389999999999E-4</v>
      </c>
      <c r="H4">
        <v>1.840473E-4</v>
      </c>
      <c r="I4">
        <v>0</v>
      </c>
      <c r="J4">
        <v>0</v>
      </c>
      <c r="K4">
        <v>0</v>
      </c>
    </row>
    <row r="5" spans="1:11">
      <c r="A5">
        <v>1</v>
      </c>
      <c r="B5" t="s">
        <v>112</v>
      </c>
      <c r="C5">
        <v>4</v>
      </c>
      <c r="D5">
        <v>22</v>
      </c>
      <c r="E5">
        <v>0</v>
      </c>
      <c r="F5">
        <v>3.6874719999999998E-3</v>
      </c>
      <c r="G5">
        <v>2.2330089999999999E-4</v>
      </c>
      <c r="H5">
        <v>1.8349910000000001E-4</v>
      </c>
      <c r="I5">
        <v>0</v>
      </c>
      <c r="J5">
        <v>0</v>
      </c>
      <c r="K5">
        <v>0</v>
      </c>
    </row>
    <row r="6" spans="1:11">
      <c r="A6">
        <v>1</v>
      </c>
      <c r="B6" t="s">
        <v>112</v>
      </c>
      <c r="C6">
        <v>5</v>
      </c>
      <c r="D6">
        <v>22</v>
      </c>
      <c r="E6">
        <v>0</v>
      </c>
      <c r="F6">
        <v>2.614374E-3</v>
      </c>
      <c r="G6">
        <v>4.8902210000000002E-4</v>
      </c>
      <c r="H6">
        <v>3.3005300000000001E-5</v>
      </c>
      <c r="I6">
        <v>0</v>
      </c>
      <c r="J6">
        <v>0</v>
      </c>
      <c r="K6">
        <v>0</v>
      </c>
    </row>
    <row r="7" spans="1:11">
      <c r="A7">
        <v>1</v>
      </c>
      <c r="B7" t="s">
        <v>112</v>
      </c>
      <c r="C7">
        <v>6</v>
      </c>
      <c r="D7">
        <v>22</v>
      </c>
      <c r="E7">
        <v>0</v>
      </c>
      <c r="F7">
        <v>2.5457679999999999E-3</v>
      </c>
      <c r="G7">
        <v>4.9813730000000005E-4</v>
      </c>
      <c r="H7">
        <v>3.3294399999999998E-5</v>
      </c>
      <c r="I7">
        <v>0</v>
      </c>
      <c r="J7">
        <v>0</v>
      </c>
      <c r="K7">
        <v>0</v>
      </c>
    </row>
    <row r="8" spans="1:11">
      <c r="A8">
        <v>1</v>
      </c>
      <c r="B8" t="s">
        <v>112</v>
      </c>
      <c r="C8">
        <v>7</v>
      </c>
      <c r="D8">
        <v>22</v>
      </c>
      <c r="E8">
        <v>0</v>
      </c>
      <c r="F8">
        <v>2.5127769999999999E-3</v>
      </c>
      <c r="G8">
        <v>5.0726709999999997E-4</v>
      </c>
      <c r="H8">
        <v>3.3103499999999999E-5</v>
      </c>
      <c r="I8">
        <v>0</v>
      </c>
      <c r="J8">
        <v>0</v>
      </c>
      <c r="K8">
        <v>0</v>
      </c>
    </row>
    <row r="9" spans="1:11">
      <c r="A9">
        <v>1</v>
      </c>
      <c r="B9" t="s">
        <v>112</v>
      </c>
      <c r="C9">
        <v>8</v>
      </c>
      <c r="D9">
        <v>22</v>
      </c>
      <c r="E9">
        <v>0</v>
      </c>
      <c r="F9">
        <v>1.277802E-3</v>
      </c>
      <c r="G9">
        <v>4.6313579999999999E-4</v>
      </c>
      <c r="H9">
        <v>5.7029000000000001E-6</v>
      </c>
      <c r="I9">
        <v>0</v>
      </c>
      <c r="J9">
        <v>0</v>
      </c>
      <c r="K9">
        <v>0</v>
      </c>
    </row>
    <row r="10" spans="1:11">
      <c r="A10">
        <v>1</v>
      </c>
      <c r="B10" t="s">
        <v>112</v>
      </c>
      <c r="C10">
        <v>9</v>
      </c>
      <c r="D10">
        <v>22</v>
      </c>
      <c r="E10">
        <v>0</v>
      </c>
      <c r="F10">
        <v>1.209311E-3</v>
      </c>
      <c r="G10">
        <v>4.6472689999999998E-4</v>
      </c>
      <c r="H10">
        <v>5.8717E-6</v>
      </c>
      <c r="I10">
        <v>0</v>
      </c>
      <c r="J10">
        <v>0</v>
      </c>
      <c r="K10">
        <v>0</v>
      </c>
    </row>
    <row r="11" spans="1:11">
      <c r="A11">
        <v>1</v>
      </c>
      <c r="B11" t="s">
        <v>112</v>
      </c>
      <c r="C11">
        <v>10</v>
      </c>
      <c r="D11">
        <v>22</v>
      </c>
      <c r="E11">
        <v>0</v>
      </c>
      <c r="F11">
        <v>1.177125E-3</v>
      </c>
      <c r="G11">
        <v>4.6633139999999998E-4</v>
      </c>
      <c r="H11">
        <v>5.7969999999999997E-6</v>
      </c>
      <c r="I11">
        <v>0</v>
      </c>
      <c r="J11">
        <v>0</v>
      </c>
      <c r="K11">
        <v>0</v>
      </c>
    </row>
    <row r="12" spans="1:11">
      <c r="A12">
        <v>1</v>
      </c>
      <c r="B12" t="s">
        <v>112</v>
      </c>
      <c r="C12">
        <v>11</v>
      </c>
      <c r="D12">
        <v>22</v>
      </c>
      <c r="E12">
        <v>22</v>
      </c>
      <c r="F12">
        <v>3.4463299999999999E-5</v>
      </c>
      <c r="G12">
        <v>3.395521E-4</v>
      </c>
      <c r="H12">
        <v>2.9719999999999999E-7</v>
      </c>
      <c r="I12">
        <v>-9.3198900000000006E-5</v>
      </c>
      <c r="J12">
        <v>4.0587220000000001E-4</v>
      </c>
      <c r="K12">
        <v>-2.2606E-6</v>
      </c>
    </row>
    <row r="13" spans="1:11">
      <c r="A13">
        <v>1</v>
      </c>
      <c r="B13" t="s">
        <v>112</v>
      </c>
      <c r="C13">
        <v>12</v>
      </c>
      <c r="D13">
        <v>22</v>
      </c>
      <c r="E13">
        <v>22</v>
      </c>
      <c r="F13">
        <v>2.0778700000000001E-5</v>
      </c>
      <c r="G13">
        <v>3.3964260000000001E-4</v>
      </c>
      <c r="H13">
        <v>3.6269999999999999E-7</v>
      </c>
      <c r="I13">
        <v>-1.6163390000000001E-4</v>
      </c>
      <c r="J13">
        <v>4.0526229999999998E-4</v>
      </c>
      <c r="K13">
        <v>-2.1733999999999998E-6</v>
      </c>
    </row>
    <row r="14" spans="1:11">
      <c r="A14">
        <v>1</v>
      </c>
      <c r="B14" t="s">
        <v>112</v>
      </c>
      <c r="C14">
        <v>13</v>
      </c>
      <c r="D14">
        <v>22</v>
      </c>
      <c r="E14">
        <v>22</v>
      </c>
      <c r="F14">
        <v>7.0930999999999999E-6</v>
      </c>
      <c r="G14">
        <v>3.3975100000000001E-4</v>
      </c>
      <c r="H14">
        <v>4.2440000000000002E-7</v>
      </c>
      <c r="I14">
        <v>-2.3007440000000001E-4</v>
      </c>
      <c r="J14">
        <v>4.04681E-4</v>
      </c>
      <c r="K14">
        <v>-2.0561999999999999E-6</v>
      </c>
    </row>
    <row r="15" spans="1:11">
      <c r="A15">
        <v>1</v>
      </c>
      <c r="B15" t="s">
        <v>112</v>
      </c>
      <c r="C15">
        <v>14</v>
      </c>
      <c r="D15">
        <v>0</v>
      </c>
      <c r="E15">
        <v>22</v>
      </c>
      <c r="F15">
        <v>0</v>
      </c>
      <c r="G15">
        <v>0</v>
      </c>
      <c r="H15">
        <v>0</v>
      </c>
      <c r="I15">
        <v>-1.4172360000000001E-3</v>
      </c>
      <c r="J15">
        <v>4.5922280000000002E-4</v>
      </c>
      <c r="K15">
        <v>-1.26186E-5</v>
      </c>
    </row>
    <row r="16" spans="1:11">
      <c r="A16">
        <v>1</v>
      </c>
      <c r="B16" t="s">
        <v>112</v>
      </c>
      <c r="C16">
        <v>15</v>
      </c>
      <c r="D16">
        <v>0</v>
      </c>
      <c r="E16">
        <v>22</v>
      </c>
      <c r="F16">
        <v>0</v>
      </c>
      <c r="G16">
        <v>0</v>
      </c>
      <c r="H16">
        <v>0</v>
      </c>
      <c r="I16">
        <v>-1.4281770000000001E-3</v>
      </c>
      <c r="J16">
        <v>4.5573819999999998E-4</v>
      </c>
      <c r="K16">
        <v>-1.2723399999999999E-5</v>
      </c>
    </row>
    <row r="17" spans="1:11">
      <c r="A17">
        <v>1</v>
      </c>
      <c r="B17" t="s">
        <v>112</v>
      </c>
      <c r="C17">
        <v>16</v>
      </c>
      <c r="D17">
        <v>0</v>
      </c>
      <c r="E17">
        <v>22</v>
      </c>
      <c r="F17">
        <v>0</v>
      </c>
      <c r="G17">
        <v>0</v>
      </c>
      <c r="H17">
        <v>0</v>
      </c>
      <c r="I17">
        <v>-1.496683E-3</v>
      </c>
      <c r="J17">
        <v>4.5226389999999998E-4</v>
      </c>
      <c r="K17">
        <v>-1.25482E-5</v>
      </c>
    </row>
    <row r="18" spans="1:11">
      <c r="A18">
        <v>1</v>
      </c>
      <c r="B18" t="s">
        <v>112</v>
      </c>
      <c r="C18">
        <v>17</v>
      </c>
      <c r="D18">
        <v>0</v>
      </c>
      <c r="E18">
        <v>22</v>
      </c>
      <c r="F18">
        <v>0</v>
      </c>
      <c r="G18">
        <v>0</v>
      </c>
      <c r="H18">
        <v>0</v>
      </c>
      <c r="I18">
        <v>-2.7455729999999999E-3</v>
      </c>
      <c r="J18">
        <v>4.473519E-4</v>
      </c>
      <c r="K18">
        <v>-4.6963099999999998E-5</v>
      </c>
    </row>
    <row r="19" spans="1:11">
      <c r="A19">
        <v>1</v>
      </c>
      <c r="B19" t="s">
        <v>112</v>
      </c>
      <c r="C19">
        <v>18</v>
      </c>
      <c r="D19">
        <v>0</v>
      </c>
      <c r="E19">
        <v>22</v>
      </c>
      <c r="F19">
        <v>0</v>
      </c>
      <c r="G19">
        <v>0</v>
      </c>
      <c r="H19">
        <v>0</v>
      </c>
      <c r="I19">
        <v>-2.7808279999999999E-3</v>
      </c>
      <c r="J19">
        <v>4.3440770000000001E-4</v>
      </c>
      <c r="K19">
        <v>-4.7175600000000003E-5</v>
      </c>
    </row>
    <row r="20" spans="1:11">
      <c r="A20">
        <v>1</v>
      </c>
      <c r="B20" t="s">
        <v>112</v>
      </c>
      <c r="C20">
        <v>19</v>
      </c>
      <c r="D20">
        <v>0</v>
      </c>
      <c r="E20">
        <v>22</v>
      </c>
      <c r="F20">
        <v>0</v>
      </c>
      <c r="G20">
        <v>0</v>
      </c>
      <c r="H20">
        <v>0</v>
      </c>
      <c r="I20">
        <v>-2.849458E-3</v>
      </c>
      <c r="J20">
        <v>4.2147719999999998E-4</v>
      </c>
      <c r="K20">
        <v>-4.6870799999999999E-5</v>
      </c>
    </row>
    <row r="21" spans="1:11">
      <c r="A21">
        <v>1</v>
      </c>
      <c r="B21" t="s">
        <v>112</v>
      </c>
      <c r="C21">
        <v>20</v>
      </c>
      <c r="D21">
        <v>0</v>
      </c>
      <c r="E21">
        <v>22</v>
      </c>
      <c r="F21">
        <v>0</v>
      </c>
      <c r="G21">
        <v>0</v>
      </c>
      <c r="H21">
        <v>0</v>
      </c>
      <c r="I21">
        <v>-3.007109E-3</v>
      </c>
      <c r="J21">
        <v>2.2531600000000001E-4</v>
      </c>
      <c r="K21">
        <v>-1.3579640000000001E-4</v>
      </c>
    </row>
    <row r="22" spans="1:11">
      <c r="A22">
        <v>1</v>
      </c>
      <c r="B22" t="s">
        <v>112</v>
      </c>
      <c r="C22">
        <v>21</v>
      </c>
      <c r="D22">
        <v>0</v>
      </c>
      <c r="E22">
        <v>22</v>
      </c>
      <c r="F22">
        <v>0</v>
      </c>
      <c r="G22">
        <v>0</v>
      </c>
      <c r="H22">
        <v>0</v>
      </c>
      <c r="I22">
        <v>-3.0757390000000001E-3</v>
      </c>
      <c r="J22">
        <v>1.8790969999999999E-4</v>
      </c>
      <c r="K22">
        <v>-1.3625360000000001E-4</v>
      </c>
    </row>
    <row r="23" spans="1:11">
      <c r="A23">
        <v>1</v>
      </c>
      <c r="B23" t="s">
        <v>112</v>
      </c>
      <c r="C23">
        <v>22</v>
      </c>
      <c r="D23">
        <v>0</v>
      </c>
      <c r="E23">
        <v>22</v>
      </c>
      <c r="F23">
        <v>0</v>
      </c>
      <c r="G23">
        <v>0</v>
      </c>
      <c r="H23">
        <v>0</v>
      </c>
      <c r="I23">
        <v>-3.1127389999999998E-3</v>
      </c>
      <c r="J23">
        <v>1.5044209999999999E-4</v>
      </c>
      <c r="K23">
        <v>-1.3624169999999999E-4</v>
      </c>
    </row>
    <row r="24" spans="1:11">
      <c r="A24">
        <v>1</v>
      </c>
      <c r="B24" t="s">
        <v>112</v>
      </c>
      <c r="C24">
        <v>23</v>
      </c>
      <c r="D24">
        <v>0</v>
      </c>
      <c r="E24">
        <v>22</v>
      </c>
      <c r="F24">
        <v>0</v>
      </c>
      <c r="G24">
        <v>0</v>
      </c>
      <c r="H24">
        <v>0</v>
      </c>
      <c r="I24">
        <v>-3.5039889999999999E-3</v>
      </c>
      <c r="J24">
        <v>-6.2199000000000005E-5</v>
      </c>
      <c r="K24">
        <v>-1.3574999999999999E-4</v>
      </c>
    </row>
    <row r="25" spans="1:11">
      <c r="A25">
        <v>1</v>
      </c>
      <c r="B25" t="s">
        <v>112</v>
      </c>
      <c r="C25">
        <v>24</v>
      </c>
      <c r="D25">
        <v>22</v>
      </c>
      <c r="E25">
        <v>0</v>
      </c>
      <c r="F25">
        <v>3.5384840000000002E-3</v>
      </c>
      <c r="G25">
        <v>1.7244149999999999E-4</v>
      </c>
      <c r="H25">
        <v>1.8620480000000001E-4</v>
      </c>
      <c r="I25">
        <v>0</v>
      </c>
      <c r="J25">
        <v>0</v>
      </c>
      <c r="K25">
        <v>0</v>
      </c>
    </row>
    <row r="26" spans="1:11">
      <c r="A26">
        <v>1</v>
      </c>
      <c r="B26" t="s">
        <v>112</v>
      </c>
      <c r="C26">
        <v>25</v>
      </c>
      <c r="D26">
        <v>22</v>
      </c>
      <c r="E26">
        <v>0</v>
      </c>
      <c r="F26">
        <v>2.505518E-3</v>
      </c>
      <c r="G26">
        <v>4.9716120000000005E-4</v>
      </c>
      <c r="H26">
        <v>3.5116300000000001E-5</v>
      </c>
      <c r="I26">
        <v>0</v>
      </c>
      <c r="J26">
        <v>0</v>
      </c>
      <c r="K26">
        <v>0</v>
      </c>
    </row>
    <row r="27" spans="1:11">
      <c r="A27">
        <v>1</v>
      </c>
      <c r="B27" t="s">
        <v>112</v>
      </c>
      <c r="C27">
        <v>26</v>
      </c>
      <c r="D27">
        <v>22</v>
      </c>
      <c r="E27">
        <v>0</v>
      </c>
      <c r="F27">
        <v>1.201852E-3</v>
      </c>
      <c r="G27">
        <v>4.6381789999999998E-4</v>
      </c>
      <c r="H27">
        <v>6.7762999999999998E-6</v>
      </c>
      <c r="I27">
        <v>0</v>
      </c>
      <c r="J27">
        <v>0</v>
      </c>
      <c r="K27">
        <v>0</v>
      </c>
    </row>
    <row r="28" spans="1:11">
      <c r="A28">
        <v>1</v>
      </c>
      <c r="B28" t="s">
        <v>112</v>
      </c>
      <c r="C28">
        <v>27</v>
      </c>
      <c r="D28">
        <v>22</v>
      </c>
      <c r="E28">
        <v>22</v>
      </c>
      <c r="F28">
        <v>2.0343499999999999E-5</v>
      </c>
      <c r="G28">
        <v>3.3898499999999998E-4</v>
      </c>
      <c r="H28">
        <v>3.7720000000000002E-7</v>
      </c>
      <c r="I28">
        <v>-1.590087E-4</v>
      </c>
      <c r="J28">
        <v>4.0447280000000001E-4</v>
      </c>
      <c r="K28">
        <v>-2.2888E-6</v>
      </c>
    </row>
    <row r="29" spans="1:11">
      <c r="A29">
        <v>1</v>
      </c>
      <c r="B29" t="s">
        <v>112</v>
      </c>
      <c r="C29">
        <v>28</v>
      </c>
      <c r="D29">
        <v>0</v>
      </c>
      <c r="E29">
        <v>22</v>
      </c>
      <c r="F29">
        <v>0</v>
      </c>
      <c r="G29">
        <v>0</v>
      </c>
      <c r="H29">
        <v>0</v>
      </c>
      <c r="I29">
        <v>-1.4125800000000001E-3</v>
      </c>
      <c r="J29">
        <v>4.5484740000000001E-4</v>
      </c>
      <c r="K29">
        <v>-1.37689E-5</v>
      </c>
    </row>
    <row r="30" spans="1:11">
      <c r="A30">
        <v>1</v>
      </c>
      <c r="B30" t="s">
        <v>112</v>
      </c>
      <c r="C30">
        <v>29</v>
      </c>
      <c r="D30">
        <v>0</v>
      </c>
      <c r="E30">
        <v>22</v>
      </c>
      <c r="F30">
        <v>0</v>
      </c>
      <c r="G30">
        <v>0</v>
      </c>
      <c r="H30">
        <v>0</v>
      </c>
      <c r="I30">
        <v>-2.7241909999999999E-3</v>
      </c>
      <c r="J30">
        <v>4.335597E-4</v>
      </c>
      <c r="K30">
        <v>-4.9123299999999998E-5</v>
      </c>
    </row>
    <row r="31" spans="1:11">
      <c r="A31">
        <v>1</v>
      </c>
      <c r="B31" t="s">
        <v>112</v>
      </c>
      <c r="C31">
        <v>30</v>
      </c>
      <c r="D31">
        <v>0</v>
      </c>
      <c r="E31">
        <v>22</v>
      </c>
      <c r="F31">
        <v>0</v>
      </c>
      <c r="G31">
        <v>0</v>
      </c>
      <c r="H31">
        <v>0</v>
      </c>
      <c r="I31">
        <v>-2.9145099999999999E-3</v>
      </c>
      <c r="J31">
        <v>1.875569E-4</v>
      </c>
      <c r="K31">
        <v>-1.380772E-4</v>
      </c>
    </row>
    <row r="32" spans="1:11">
      <c r="A32">
        <v>1</v>
      </c>
      <c r="B32" t="s">
        <v>112</v>
      </c>
      <c r="C32">
        <v>31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</row>
    <row r="33" spans="1:11">
      <c r="A33">
        <v>1</v>
      </c>
      <c r="B33" t="s">
        <v>112</v>
      </c>
      <c r="C33">
        <v>32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</row>
    <row r="34" spans="1:11">
      <c r="A34">
        <v>1</v>
      </c>
      <c r="B34" t="s">
        <v>112</v>
      </c>
      <c r="C34">
        <v>33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</row>
    <row r="35" spans="1:11">
      <c r="A35">
        <v>1</v>
      </c>
      <c r="B35" t="s">
        <v>112</v>
      </c>
      <c r="C35">
        <v>34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</row>
    <row r="36" spans="1:11">
      <c r="A36">
        <v>1</v>
      </c>
      <c r="B36" t="s">
        <v>112</v>
      </c>
      <c r="C36">
        <v>35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</row>
    <row r="37" spans="1:11">
      <c r="A37">
        <v>1</v>
      </c>
      <c r="B37" t="s">
        <v>112</v>
      </c>
      <c r="C37">
        <v>36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</row>
    <row r="38" spans="1:11">
      <c r="A38">
        <v>1</v>
      </c>
      <c r="B38" t="s">
        <v>112</v>
      </c>
      <c r="C38">
        <v>37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</row>
    <row r="39" spans="1:11">
      <c r="A39">
        <v>1</v>
      </c>
      <c r="B39" t="s">
        <v>113</v>
      </c>
      <c r="C39">
        <v>1</v>
      </c>
      <c r="D39">
        <v>16</v>
      </c>
      <c r="E39">
        <v>22</v>
      </c>
      <c r="F39">
        <v>7.8991809999999995E-4</v>
      </c>
      <c r="G39">
        <v>3.7959549999999999E-4</v>
      </c>
      <c r="H39">
        <v>2.5837E-5</v>
      </c>
      <c r="I39">
        <v>4.1790789999999996E-3</v>
      </c>
      <c r="J39">
        <v>-1.652852E-4</v>
      </c>
      <c r="K39">
        <v>1.8354370000000001E-4</v>
      </c>
    </row>
    <row r="40" spans="1:11">
      <c r="A40">
        <v>1</v>
      </c>
      <c r="B40" t="s">
        <v>113</v>
      </c>
      <c r="C40">
        <v>2</v>
      </c>
      <c r="D40">
        <v>16</v>
      </c>
      <c r="E40">
        <v>0</v>
      </c>
      <c r="F40">
        <v>7.116682E-4</v>
      </c>
      <c r="G40">
        <v>4.2022279999999999E-4</v>
      </c>
      <c r="H40">
        <v>2.6328700000000001E-5</v>
      </c>
      <c r="I40">
        <v>0</v>
      </c>
      <c r="J40">
        <v>0</v>
      </c>
      <c r="K40">
        <v>0</v>
      </c>
    </row>
    <row r="41" spans="1:11">
      <c r="A41">
        <v>1</v>
      </c>
      <c r="B41" t="s">
        <v>113</v>
      </c>
      <c r="C41">
        <v>3</v>
      </c>
      <c r="D41">
        <v>16</v>
      </c>
      <c r="E41">
        <v>0</v>
      </c>
      <c r="F41">
        <v>7.0531819999999999E-4</v>
      </c>
      <c r="G41">
        <v>4.2746430000000001E-4</v>
      </c>
      <c r="H41">
        <v>2.6340900000000001E-5</v>
      </c>
      <c r="I41">
        <v>0</v>
      </c>
      <c r="J41">
        <v>0</v>
      </c>
      <c r="K41">
        <v>0</v>
      </c>
    </row>
    <row r="42" spans="1:11">
      <c r="A42">
        <v>1</v>
      </c>
      <c r="B42" t="s">
        <v>113</v>
      </c>
      <c r="C42">
        <v>4</v>
      </c>
      <c r="D42">
        <v>16</v>
      </c>
      <c r="E42">
        <v>0</v>
      </c>
      <c r="F42">
        <v>6.9159810000000001E-4</v>
      </c>
      <c r="G42">
        <v>4.3469560000000001E-4</v>
      </c>
      <c r="H42">
        <v>2.6249900000000001E-5</v>
      </c>
      <c r="I42">
        <v>0</v>
      </c>
      <c r="J42">
        <v>0</v>
      </c>
      <c r="K42">
        <v>0</v>
      </c>
    </row>
    <row r="43" spans="1:11">
      <c r="A43">
        <v>1</v>
      </c>
      <c r="B43" t="s">
        <v>113</v>
      </c>
      <c r="C43">
        <v>5</v>
      </c>
      <c r="D43">
        <v>16</v>
      </c>
      <c r="E43">
        <v>0</v>
      </c>
      <c r="F43">
        <v>2.5387750000000001E-3</v>
      </c>
      <c r="G43">
        <v>5.1097390000000005E-4</v>
      </c>
      <c r="H43">
        <v>3.0653800000000001E-5</v>
      </c>
      <c r="I43">
        <v>0</v>
      </c>
      <c r="J43">
        <v>0</v>
      </c>
      <c r="K43">
        <v>0</v>
      </c>
    </row>
    <row r="44" spans="1:11">
      <c r="A44">
        <v>1</v>
      </c>
      <c r="B44" t="s">
        <v>113</v>
      </c>
      <c r="C44">
        <v>6</v>
      </c>
      <c r="D44">
        <v>16</v>
      </c>
      <c r="E44">
        <v>0</v>
      </c>
      <c r="F44">
        <v>2.4701689999999999E-3</v>
      </c>
      <c r="G44">
        <v>5.1944230000000005E-4</v>
      </c>
      <c r="H44">
        <v>3.0941400000000002E-5</v>
      </c>
      <c r="I44">
        <v>0</v>
      </c>
      <c r="J44">
        <v>0</v>
      </c>
      <c r="K44">
        <v>0</v>
      </c>
    </row>
    <row r="45" spans="1:11">
      <c r="A45">
        <v>1</v>
      </c>
      <c r="B45" t="s">
        <v>113</v>
      </c>
      <c r="C45">
        <v>7</v>
      </c>
      <c r="D45">
        <v>16</v>
      </c>
      <c r="E45">
        <v>0</v>
      </c>
      <c r="F45">
        <v>2.4371789999999998E-3</v>
      </c>
      <c r="G45">
        <v>5.2792659999999995E-4</v>
      </c>
      <c r="H45">
        <v>3.0761099999999999E-5</v>
      </c>
      <c r="I45">
        <v>0</v>
      </c>
      <c r="J45">
        <v>0</v>
      </c>
      <c r="K45">
        <v>0</v>
      </c>
    </row>
    <row r="46" spans="1:11">
      <c r="A46">
        <v>1</v>
      </c>
      <c r="B46" t="s">
        <v>113</v>
      </c>
      <c r="C46">
        <v>8</v>
      </c>
      <c r="D46">
        <v>16</v>
      </c>
      <c r="E46">
        <v>0</v>
      </c>
      <c r="F46">
        <v>1.2025600000000001E-3</v>
      </c>
      <c r="G46">
        <v>4.806578E-4</v>
      </c>
      <c r="H46">
        <v>4.2223000000000002E-6</v>
      </c>
      <c r="I46">
        <v>0</v>
      </c>
      <c r="J46">
        <v>0</v>
      </c>
      <c r="K46">
        <v>0</v>
      </c>
    </row>
    <row r="47" spans="1:11">
      <c r="A47">
        <v>1</v>
      </c>
      <c r="B47" t="s">
        <v>113</v>
      </c>
      <c r="C47">
        <v>9</v>
      </c>
      <c r="D47">
        <v>16</v>
      </c>
      <c r="E47">
        <v>0</v>
      </c>
      <c r="F47">
        <v>1.1340689999999999E-3</v>
      </c>
      <c r="G47">
        <v>4.8184060000000002E-4</v>
      </c>
      <c r="H47">
        <v>4.3827000000000004E-6</v>
      </c>
      <c r="I47">
        <v>0</v>
      </c>
      <c r="J47">
        <v>0</v>
      </c>
      <c r="K47">
        <v>0</v>
      </c>
    </row>
    <row r="48" spans="1:11">
      <c r="A48">
        <v>1</v>
      </c>
      <c r="B48" t="s">
        <v>113</v>
      </c>
      <c r="C48">
        <v>10</v>
      </c>
      <c r="D48">
        <v>16</v>
      </c>
      <c r="E48">
        <v>0</v>
      </c>
      <c r="F48">
        <v>1.101884E-3</v>
      </c>
      <c r="G48">
        <v>4.830363E-4</v>
      </c>
      <c r="H48">
        <v>4.3124999999999998E-6</v>
      </c>
      <c r="I48">
        <v>0</v>
      </c>
      <c r="J48">
        <v>0</v>
      </c>
      <c r="K48">
        <v>0</v>
      </c>
    </row>
    <row r="49" spans="1:11">
      <c r="A49">
        <v>1</v>
      </c>
      <c r="B49" t="s">
        <v>113</v>
      </c>
      <c r="C49">
        <v>11</v>
      </c>
      <c r="D49">
        <v>16</v>
      </c>
      <c r="E49">
        <v>0</v>
      </c>
      <c r="F49">
        <v>-7.9919099999999999E-5</v>
      </c>
      <c r="G49">
        <v>4.1698910000000002E-4</v>
      </c>
      <c r="H49">
        <v>-2.4862999999999998E-6</v>
      </c>
      <c r="I49">
        <v>0</v>
      </c>
      <c r="J49">
        <v>0</v>
      </c>
      <c r="K49">
        <v>0</v>
      </c>
    </row>
    <row r="50" spans="1:11">
      <c r="A50">
        <v>1</v>
      </c>
      <c r="B50" t="s">
        <v>113</v>
      </c>
      <c r="C50">
        <v>12</v>
      </c>
      <c r="D50">
        <v>16</v>
      </c>
      <c r="E50">
        <v>0</v>
      </c>
      <c r="F50">
        <v>-8.9422300000000006E-5</v>
      </c>
      <c r="G50">
        <v>4.1631760000000002E-4</v>
      </c>
      <c r="H50">
        <v>-1.4607000000000001E-6</v>
      </c>
      <c r="I50">
        <v>0</v>
      </c>
      <c r="J50">
        <v>0</v>
      </c>
      <c r="K50">
        <v>0</v>
      </c>
    </row>
    <row r="51" spans="1:11">
      <c r="A51">
        <v>1</v>
      </c>
      <c r="B51" t="s">
        <v>113</v>
      </c>
      <c r="C51">
        <v>13</v>
      </c>
      <c r="D51">
        <v>18</v>
      </c>
      <c r="E51">
        <v>0</v>
      </c>
      <c r="F51">
        <v>-1.5505200000000001E-4</v>
      </c>
      <c r="G51">
        <v>4.1617249999999998E-4</v>
      </c>
      <c r="H51">
        <v>-4.7249999999999998E-7</v>
      </c>
      <c r="I51">
        <v>0</v>
      </c>
      <c r="J51">
        <v>0</v>
      </c>
      <c r="K51">
        <v>0</v>
      </c>
    </row>
    <row r="52" spans="1:11">
      <c r="A52">
        <v>1</v>
      </c>
      <c r="B52" t="s">
        <v>113</v>
      </c>
      <c r="C52">
        <v>14</v>
      </c>
      <c r="D52">
        <v>18</v>
      </c>
      <c r="E52">
        <v>0</v>
      </c>
      <c r="F52">
        <v>-1.341996E-3</v>
      </c>
      <c r="G52">
        <v>4.7593119999999998E-4</v>
      </c>
      <c r="H52">
        <v>-1.1134100000000001E-5</v>
      </c>
      <c r="I52">
        <v>0</v>
      </c>
      <c r="J52">
        <v>0</v>
      </c>
      <c r="K52">
        <v>0</v>
      </c>
    </row>
    <row r="53" spans="1:11">
      <c r="A53">
        <v>1</v>
      </c>
      <c r="B53" t="s">
        <v>113</v>
      </c>
      <c r="C53">
        <v>15</v>
      </c>
      <c r="D53">
        <v>18</v>
      </c>
      <c r="E53">
        <v>0</v>
      </c>
      <c r="F53">
        <v>-1.3529359999999999E-3</v>
      </c>
      <c r="G53">
        <v>4.7285550000000001E-4</v>
      </c>
      <c r="H53">
        <v>-1.12344E-5</v>
      </c>
      <c r="I53">
        <v>0</v>
      </c>
      <c r="J53">
        <v>0</v>
      </c>
      <c r="K53">
        <v>0</v>
      </c>
    </row>
    <row r="54" spans="1:11">
      <c r="A54">
        <v>1</v>
      </c>
      <c r="B54" t="s">
        <v>113</v>
      </c>
      <c r="C54">
        <v>16</v>
      </c>
      <c r="D54">
        <v>18</v>
      </c>
      <c r="E54">
        <v>0</v>
      </c>
      <c r="F54">
        <v>-1.421442E-3</v>
      </c>
      <c r="G54">
        <v>4.6978949999999998E-4</v>
      </c>
      <c r="H54">
        <v>-1.1067600000000001E-5</v>
      </c>
      <c r="I54">
        <v>0</v>
      </c>
      <c r="J54">
        <v>0</v>
      </c>
      <c r="K54">
        <v>0</v>
      </c>
    </row>
    <row r="55" spans="1:11">
      <c r="A55">
        <v>1</v>
      </c>
      <c r="B55" t="s">
        <v>113</v>
      </c>
      <c r="C55">
        <v>17</v>
      </c>
      <c r="D55">
        <v>18</v>
      </c>
      <c r="E55">
        <v>0</v>
      </c>
      <c r="F55">
        <v>-2.6699760000000001E-3</v>
      </c>
      <c r="G55">
        <v>4.6801200000000002E-4</v>
      </c>
      <c r="H55">
        <v>-4.46215E-5</v>
      </c>
      <c r="I55">
        <v>0</v>
      </c>
      <c r="J55">
        <v>0</v>
      </c>
      <c r="K55">
        <v>0</v>
      </c>
    </row>
    <row r="56" spans="1:11">
      <c r="A56">
        <v>1</v>
      </c>
      <c r="B56" t="s">
        <v>113</v>
      </c>
      <c r="C56">
        <v>18</v>
      </c>
      <c r="D56">
        <v>18</v>
      </c>
      <c r="E56">
        <v>0</v>
      </c>
      <c r="F56">
        <v>-2.7052310000000002E-3</v>
      </c>
      <c r="G56">
        <v>4.5571320000000002E-4</v>
      </c>
      <c r="H56">
        <v>-4.4823400000000002E-5</v>
      </c>
      <c r="I56">
        <v>0</v>
      </c>
      <c r="J56">
        <v>0</v>
      </c>
      <c r="K56">
        <v>0</v>
      </c>
    </row>
    <row r="57" spans="1:11">
      <c r="A57">
        <v>1</v>
      </c>
      <c r="B57" t="s">
        <v>113</v>
      </c>
      <c r="C57">
        <v>19</v>
      </c>
      <c r="D57">
        <v>18</v>
      </c>
      <c r="E57">
        <v>0</v>
      </c>
      <c r="F57">
        <v>-2.7738609999999999E-3</v>
      </c>
      <c r="G57">
        <v>4.4342930000000001E-4</v>
      </c>
      <c r="H57">
        <v>-4.4520000000000001E-5</v>
      </c>
      <c r="I57">
        <v>0</v>
      </c>
      <c r="J57">
        <v>0</v>
      </c>
      <c r="K57">
        <v>0</v>
      </c>
    </row>
    <row r="58" spans="1:11">
      <c r="A58">
        <v>1</v>
      </c>
      <c r="B58" t="s">
        <v>113</v>
      </c>
      <c r="C58">
        <v>20</v>
      </c>
      <c r="D58">
        <v>18</v>
      </c>
      <c r="E58">
        <v>0</v>
      </c>
      <c r="F58">
        <v>-5.5409470000000001E-4</v>
      </c>
      <c r="G58">
        <v>4.2399160000000001E-4</v>
      </c>
      <c r="H58">
        <v>-1.19066E-5</v>
      </c>
      <c r="I58">
        <v>0</v>
      </c>
      <c r="J58">
        <v>0</v>
      </c>
      <c r="K58">
        <v>0</v>
      </c>
    </row>
    <row r="59" spans="1:11">
      <c r="A59">
        <v>1</v>
      </c>
      <c r="B59" t="s">
        <v>113</v>
      </c>
      <c r="C59">
        <v>21</v>
      </c>
      <c r="D59">
        <v>18</v>
      </c>
      <c r="E59">
        <v>0</v>
      </c>
      <c r="F59">
        <v>-5.6781819999999995E-4</v>
      </c>
      <c r="G59">
        <v>4.2070660000000001E-4</v>
      </c>
      <c r="H59">
        <v>-1.1983399999999999E-5</v>
      </c>
      <c r="I59">
        <v>0</v>
      </c>
      <c r="J59">
        <v>0</v>
      </c>
      <c r="K59">
        <v>0</v>
      </c>
    </row>
    <row r="60" spans="1:11">
      <c r="A60">
        <v>1</v>
      </c>
      <c r="B60" t="s">
        <v>113</v>
      </c>
      <c r="C60">
        <v>22</v>
      </c>
      <c r="D60">
        <v>18</v>
      </c>
      <c r="E60">
        <v>0</v>
      </c>
      <c r="F60">
        <v>-5.7521809999999999E-4</v>
      </c>
      <c r="G60">
        <v>4.1741340000000002E-4</v>
      </c>
      <c r="H60">
        <v>-1.19712E-5</v>
      </c>
      <c r="I60">
        <v>0</v>
      </c>
      <c r="J60">
        <v>0</v>
      </c>
      <c r="K60">
        <v>0</v>
      </c>
    </row>
    <row r="61" spans="1:11">
      <c r="A61">
        <v>1</v>
      </c>
      <c r="B61" t="s">
        <v>113</v>
      </c>
      <c r="C61">
        <v>23</v>
      </c>
      <c r="D61">
        <v>18</v>
      </c>
      <c r="E61">
        <v>22</v>
      </c>
      <c r="F61">
        <v>-6.5346809999999996E-4</v>
      </c>
      <c r="G61">
        <v>3.9925570000000002E-4</v>
      </c>
      <c r="H61">
        <v>-1.1479500000000001E-5</v>
      </c>
      <c r="I61">
        <v>-3.5039889999999999E-3</v>
      </c>
      <c r="J61">
        <v>-6.2199000000000005E-5</v>
      </c>
      <c r="K61">
        <v>-1.3574999999999999E-4</v>
      </c>
    </row>
    <row r="62" spans="1:11">
      <c r="A62">
        <v>1</v>
      </c>
      <c r="B62" t="s">
        <v>113</v>
      </c>
      <c r="C62">
        <v>24</v>
      </c>
      <c r="D62">
        <v>16</v>
      </c>
      <c r="E62">
        <v>0</v>
      </c>
      <c r="F62">
        <v>6.7409610000000004E-4</v>
      </c>
      <c r="G62">
        <v>4.2663029999999999E-4</v>
      </c>
      <c r="H62">
        <v>2.6778300000000001E-5</v>
      </c>
      <c r="I62">
        <v>0</v>
      </c>
      <c r="J62">
        <v>0</v>
      </c>
      <c r="K62">
        <v>0</v>
      </c>
    </row>
    <row r="63" spans="1:11">
      <c r="A63">
        <v>1</v>
      </c>
      <c r="B63" t="s">
        <v>113</v>
      </c>
      <c r="C63">
        <v>25</v>
      </c>
      <c r="D63">
        <v>16</v>
      </c>
      <c r="E63">
        <v>0</v>
      </c>
      <c r="F63">
        <v>2.4327149999999998E-3</v>
      </c>
      <c r="G63">
        <v>5.1842350000000001E-4</v>
      </c>
      <c r="H63">
        <v>3.27147E-5</v>
      </c>
      <c r="I63">
        <v>0</v>
      </c>
      <c r="J63">
        <v>0</v>
      </c>
      <c r="K63">
        <v>0</v>
      </c>
    </row>
    <row r="64" spans="1:11">
      <c r="A64">
        <v>1</v>
      </c>
      <c r="B64" t="s">
        <v>113</v>
      </c>
      <c r="C64">
        <v>26</v>
      </c>
      <c r="D64">
        <v>16</v>
      </c>
      <c r="E64">
        <v>0</v>
      </c>
      <c r="F64">
        <v>1.1283910000000001E-3</v>
      </c>
      <c r="G64">
        <v>4.8089729999999998E-4</v>
      </c>
      <c r="H64">
        <v>5.2353999999999999E-6</v>
      </c>
      <c r="I64">
        <v>0</v>
      </c>
      <c r="J64">
        <v>0</v>
      </c>
      <c r="K64">
        <v>0</v>
      </c>
    </row>
    <row r="65" spans="1:11">
      <c r="A65">
        <v>1</v>
      </c>
      <c r="B65" t="s">
        <v>113</v>
      </c>
      <c r="C65">
        <v>27</v>
      </c>
      <c r="D65">
        <v>16</v>
      </c>
      <c r="E65">
        <v>0</v>
      </c>
      <c r="F65">
        <v>-8.7667100000000006E-5</v>
      </c>
      <c r="G65">
        <v>4.1550590000000002E-4</v>
      </c>
      <c r="H65">
        <v>-1.5234999999999999E-6</v>
      </c>
      <c r="I65">
        <v>0</v>
      </c>
      <c r="J65">
        <v>0</v>
      </c>
      <c r="K65">
        <v>0</v>
      </c>
    </row>
    <row r="66" spans="1:11">
      <c r="A66">
        <v>1</v>
      </c>
      <c r="B66" t="s">
        <v>113</v>
      </c>
      <c r="C66">
        <v>28</v>
      </c>
      <c r="D66">
        <v>18</v>
      </c>
      <c r="E66">
        <v>0</v>
      </c>
      <c r="F66">
        <v>-1.339121E-3</v>
      </c>
      <c r="G66">
        <v>4.7193019999999998E-4</v>
      </c>
      <c r="H66">
        <v>-1.2228100000000001E-5</v>
      </c>
      <c r="I66">
        <v>0</v>
      </c>
      <c r="J66">
        <v>0</v>
      </c>
      <c r="K66">
        <v>0</v>
      </c>
    </row>
    <row r="67" spans="1:11">
      <c r="A67">
        <v>1</v>
      </c>
      <c r="B67" t="s">
        <v>113</v>
      </c>
      <c r="C67">
        <v>29</v>
      </c>
      <c r="D67">
        <v>18</v>
      </c>
      <c r="E67">
        <v>0</v>
      </c>
      <c r="F67">
        <v>-2.6513880000000002E-3</v>
      </c>
      <c r="G67">
        <v>4.5482239999999999E-4</v>
      </c>
      <c r="H67">
        <v>-4.6722299999999998E-5</v>
      </c>
      <c r="I67">
        <v>0</v>
      </c>
      <c r="J67">
        <v>0</v>
      </c>
      <c r="K67">
        <v>0</v>
      </c>
    </row>
    <row r="68" spans="1:11">
      <c r="A68">
        <v>1</v>
      </c>
      <c r="B68" t="s">
        <v>113</v>
      </c>
      <c r="C68">
        <v>30</v>
      </c>
      <c r="D68">
        <v>18</v>
      </c>
      <c r="E68">
        <v>0</v>
      </c>
      <c r="F68">
        <v>-5.5349710000000005E-4</v>
      </c>
      <c r="G68">
        <v>4.1988620000000003E-4</v>
      </c>
      <c r="H68">
        <v>-1.2371899999999999E-5</v>
      </c>
      <c r="I68">
        <v>0</v>
      </c>
      <c r="J68">
        <v>0</v>
      </c>
      <c r="K68">
        <v>0</v>
      </c>
    </row>
    <row r="69" spans="1:11">
      <c r="A69">
        <v>1</v>
      </c>
      <c r="B69" t="s">
        <v>113</v>
      </c>
      <c r="C69">
        <v>31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</row>
    <row r="70" spans="1:11">
      <c r="A70">
        <v>1</v>
      </c>
      <c r="B70" t="s">
        <v>113</v>
      </c>
      <c r="C70">
        <v>32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</row>
    <row r="71" spans="1:11">
      <c r="A71">
        <v>1</v>
      </c>
      <c r="B71" t="s">
        <v>113</v>
      </c>
      <c r="C71">
        <v>33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</row>
    <row r="72" spans="1:11">
      <c r="A72">
        <v>1</v>
      </c>
      <c r="B72" t="s">
        <v>113</v>
      </c>
      <c r="C72">
        <v>34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</row>
    <row r="73" spans="1:11">
      <c r="A73">
        <v>1</v>
      </c>
      <c r="B73" t="s">
        <v>113</v>
      </c>
      <c r="C73">
        <v>35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</row>
    <row r="74" spans="1:11">
      <c r="A74">
        <v>1</v>
      </c>
      <c r="B74" t="s">
        <v>113</v>
      </c>
      <c r="C74">
        <v>36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</row>
    <row r="75" spans="1:11">
      <c r="A75">
        <v>1</v>
      </c>
      <c r="B75" t="s">
        <v>113</v>
      </c>
      <c r="C75">
        <v>37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</row>
    <row r="76" spans="1:11">
      <c r="A76">
        <v>1</v>
      </c>
      <c r="B76" t="s">
        <v>114</v>
      </c>
      <c r="C76">
        <v>1</v>
      </c>
      <c r="D76">
        <v>22</v>
      </c>
      <c r="E76">
        <v>0</v>
      </c>
      <c r="F76">
        <v>4.1790789999999996E-3</v>
      </c>
      <c r="G76">
        <v>-1.652852E-4</v>
      </c>
      <c r="H76">
        <v>1.8354370000000001E-4</v>
      </c>
      <c r="I76">
        <v>0</v>
      </c>
      <c r="J76">
        <v>0</v>
      </c>
      <c r="K76">
        <v>0</v>
      </c>
    </row>
    <row r="77" spans="1:11">
      <c r="A77">
        <v>1</v>
      </c>
      <c r="B77" t="s">
        <v>114</v>
      </c>
      <c r="C77">
        <v>2</v>
      </c>
      <c r="D77">
        <v>22</v>
      </c>
      <c r="E77">
        <v>0</v>
      </c>
      <c r="F77">
        <v>3.7878289999999999E-3</v>
      </c>
      <c r="G77">
        <v>1.2215309999999999E-4</v>
      </c>
      <c r="H77">
        <v>1.8403540000000001E-4</v>
      </c>
      <c r="I77">
        <v>0</v>
      </c>
      <c r="J77">
        <v>0</v>
      </c>
      <c r="K77">
        <v>0</v>
      </c>
    </row>
    <row r="78" spans="1:11">
      <c r="A78">
        <v>1</v>
      </c>
      <c r="B78" t="s">
        <v>114</v>
      </c>
      <c r="C78">
        <v>3</v>
      </c>
      <c r="D78">
        <v>22</v>
      </c>
      <c r="E78">
        <v>0</v>
      </c>
      <c r="F78">
        <v>3.7560789999999998E-3</v>
      </c>
      <c r="G78">
        <v>1.7276389999999999E-4</v>
      </c>
      <c r="H78">
        <v>1.840473E-4</v>
      </c>
      <c r="I78">
        <v>0</v>
      </c>
      <c r="J78">
        <v>0</v>
      </c>
      <c r="K78">
        <v>0</v>
      </c>
    </row>
    <row r="79" spans="1:11">
      <c r="A79">
        <v>1</v>
      </c>
      <c r="B79" t="s">
        <v>114</v>
      </c>
      <c r="C79">
        <v>4</v>
      </c>
      <c r="D79">
        <v>22</v>
      </c>
      <c r="E79">
        <v>0</v>
      </c>
      <c r="F79">
        <v>3.6874719999999998E-3</v>
      </c>
      <c r="G79">
        <v>2.2330089999999999E-4</v>
      </c>
      <c r="H79">
        <v>1.8349910000000001E-4</v>
      </c>
      <c r="I79">
        <v>0</v>
      </c>
      <c r="J79">
        <v>0</v>
      </c>
      <c r="K79">
        <v>0</v>
      </c>
    </row>
    <row r="80" spans="1:11">
      <c r="A80">
        <v>1</v>
      </c>
      <c r="B80" t="s">
        <v>114</v>
      </c>
      <c r="C80">
        <v>5</v>
      </c>
      <c r="D80">
        <v>22</v>
      </c>
      <c r="E80">
        <v>0</v>
      </c>
      <c r="F80">
        <v>2.614374E-3</v>
      </c>
      <c r="G80">
        <v>4.8902210000000002E-4</v>
      </c>
      <c r="H80">
        <v>3.3005300000000001E-5</v>
      </c>
      <c r="I80">
        <v>0</v>
      </c>
      <c r="J80">
        <v>0</v>
      </c>
      <c r="K80">
        <v>0</v>
      </c>
    </row>
    <row r="81" spans="1:11">
      <c r="A81">
        <v>1</v>
      </c>
      <c r="B81" t="s">
        <v>114</v>
      </c>
      <c r="C81">
        <v>6</v>
      </c>
      <c r="D81">
        <v>22</v>
      </c>
      <c r="E81">
        <v>0</v>
      </c>
      <c r="F81">
        <v>2.5457679999999999E-3</v>
      </c>
      <c r="G81">
        <v>4.9813730000000005E-4</v>
      </c>
      <c r="H81">
        <v>3.3294399999999998E-5</v>
      </c>
      <c r="I81">
        <v>0</v>
      </c>
      <c r="J81">
        <v>0</v>
      </c>
      <c r="K81">
        <v>0</v>
      </c>
    </row>
    <row r="82" spans="1:11">
      <c r="A82">
        <v>1</v>
      </c>
      <c r="B82" t="s">
        <v>114</v>
      </c>
      <c r="C82">
        <v>7</v>
      </c>
      <c r="D82">
        <v>22</v>
      </c>
      <c r="E82">
        <v>0</v>
      </c>
      <c r="F82">
        <v>2.5127769999999999E-3</v>
      </c>
      <c r="G82">
        <v>5.0726709999999997E-4</v>
      </c>
      <c r="H82">
        <v>3.3103499999999999E-5</v>
      </c>
      <c r="I82">
        <v>0</v>
      </c>
      <c r="J82">
        <v>0</v>
      </c>
      <c r="K82">
        <v>0</v>
      </c>
    </row>
    <row r="83" spans="1:11">
      <c r="A83">
        <v>1</v>
      </c>
      <c r="B83" t="s">
        <v>114</v>
      </c>
      <c r="C83">
        <v>8</v>
      </c>
      <c r="D83">
        <v>4</v>
      </c>
      <c r="E83">
        <v>16</v>
      </c>
      <c r="F83">
        <v>1.2645689999999999E-3</v>
      </c>
      <c r="G83">
        <v>4.720759E-4</v>
      </c>
      <c r="H83">
        <v>5.7892000000000004E-6</v>
      </c>
      <c r="I83">
        <v>2.134712E-4</v>
      </c>
      <c r="J83">
        <v>3.9969570000000001E-4</v>
      </c>
      <c r="K83">
        <v>-1.8289E-6</v>
      </c>
    </row>
    <row r="84" spans="1:11">
      <c r="A84">
        <v>1</v>
      </c>
      <c r="B84" t="s">
        <v>114</v>
      </c>
      <c r="C84">
        <v>9</v>
      </c>
      <c r="D84">
        <v>4</v>
      </c>
      <c r="E84">
        <v>16</v>
      </c>
      <c r="F84">
        <v>1.1960779999999999E-3</v>
      </c>
      <c r="G84">
        <v>4.736904E-4</v>
      </c>
      <c r="H84">
        <v>5.9557999999999998E-6</v>
      </c>
      <c r="I84">
        <v>1.997755E-4</v>
      </c>
      <c r="J84">
        <v>3.9919629999999998E-4</v>
      </c>
      <c r="K84">
        <v>-1.8021000000000001E-6</v>
      </c>
    </row>
    <row r="85" spans="1:11">
      <c r="A85">
        <v>1</v>
      </c>
      <c r="B85" t="s">
        <v>114</v>
      </c>
      <c r="C85">
        <v>10</v>
      </c>
      <c r="D85">
        <v>4</v>
      </c>
      <c r="E85">
        <v>16</v>
      </c>
      <c r="F85">
        <v>1.163893E-3</v>
      </c>
      <c r="G85">
        <v>4.753181E-4</v>
      </c>
      <c r="H85">
        <v>5.8812999999999999E-6</v>
      </c>
      <c r="I85">
        <v>1.9334110000000001E-4</v>
      </c>
      <c r="J85">
        <v>3.9869759999999998E-4</v>
      </c>
      <c r="K85">
        <v>-1.8266E-6</v>
      </c>
    </row>
    <row r="86" spans="1:11">
      <c r="A86">
        <v>1</v>
      </c>
      <c r="B86" t="s">
        <v>114</v>
      </c>
      <c r="C86">
        <v>11</v>
      </c>
      <c r="D86">
        <v>4</v>
      </c>
      <c r="E86">
        <v>2</v>
      </c>
      <c r="F86">
        <v>2.1322999999999999E-5</v>
      </c>
      <c r="G86">
        <v>3.495118E-4</v>
      </c>
      <c r="H86">
        <v>5.6339999999999998E-7</v>
      </c>
      <c r="I86">
        <v>-8.0059099999999994E-5</v>
      </c>
      <c r="J86">
        <v>4.1597869999999998E-4</v>
      </c>
      <c r="K86">
        <v>-2.5297000000000001E-6</v>
      </c>
    </row>
    <row r="87" spans="1:11">
      <c r="A87">
        <v>1</v>
      </c>
      <c r="B87" t="s">
        <v>114</v>
      </c>
      <c r="C87">
        <v>12</v>
      </c>
      <c r="D87">
        <v>4</v>
      </c>
      <c r="E87">
        <v>2</v>
      </c>
      <c r="F87">
        <v>7.6384999999999998E-6</v>
      </c>
      <c r="G87">
        <v>3.4967560000000002E-4</v>
      </c>
      <c r="H87">
        <v>6.2920000000000005E-7</v>
      </c>
      <c r="I87">
        <v>-1.484941E-4</v>
      </c>
      <c r="J87">
        <v>4.152952E-4</v>
      </c>
      <c r="K87">
        <v>-2.4393999999999999E-6</v>
      </c>
    </row>
    <row r="88" spans="1:11">
      <c r="A88">
        <v>1</v>
      </c>
      <c r="B88" t="s">
        <v>114</v>
      </c>
      <c r="C88">
        <v>13</v>
      </c>
      <c r="D88">
        <v>4</v>
      </c>
      <c r="E88">
        <v>2</v>
      </c>
      <c r="F88">
        <v>-6.0469999999999999E-6</v>
      </c>
      <c r="G88">
        <v>3.4985769999999999E-4</v>
      </c>
      <c r="H88">
        <v>6.9400000000000005E-7</v>
      </c>
      <c r="I88">
        <v>-2.1693449999999999E-4</v>
      </c>
      <c r="J88">
        <v>4.1464079999999998E-4</v>
      </c>
      <c r="K88">
        <v>-2.322E-6</v>
      </c>
    </row>
    <row r="89" spans="1:11">
      <c r="A89">
        <v>1</v>
      </c>
      <c r="B89" t="s">
        <v>114</v>
      </c>
      <c r="C89">
        <v>14</v>
      </c>
      <c r="D89">
        <v>0</v>
      </c>
      <c r="E89">
        <v>2</v>
      </c>
      <c r="F89">
        <v>0</v>
      </c>
      <c r="G89">
        <v>0</v>
      </c>
      <c r="H89">
        <v>0</v>
      </c>
      <c r="I89">
        <v>-1.4040050000000001E-3</v>
      </c>
      <c r="J89">
        <v>4.6821180000000001E-4</v>
      </c>
      <c r="K89">
        <v>-1.27029E-5</v>
      </c>
    </row>
    <row r="90" spans="1:11">
      <c r="A90">
        <v>1</v>
      </c>
      <c r="B90" t="s">
        <v>114</v>
      </c>
      <c r="C90">
        <v>15</v>
      </c>
      <c r="D90">
        <v>0</v>
      </c>
      <c r="E90">
        <v>2</v>
      </c>
      <c r="F90">
        <v>0</v>
      </c>
      <c r="G90">
        <v>0</v>
      </c>
      <c r="H90">
        <v>0</v>
      </c>
      <c r="I90">
        <v>-1.4149449999999999E-3</v>
      </c>
      <c r="J90">
        <v>4.6470399999999997E-4</v>
      </c>
      <c r="K90">
        <v>-1.28074E-5</v>
      </c>
    </row>
    <row r="91" spans="1:11">
      <c r="A91">
        <v>1</v>
      </c>
      <c r="B91" t="s">
        <v>114</v>
      </c>
      <c r="C91">
        <v>16</v>
      </c>
      <c r="D91">
        <v>0</v>
      </c>
      <c r="E91">
        <v>2</v>
      </c>
      <c r="F91">
        <v>0</v>
      </c>
      <c r="G91">
        <v>0</v>
      </c>
      <c r="H91">
        <v>0</v>
      </c>
      <c r="I91">
        <v>-1.483451E-3</v>
      </c>
      <c r="J91">
        <v>4.6120630000000002E-4</v>
      </c>
      <c r="K91">
        <v>-1.2634400000000001E-5</v>
      </c>
    </row>
    <row r="92" spans="1:11">
      <c r="A92">
        <v>1</v>
      </c>
      <c r="B92" t="s">
        <v>114</v>
      </c>
      <c r="C92">
        <v>17</v>
      </c>
      <c r="D92">
        <v>0</v>
      </c>
      <c r="E92">
        <v>22</v>
      </c>
      <c r="F92">
        <v>0</v>
      </c>
      <c r="G92">
        <v>0</v>
      </c>
      <c r="H92">
        <v>0</v>
      </c>
      <c r="I92">
        <v>-2.7455729999999999E-3</v>
      </c>
      <c r="J92">
        <v>4.473519E-4</v>
      </c>
      <c r="K92">
        <v>-4.6963099999999998E-5</v>
      </c>
    </row>
    <row r="93" spans="1:11">
      <c r="A93">
        <v>1</v>
      </c>
      <c r="B93" t="s">
        <v>114</v>
      </c>
      <c r="C93">
        <v>18</v>
      </c>
      <c r="D93">
        <v>0</v>
      </c>
      <c r="E93">
        <v>22</v>
      </c>
      <c r="F93">
        <v>0</v>
      </c>
      <c r="G93">
        <v>0</v>
      </c>
      <c r="H93">
        <v>0</v>
      </c>
      <c r="I93">
        <v>-2.7808279999999999E-3</v>
      </c>
      <c r="J93">
        <v>4.3440770000000001E-4</v>
      </c>
      <c r="K93">
        <v>-4.7175600000000003E-5</v>
      </c>
    </row>
    <row r="94" spans="1:11">
      <c r="A94">
        <v>1</v>
      </c>
      <c r="B94" t="s">
        <v>114</v>
      </c>
      <c r="C94">
        <v>19</v>
      </c>
      <c r="D94">
        <v>0</v>
      </c>
      <c r="E94">
        <v>22</v>
      </c>
      <c r="F94">
        <v>0</v>
      </c>
      <c r="G94">
        <v>0</v>
      </c>
      <c r="H94">
        <v>0</v>
      </c>
      <c r="I94">
        <v>-2.849458E-3</v>
      </c>
      <c r="J94">
        <v>4.2147719999999998E-4</v>
      </c>
      <c r="K94">
        <v>-4.6870799999999999E-5</v>
      </c>
    </row>
    <row r="95" spans="1:11">
      <c r="A95">
        <v>1</v>
      </c>
      <c r="B95" t="s">
        <v>114</v>
      </c>
      <c r="C95">
        <v>20</v>
      </c>
      <c r="D95">
        <v>0</v>
      </c>
      <c r="E95">
        <v>22</v>
      </c>
      <c r="F95">
        <v>0</v>
      </c>
      <c r="G95">
        <v>0</v>
      </c>
      <c r="H95">
        <v>0</v>
      </c>
      <c r="I95">
        <v>-3.007109E-3</v>
      </c>
      <c r="J95">
        <v>2.2531600000000001E-4</v>
      </c>
      <c r="K95">
        <v>-1.3579640000000001E-4</v>
      </c>
    </row>
    <row r="96" spans="1:11">
      <c r="A96">
        <v>1</v>
      </c>
      <c r="B96" t="s">
        <v>114</v>
      </c>
      <c r="C96">
        <v>21</v>
      </c>
      <c r="D96">
        <v>0</v>
      </c>
      <c r="E96">
        <v>22</v>
      </c>
      <c r="F96">
        <v>0</v>
      </c>
      <c r="G96">
        <v>0</v>
      </c>
      <c r="H96">
        <v>0</v>
      </c>
      <c r="I96">
        <v>-3.0757390000000001E-3</v>
      </c>
      <c r="J96">
        <v>1.8790969999999999E-4</v>
      </c>
      <c r="K96">
        <v>-1.3625360000000001E-4</v>
      </c>
    </row>
    <row r="97" spans="1:11">
      <c r="A97">
        <v>1</v>
      </c>
      <c r="B97" t="s">
        <v>114</v>
      </c>
      <c r="C97">
        <v>22</v>
      </c>
      <c r="D97">
        <v>0</v>
      </c>
      <c r="E97">
        <v>22</v>
      </c>
      <c r="F97">
        <v>0</v>
      </c>
      <c r="G97">
        <v>0</v>
      </c>
      <c r="H97">
        <v>0</v>
      </c>
      <c r="I97">
        <v>-3.1127389999999998E-3</v>
      </c>
      <c r="J97">
        <v>1.5044209999999999E-4</v>
      </c>
      <c r="K97">
        <v>-1.3624169999999999E-4</v>
      </c>
    </row>
    <row r="98" spans="1:11">
      <c r="A98">
        <v>1</v>
      </c>
      <c r="B98" t="s">
        <v>114</v>
      </c>
      <c r="C98">
        <v>23</v>
      </c>
      <c r="D98">
        <v>0</v>
      </c>
      <c r="E98">
        <v>22</v>
      </c>
      <c r="F98">
        <v>0</v>
      </c>
      <c r="G98">
        <v>0</v>
      </c>
      <c r="H98">
        <v>0</v>
      </c>
      <c r="I98">
        <v>-3.5039889999999999E-3</v>
      </c>
      <c r="J98">
        <v>-6.2199000000000005E-5</v>
      </c>
      <c r="K98">
        <v>-1.3574999999999999E-4</v>
      </c>
    </row>
    <row r="99" spans="1:11">
      <c r="A99">
        <v>1</v>
      </c>
      <c r="B99" t="s">
        <v>114</v>
      </c>
      <c r="C99">
        <v>24</v>
      </c>
      <c r="D99">
        <v>22</v>
      </c>
      <c r="E99">
        <v>0</v>
      </c>
      <c r="F99">
        <v>3.5384840000000002E-3</v>
      </c>
      <c r="G99">
        <v>1.7244149999999999E-4</v>
      </c>
      <c r="H99">
        <v>1.8620480000000001E-4</v>
      </c>
      <c r="I99">
        <v>0</v>
      </c>
      <c r="J99">
        <v>0</v>
      </c>
      <c r="K99">
        <v>0</v>
      </c>
    </row>
    <row r="100" spans="1:11">
      <c r="A100">
        <v>1</v>
      </c>
      <c r="B100" t="s">
        <v>114</v>
      </c>
      <c r="C100">
        <v>25</v>
      </c>
      <c r="D100">
        <v>22</v>
      </c>
      <c r="E100">
        <v>0</v>
      </c>
      <c r="F100">
        <v>2.505518E-3</v>
      </c>
      <c r="G100">
        <v>4.9716120000000005E-4</v>
      </c>
      <c r="H100">
        <v>3.5116300000000001E-5</v>
      </c>
      <c r="I100">
        <v>0</v>
      </c>
      <c r="J100">
        <v>0</v>
      </c>
      <c r="K100">
        <v>0</v>
      </c>
    </row>
    <row r="101" spans="1:11">
      <c r="A101">
        <v>1</v>
      </c>
      <c r="B101" t="s">
        <v>114</v>
      </c>
      <c r="C101">
        <v>26</v>
      </c>
      <c r="D101">
        <v>4</v>
      </c>
      <c r="E101">
        <v>16</v>
      </c>
      <c r="F101">
        <v>1.188527E-3</v>
      </c>
      <c r="G101">
        <v>4.7276339999999999E-4</v>
      </c>
      <c r="H101">
        <v>6.8499000000000003E-6</v>
      </c>
      <c r="I101">
        <v>2.0179369999999999E-4</v>
      </c>
      <c r="J101">
        <v>3.9841900000000001E-4</v>
      </c>
      <c r="K101">
        <v>-1.6418000000000001E-6</v>
      </c>
    </row>
    <row r="102" spans="1:11">
      <c r="A102">
        <v>1</v>
      </c>
      <c r="B102" t="s">
        <v>114</v>
      </c>
      <c r="C102">
        <v>27</v>
      </c>
      <c r="D102">
        <v>4</v>
      </c>
      <c r="E102">
        <v>2</v>
      </c>
      <c r="F102">
        <v>6.8971000000000004E-6</v>
      </c>
      <c r="G102">
        <v>3.4899779999999998E-4</v>
      </c>
      <c r="H102">
        <v>6.3259999999999999E-7</v>
      </c>
      <c r="I102">
        <v>-1.455633E-4</v>
      </c>
      <c r="J102">
        <v>4.1448560000000001E-4</v>
      </c>
      <c r="K102">
        <v>-2.5436999999999999E-6</v>
      </c>
    </row>
    <row r="103" spans="1:11">
      <c r="A103">
        <v>1</v>
      </c>
      <c r="B103" t="s">
        <v>114</v>
      </c>
      <c r="C103">
        <v>28</v>
      </c>
      <c r="D103">
        <v>0</v>
      </c>
      <c r="E103">
        <v>2</v>
      </c>
      <c r="F103">
        <v>0</v>
      </c>
      <c r="G103">
        <v>0</v>
      </c>
      <c r="H103">
        <v>0</v>
      </c>
      <c r="I103">
        <v>-1.3992550000000001E-3</v>
      </c>
      <c r="J103">
        <v>4.6379510000000001E-4</v>
      </c>
      <c r="K103">
        <v>-1.38425E-5</v>
      </c>
    </row>
    <row r="104" spans="1:11">
      <c r="A104">
        <v>1</v>
      </c>
      <c r="B104" t="s">
        <v>114</v>
      </c>
      <c r="C104">
        <v>29</v>
      </c>
      <c r="D104">
        <v>0</v>
      </c>
      <c r="E104">
        <v>22</v>
      </c>
      <c r="F104">
        <v>0</v>
      </c>
      <c r="G104">
        <v>0</v>
      </c>
      <c r="H104">
        <v>0</v>
      </c>
      <c r="I104">
        <v>-2.7241909999999999E-3</v>
      </c>
      <c r="J104">
        <v>4.335597E-4</v>
      </c>
      <c r="K104">
        <v>-4.9123299999999998E-5</v>
      </c>
    </row>
    <row r="105" spans="1:11">
      <c r="A105">
        <v>1</v>
      </c>
      <c r="B105" t="s">
        <v>114</v>
      </c>
      <c r="C105">
        <v>30</v>
      </c>
      <c r="D105">
        <v>0</v>
      </c>
      <c r="E105">
        <v>22</v>
      </c>
      <c r="F105">
        <v>0</v>
      </c>
      <c r="G105">
        <v>0</v>
      </c>
      <c r="H105">
        <v>0</v>
      </c>
      <c r="I105">
        <v>-2.9145099999999999E-3</v>
      </c>
      <c r="J105">
        <v>1.875569E-4</v>
      </c>
      <c r="K105">
        <v>-1.380772E-4</v>
      </c>
    </row>
    <row r="106" spans="1:11">
      <c r="A106">
        <v>1</v>
      </c>
      <c r="B106" t="s">
        <v>114</v>
      </c>
      <c r="C106">
        <v>31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1:11">
      <c r="A107">
        <v>1</v>
      </c>
      <c r="B107" t="s">
        <v>114</v>
      </c>
      <c r="C107">
        <v>32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1:11">
      <c r="A108">
        <v>1</v>
      </c>
      <c r="B108" t="s">
        <v>114</v>
      </c>
      <c r="C108">
        <v>33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1:11">
      <c r="A109">
        <v>1</v>
      </c>
      <c r="B109" t="s">
        <v>114</v>
      </c>
      <c r="C109">
        <v>34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1:11">
      <c r="A110">
        <v>1</v>
      </c>
      <c r="B110" t="s">
        <v>114</v>
      </c>
      <c r="C110">
        <v>35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1:11">
      <c r="A111">
        <v>1</v>
      </c>
      <c r="B111" t="s">
        <v>114</v>
      </c>
      <c r="C111">
        <v>36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1:11">
      <c r="A112">
        <v>1</v>
      </c>
      <c r="B112" t="s">
        <v>114</v>
      </c>
      <c r="C112">
        <v>37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1:11">
      <c r="A113">
        <v>2</v>
      </c>
      <c r="B113" t="s">
        <v>112</v>
      </c>
      <c r="C113">
        <v>1</v>
      </c>
      <c r="D113">
        <v>1</v>
      </c>
      <c r="E113">
        <v>0</v>
      </c>
      <c r="F113">
        <v>4.135311E-3</v>
      </c>
      <c r="G113">
        <v>-2.1043120000000001E-4</v>
      </c>
      <c r="H113">
        <v>1.82733E-4</v>
      </c>
      <c r="I113">
        <v>0</v>
      </c>
      <c r="J113">
        <v>0</v>
      </c>
      <c r="K113">
        <v>0</v>
      </c>
    </row>
    <row r="114" spans="1:11">
      <c r="A114">
        <v>2</v>
      </c>
      <c r="B114" t="s">
        <v>112</v>
      </c>
      <c r="C114">
        <v>2</v>
      </c>
      <c r="D114">
        <v>1</v>
      </c>
      <c r="E114">
        <v>0</v>
      </c>
      <c r="F114">
        <v>3.7440609999999999E-3</v>
      </c>
      <c r="G114">
        <v>7.5720800000000002E-5</v>
      </c>
      <c r="H114">
        <v>1.8317999999999999E-4</v>
      </c>
      <c r="I114">
        <v>0</v>
      </c>
      <c r="J114">
        <v>0</v>
      </c>
      <c r="K114">
        <v>0</v>
      </c>
    </row>
    <row r="115" spans="1:11">
      <c r="A115">
        <v>2</v>
      </c>
      <c r="B115" t="s">
        <v>112</v>
      </c>
      <c r="C115">
        <v>3</v>
      </c>
      <c r="D115">
        <v>1</v>
      </c>
      <c r="E115">
        <v>0</v>
      </c>
      <c r="F115">
        <v>3.7123109999999998E-3</v>
      </c>
      <c r="G115">
        <v>1.2609629999999999E-4</v>
      </c>
      <c r="H115">
        <v>1.831906E-4</v>
      </c>
      <c r="I115">
        <v>0</v>
      </c>
      <c r="J115">
        <v>0</v>
      </c>
      <c r="K115">
        <v>0</v>
      </c>
    </row>
    <row r="116" spans="1:11">
      <c r="A116">
        <v>2</v>
      </c>
      <c r="B116" t="s">
        <v>112</v>
      </c>
      <c r="C116">
        <v>4</v>
      </c>
      <c r="D116">
        <v>1</v>
      </c>
      <c r="E116">
        <v>0</v>
      </c>
      <c r="F116">
        <v>3.6437040000000002E-3</v>
      </c>
      <c r="G116">
        <v>1.7639850000000001E-4</v>
      </c>
      <c r="H116">
        <v>1.8264759999999999E-4</v>
      </c>
      <c r="I116">
        <v>0</v>
      </c>
      <c r="J116">
        <v>0</v>
      </c>
      <c r="K116">
        <v>0</v>
      </c>
    </row>
    <row r="117" spans="1:11">
      <c r="A117">
        <v>2</v>
      </c>
      <c r="B117" t="s">
        <v>112</v>
      </c>
      <c r="C117">
        <v>5</v>
      </c>
      <c r="D117">
        <v>1</v>
      </c>
      <c r="E117">
        <v>0</v>
      </c>
      <c r="F117">
        <v>2.5705810000000002E-3</v>
      </c>
      <c r="G117">
        <v>4.461728E-4</v>
      </c>
      <c r="H117">
        <v>3.2545500000000002E-5</v>
      </c>
      <c r="I117">
        <v>0</v>
      </c>
      <c r="J117">
        <v>0</v>
      </c>
      <c r="K117">
        <v>0</v>
      </c>
    </row>
    <row r="118" spans="1:11">
      <c r="A118">
        <v>2</v>
      </c>
      <c r="B118" t="s">
        <v>112</v>
      </c>
      <c r="C118">
        <v>6</v>
      </c>
      <c r="D118">
        <v>1</v>
      </c>
      <c r="E118">
        <v>0</v>
      </c>
      <c r="F118">
        <v>2.5019740000000001E-3</v>
      </c>
      <c r="G118">
        <v>4.5516010000000001E-4</v>
      </c>
      <c r="H118">
        <v>3.2823900000000003E-5</v>
      </c>
      <c r="I118">
        <v>0</v>
      </c>
      <c r="J118">
        <v>0</v>
      </c>
      <c r="K118">
        <v>0</v>
      </c>
    </row>
    <row r="119" spans="1:11">
      <c r="A119">
        <v>2</v>
      </c>
      <c r="B119" t="s">
        <v>112</v>
      </c>
      <c r="C119">
        <v>7</v>
      </c>
      <c r="D119">
        <v>1</v>
      </c>
      <c r="E119">
        <v>0</v>
      </c>
      <c r="F119">
        <v>2.4689830000000001E-3</v>
      </c>
      <c r="G119">
        <v>4.6416030000000002E-4</v>
      </c>
      <c r="H119">
        <v>3.2631900000000002E-5</v>
      </c>
      <c r="I119">
        <v>0</v>
      </c>
      <c r="J119">
        <v>0</v>
      </c>
      <c r="K119">
        <v>0</v>
      </c>
    </row>
    <row r="120" spans="1:11">
      <c r="A120">
        <v>2</v>
      </c>
      <c r="B120" t="s">
        <v>112</v>
      </c>
      <c r="C120">
        <v>8</v>
      </c>
      <c r="D120">
        <v>1</v>
      </c>
      <c r="E120">
        <v>0</v>
      </c>
      <c r="F120">
        <v>1.233881E-3</v>
      </c>
      <c r="G120">
        <v>4.1808809999999998E-4</v>
      </c>
      <c r="H120">
        <v>5.2696000000000003E-6</v>
      </c>
      <c r="I120">
        <v>0</v>
      </c>
      <c r="J120">
        <v>0</v>
      </c>
      <c r="K120">
        <v>0</v>
      </c>
    </row>
    <row r="121" spans="1:11">
      <c r="A121">
        <v>2</v>
      </c>
      <c r="B121" t="s">
        <v>112</v>
      </c>
      <c r="C121">
        <v>9</v>
      </c>
      <c r="D121">
        <v>1</v>
      </c>
      <c r="E121">
        <v>0</v>
      </c>
      <c r="F121">
        <v>1.1653900000000001E-3</v>
      </c>
      <c r="G121">
        <v>4.1955969999999998E-4</v>
      </c>
      <c r="H121">
        <v>5.4360000000000001E-6</v>
      </c>
      <c r="I121">
        <v>0</v>
      </c>
      <c r="J121">
        <v>0</v>
      </c>
      <c r="K121">
        <v>0</v>
      </c>
    </row>
    <row r="122" spans="1:11">
      <c r="A122">
        <v>2</v>
      </c>
      <c r="B122" t="s">
        <v>112</v>
      </c>
      <c r="C122">
        <v>10</v>
      </c>
      <c r="D122">
        <v>1</v>
      </c>
      <c r="E122">
        <v>0</v>
      </c>
      <c r="F122">
        <v>1.1332040000000001E-3</v>
      </c>
      <c r="G122">
        <v>4.210455E-4</v>
      </c>
      <c r="H122">
        <v>5.3686999999999999E-6</v>
      </c>
      <c r="I122">
        <v>0</v>
      </c>
      <c r="J122">
        <v>0</v>
      </c>
      <c r="K122">
        <v>0</v>
      </c>
    </row>
    <row r="123" spans="1:11">
      <c r="A123">
        <v>2</v>
      </c>
      <c r="B123" t="s">
        <v>112</v>
      </c>
      <c r="C123">
        <v>11</v>
      </c>
      <c r="D123">
        <v>0</v>
      </c>
      <c r="E123">
        <v>1</v>
      </c>
      <c r="F123">
        <v>0</v>
      </c>
      <c r="G123">
        <v>0</v>
      </c>
      <c r="H123">
        <v>0</v>
      </c>
      <c r="I123">
        <v>-4.90594E-5</v>
      </c>
      <c r="J123">
        <v>3.6520569999999998E-4</v>
      </c>
      <c r="K123">
        <v>-1.5729E-6</v>
      </c>
    </row>
    <row r="124" spans="1:11">
      <c r="A124">
        <v>2</v>
      </c>
      <c r="B124" t="s">
        <v>112</v>
      </c>
      <c r="C124">
        <v>12</v>
      </c>
      <c r="D124">
        <v>0</v>
      </c>
      <c r="E124">
        <v>1</v>
      </c>
      <c r="F124">
        <v>0</v>
      </c>
      <c r="G124">
        <v>0</v>
      </c>
      <c r="H124">
        <v>0</v>
      </c>
      <c r="I124">
        <v>-1.174948E-4</v>
      </c>
      <c r="J124">
        <v>3.647845E-4</v>
      </c>
      <c r="K124">
        <v>-1.4887E-6</v>
      </c>
    </row>
    <row r="125" spans="1:11">
      <c r="A125">
        <v>2</v>
      </c>
      <c r="B125" t="s">
        <v>112</v>
      </c>
      <c r="C125">
        <v>13</v>
      </c>
      <c r="D125">
        <v>0</v>
      </c>
      <c r="E125">
        <v>1</v>
      </c>
      <c r="F125">
        <v>0</v>
      </c>
      <c r="G125">
        <v>0</v>
      </c>
      <c r="H125">
        <v>0</v>
      </c>
      <c r="I125">
        <v>-1.8593559999999999E-4</v>
      </c>
      <c r="J125">
        <v>3.6438989999999999E-4</v>
      </c>
      <c r="K125">
        <v>-1.3827999999999999E-6</v>
      </c>
    </row>
    <row r="126" spans="1:11">
      <c r="A126">
        <v>2</v>
      </c>
      <c r="B126" t="s">
        <v>112</v>
      </c>
      <c r="C126">
        <v>14</v>
      </c>
      <c r="D126">
        <v>0</v>
      </c>
      <c r="E126">
        <v>1</v>
      </c>
      <c r="F126">
        <v>0</v>
      </c>
      <c r="G126">
        <v>0</v>
      </c>
      <c r="H126">
        <v>0</v>
      </c>
      <c r="I126">
        <v>-1.3733409999999999E-3</v>
      </c>
      <c r="J126">
        <v>4.1427839999999999E-4</v>
      </c>
      <c r="K126">
        <v>-1.20339E-5</v>
      </c>
    </row>
    <row r="127" spans="1:11">
      <c r="A127">
        <v>2</v>
      </c>
      <c r="B127" t="s">
        <v>112</v>
      </c>
      <c r="C127">
        <v>15</v>
      </c>
      <c r="D127">
        <v>0</v>
      </c>
      <c r="E127">
        <v>1</v>
      </c>
      <c r="F127">
        <v>0</v>
      </c>
      <c r="G127">
        <v>0</v>
      </c>
      <c r="H127">
        <v>0</v>
      </c>
      <c r="I127">
        <v>-1.3842819999999999E-3</v>
      </c>
      <c r="J127">
        <v>4.109556E-4</v>
      </c>
      <c r="K127">
        <v>-1.2131E-5</v>
      </c>
    </row>
    <row r="128" spans="1:11">
      <c r="A128">
        <v>2</v>
      </c>
      <c r="B128" t="s">
        <v>112</v>
      </c>
      <c r="C128">
        <v>16</v>
      </c>
      <c r="D128">
        <v>0</v>
      </c>
      <c r="E128">
        <v>1</v>
      </c>
      <c r="F128">
        <v>0</v>
      </c>
      <c r="G128">
        <v>0</v>
      </c>
      <c r="H128">
        <v>0</v>
      </c>
      <c r="I128">
        <v>-1.452788E-3</v>
      </c>
      <c r="J128">
        <v>4.076439E-4</v>
      </c>
      <c r="K128">
        <v>-1.1957600000000001E-5</v>
      </c>
    </row>
    <row r="129" spans="1:11">
      <c r="A129">
        <v>2</v>
      </c>
      <c r="B129" t="s">
        <v>112</v>
      </c>
      <c r="C129">
        <v>17</v>
      </c>
      <c r="D129">
        <v>0</v>
      </c>
      <c r="E129">
        <v>1</v>
      </c>
      <c r="F129">
        <v>0</v>
      </c>
      <c r="G129">
        <v>0</v>
      </c>
      <c r="H129">
        <v>0</v>
      </c>
      <c r="I129">
        <v>-2.7018390000000002E-3</v>
      </c>
      <c r="J129">
        <v>4.0636920000000003E-4</v>
      </c>
      <c r="K129">
        <v>-4.6167300000000001E-5</v>
      </c>
    </row>
    <row r="130" spans="1:11">
      <c r="A130">
        <v>2</v>
      </c>
      <c r="B130" t="s">
        <v>112</v>
      </c>
      <c r="C130">
        <v>18</v>
      </c>
      <c r="D130">
        <v>0</v>
      </c>
      <c r="E130">
        <v>1</v>
      </c>
      <c r="F130">
        <v>0</v>
      </c>
      <c r="G130">
        <v>0</v>
      </c>
      <c r="H130">
        <v>0</v>
      </c>
      <c r="I130">
        <v>-2.7370939999999998E-3</v>
      </c>
      <c r="J130">
        <v>3.936438E-4</v>
      </c>
      <c r="K130">
        <v>-4.6381000000000002E-5</v>
      </c>
    </row>
    <row r="131" spans="1:11">
      <c r="A131">
        <v>2</v>
      </c>
      <c r="B131" t="s">
        <v>112</v>
      </c>
      <c r="C131">
        <v>19</v>
      </c>
      <c r="D131">
        <v>0</v>
      </c>
      <c r="E131">
        <v>1</v>
      </c>
      <c r="F131">
        <v>0</v>
      </c>
      <c r="G131">
        <v>0</v>
      </c>
      <c r="H131">
        <v>0</v>
      </c>
      <c r="I131">
        <v>-2.8057249999999998E-3</v>
      </c>
      <c r="J131">
        <v>3.8093019999999999E-4</v>
      </c>
      <c r="K131">
        <v>-4.6086900000000001E-5</v>
      </c>
    </row>
    <row r="132" spans="1:11">
      <c r="A132">
        <v>2</v>
      </c>
      <c r="B132" t="s">
        <v>112</v>
      </c>
      <c r="C132">
        <v>20</v>
      </c>
      <c r="D132">
        <v>0</v>
      </c>
      <c r="E132">
        <v>1</v>
      </c>
      <c r="F132">
        <v>0</v>
      </c>
      <c r="G132">
        <v>0</v>
      </c>
      <c r="H132">
        <v>0</v>
      </c>
      <c r="I132">
        <v>-2.9635E-3</v>
      </c>
      <c r="J132">
        <v>1.7968469999999999E-4</v>
      </c>
      <c r="K132">
        <v>-1.354882E-4</v>
      </c>
    </row>
    <row r="133" spans="1:11">
      <c r="A133">
        <v>2</v>
      </c>
      <c r="B133" t="s">
        <v>112</v>
      </c>
      <c r="C133">
        <v>21</v>
      </c>
      <c r="D133">
        <v>0</v>
      </c>
      <c r="E133">
        <v>1</v>
      </c>
      <c r="F133">
        <v>0</v>
      </c>
      <c r="G133">
        <v>0</v>
      </c>
      <c r="H133">
        <v>0</v>
      </c>
      <c r="I133">
        <v>-3.0321300000000001E-3</v>
      </c>
      <c r="J133">
        <v>1.4236389999999999E-4</v>
      </c>
      <c r="K133">
        <v>-1.3593979999999999E-4</v>
      </c>
    </row>
    <row r="134" spans="1:11">
      <c r="A134">
        <v>2</v>
      </c>
      <c r="B134" t="s">
        <v>112</v>
      </c>
      <c r="C134">
        <v>22</v>
      </c>
      <c r="D134">
        <v>0</v>
      </c>
      <c r="E134">
        <v>1</v>
      </c>
      <c r="F134">
        <v>0</v>
      </c>
      <c r="G134">
        <v>0</v>
      </c>
      <c r="H134">
        <v>0</v>
      </c>
      <c r="I134">
        <v>-3.0691300000000002E-3</v>
      </c>
      <c r="J134">
        <v>1.049823E-4</v>
      </c>
      <c r="K134">
        <v>-1.359291E-4</v>
      </c>
    </row>
    <row r="135" spans="1:11">
      <c r="A135">
        <v>2</v>
      </c>
      <c r="B135" t="s">
        <v>112</v>
      </c>
      <c r="C135">
        <v>23</v>
      </c>
      <c r="D135">
        <v>0</v>
      </c>
      <c r="E135">
        <v>1</v>
      </c>
      <c r="F135">
        <v>0</v>
      </c>
      <c r="G135">
        <v>0</v>
      </c>
      <c r="H135">
        <v>0</v>
      </c>
      <c r="I135">
        <v>-3.4603799999999999E-3</v>
      </c>
      <c r="J135">
        <v>-1.072221E-4</v>
      </c>
      <c r="K135">
        <v>-1.3548210000000001E-4</v>
      </c>
    </row>
    <row r="136" spans="1:11">
      <c r="A136">
        <v>2</v>
      </c>
      <c r="B136" t="s">
        <v>112</v>
      </c>
      <c r="C136">
        <v>24</v>
      </c>
      <c r="D136">
        <v>1</v>
      </c>
      <c r="E136">
        <v>0</v>
      </c>
      <c r="F136">
        <v>3.4957410000000001E-3</v>
      </c>
      <c r="G136">
        <v>1.258655E-4</v>
      </c>
      <c r="H136">
        <v>1.8531790000000001E-4</v>
      </c>
      <c r="I136">
        <v>0</v>
      </c>
      <c r="J136">
        <v>0</v>
      </c>
      <c r="K136">
        <v>0</v>
      </c>
    </row>
    <row r="137" spans="1:11">
      <c r="A137">
        <v>2</v>
      </c>
      <c r="B137" t="s">
        <v>112</v>
      </c>
      <c r="C137">
        <v>25</v>
      </c>
      <c r="D137">
        <v>1</v>
      </c>
      <c r="E137">
        <v>0</v>
      </c>
      <c r="F137">
        <v>2.4622979999999999E-3</v>
      </c>
      <c r="G137">
        <v>4.542681E-4</v>
      </c>
      <c r="H137">
        <v>3.4614099999999998E-5</v>
      </c>
      <c r="I137">
        <v>0</v>
      </c>
      <c r="J137">
        <v>0</v>
      </c>
      <c r="K137">
        <v>0</v>
      </c>
    </row>
    <row r="138" spans="1:11">
      <c r="A138">
        <v>2</v>
      </c>
      <c r="B138" t="s">
        <v>112</v>
      </c>
      <c r="C138">
        <v>26</v>
      </c>
      <c r="D138">
        <v>1</v>
      </c>
      <c r="E138">
        <v>0</v>
      </c>
      <c r="F138">
        <v>1.1584620000000001E-3</v>
      </c>
      <c r="G138">
        <v>4.1873920000000002E-4</v>
      </c>
      <c r="H138">
        <v>6.3086E-6</v>
      </c>
      <c r="I138">
        <v>0</v>
      </c>
      <c r="J138">
        <v>0</v>
      </c>
      <c r="K138">
        <v>0</v>
      </c>
    </row>
    <row r="139" spans="1:11">
      <c r="A139">
        <v>2</v>
      </c>
      <c r="B139" t="s">
        <v>112</v>
      </c>
      <c r="C139">
        <v>27</v>
      </c>
      <c r="D139">
        <v>0</v>
      </c>
      <c r="E139">
        <v>1</v>
      </c>
      <c r="F139">
        <v>0</v>
      </c>
      <c r="G139">
        <v>0</v>
      </c>
      <c r="H139">
        <v>0</v>
      </c>
      <c r="I139">
        <v>-1.156933E-4</v>
      </c>
      <c r="J139">
        <v>3.6407410000000002E-4</v>
      </c>
      <c r="K139">
        <v>-1.573E-6</v>
      </c>
    </row>
    <row r="140" spans="1:11">
      <c r="A140">
        <v>2</v>
      </c>
      <c r="B140" t="s">
        <v>112</v>
      </c>
      <c r="C140">
        <v>28</v>
      </c>
      <c r="D140">
        <v>0</v>
      </c>
      <c r="E140">
        <v>1</v>
      </c>
      <c r="F140">
        <v>0</v>
      </c>
      <c r="G140">
        <v>0</v>
      </c>
      <c r="H140">
        <v>0</v>
      </c>
      <c r="I140">
        <v>-1.3694E-3</v>
      </c>
      <c r="J140">
        <v>4.1015239999999997E-4</v>
      </c>
      <c r="K140">
        <v>-1.3145200000000001E-5</v>
      </c>
    </row>
    <row r="141" spans="1:11">
      <c r="A141">
        <v>2</v>
      </c>
      <c r="B141" t="s">
        <v>112</v>
      </c>
      <c r="C141">
        <v>29</v>
      </c>
      <c r="D141">
        <v>0</v>
      </c>
      <c r="E141">
        <v>1</v>
      </c>
      <c r="F141">
        <v>0</v>
      </c>
      <c r="G141">
        <v>0</v>
      </c>
      <c r="H141">
        <v>0</v>
      </c>
      <c r="I141">
        <v>-2.681409E-3</v>
      </c>
      <c r="J141">
        <v>3.9287540000000002E-4</v>
      </c>
      <c r="K141">
        <v>-4.8298299999999998E-5</v>
      </c>
    </row>
    <row r="142" spans="1:11">
      <c r="A142">
        <v>2</v>
      </c>
      <c r="B142" t="s">
        <v>112</v>
      </c>
      <c r="C142">
        <v>30</v>
      </c>
      <c r="D142">
        <v>0</v>
      </c>
      <c r="E142">
        <v>1</v>
      </c>
      <c r="F142">
        <v>0</v>
      </c>
      <c r="G142">
        <v>0</v>
      </c>
      <c r="H142">
        <v>0</v>
      </c>
      <c r="I142">
        <v>-2.8712899999999999E-3</v>
      </c>
      <c r="J142">
        <v>1.4210030000000001E-4</v>
      </c>
      <c r="K142">
        <v>-1.377312E-4</v>
      </c>
    </row>
    <row r="143" spans="1:11">
      <c r="A143">
        <v>2</v>
      </c>
      <c r="B143" t="s">
        <v>112</v>
      </c>
      <c r="C143">
        <v>31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1:11">
      <c r="A144">
        <v>2</v>
      </c>
      <c r="B144" t="s">
        <v>112</v>
      </c>
      <c r="C144">
        <v>32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1:11">
      <c r="A145">
        <v>2</v>
      </c>
      <c r="B145" t="s">
        <v>112</v>
      </c>
      <c r="C145">
        <v>33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1:11">
      <c r="A146">
        <v>2</v>
      </c>
      <c r="B146" t="s">
        <v>112</v>
      </c>
      <c r="C146">
        <v>34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1:11">
      <c r="A147">
        <v>2</v>
      </c>
      <c r="B147" t="s">
        <v>112</v>
      </c>
      <c r="C147">
        <v>35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1:11">
      <c r="A148">
        <v>2</v>
      </c>
      <c r="B148" t="s">
        <v>112</v>
      </c>
      <c r="C148">
        <v>36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1:11">
      <c r="A149">
        <v>2</v>
      </c>
      <c r="B149" t="s">
        <v>112</v>
      </c>
      <c r="C149">
        <v>37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1:11">
      <c r="A150">
        <v>2</v>
      </c>
      <c r="B150" t="s">
        <v>113</v>
      </c>
      <c r="C150">
        <v>1</v>
      </c>
      <c r="D150">
        <v>1</v>
      </c>
      <c r="E150">
        <v>1</v>
      </c>
      <c r="F150">
        <v>8.2208919999999998E-4</v>
      </c>
      <c r="G150">
        <v>2.8873970000000001E-4</v>
      </c>
      <c r="H150">
        <v>2.9102899999999999E-5</v>
      </c>
      <c r="I150">
        <v>4.135311E-3</v>
      </c>
      <c r="J150">
        <v>-2.1043120000000001E-4</v>
      </c>
      <c r="K150">
        <v>1.82733E-4</v>
      </c>
    </row>
    <row r="151" spans="1:11">
      <c r="A151">
        <v>2</v>
      </c>
      <c r="B151" t="s">
        <v>113</v>
      </c>
      <c r="C151">
        <v>2</v>
      </c>
      <c r="D151">
        <v>1</v>
      </c>
      <c r="E151">
        <v>0</v>
      </c>
      <c r="F151">
        <v>7.4383939999999996E-4</v>
      </c>
      <c r="G151">
        <v>3.3446060000000001E-4</v>
      </c>
      <c r="H151">
        <v>2.95499E-5</v>
      </c>
      <c r="I151">
        <v>0</v>
      </c>
      <c r="J151">
        <v>0</v>
      </c>
      <c r="K151">
        <v>0</v>
      </c>
    </row>
    <row r="152" spans="1:11">
      <c r="A152">
        <v>2</v>
      </c>
      <c r="B152" t="s">
        <v>113</v>
      </c>
      <c r="C152">
        <v>3</v>
      </c>
      <c r="D152">
        <v>1</v>
      </c>
      <c r="E152">
        <v>0</v>
      </c>
      <c r="F152">
        <v>7.3748939999999995E-4</v>
      </c>
      <c r="G152">
        <v>3.4258779999999999E-4</v>
      </c>
      <c r="H152">
        <v>2.9560499999999999E-5</v>
      </c>
      <c r="I152">
        <v>0</v>
      </c>
      <c r="J152">
        <v>0</v>
      </c>
      <c r="K152">
        <v>0</v>
      </c>
    </row>
    <row r="153" spans="1:11">
      <c r="A153">
        <v>2</v>
      </c>
      <c r="B153" t="s">
        <v>113</v>
      </c>
      <c r="C153">
        <v>4</v>
      </c>
      <c r="D153">
        <v>1</v>
      </c>
      <c r="E153">
        <v>0</v>
      </c>
      <c r="F153">
        <v>7.2376890000000005E-4</v>
      </c>
      <c r="G153">
        <v>3.5070359999999999E-4</v>
      </c>
      <c r="H153">
        <v>2.9462899999999999E-5</v>
      </c>
      <c r="I153">
        <v>0</v>
      </c>
      <c r="J153">
        <v>0</v>
      </c>
      <c r="K153">
        <v>0</v>
      </c>
    </row>
    <row r="154" spans="1:11">
      <c r="A154">
        <v>2</v>
      </c>
      <c r="B154" t="s">
        <v>113</v>
      </c>
      <c r="C154">
        <v>5</v>
      </c>
      <c r="D154">
        <v>1</v>
      </c>
      <c r="E154">
        <v>0</v>
      </c>
      <c r="F154">
        <v>2.5705810000000002E-3</v>
      </c>
      <c r="G154">
        <v>4.461728E-4</v>
      </c>
      <c r="H154">
        <v>3.2545500000000002E-5</v>
      </c>
      <c r="I154">
        <v>0</v>
      </c>
      <c r="J154">
        <v>0</v>
      </c>
      <c r="K154">
        <v>0</v>
      </c>
    </row>
    <row r="155" spans="1:11">
      <c r="A155">
        <v>2</v>
      </c>
      <c r="B155" t="s">
        <v>113</v>
      </c>
      <c r="C155">
        <v>6</v>
      </c>
      <c r="D155">
        <v>1</v>
      </c>
      <c r="E155">
        <v>0</v>
      </c>
      <c r="F155">
        <v>2.5019740000000001E-3</v>
      </c>
      <c r="G155">
        <v>4.5516010000000001E-4</v>
      </c>
      <c r="H155">
        <v>3.2823900000000003E-5</v>
      </c>
      <c r="I155">
        <v>0</v>
      </c>
      <c r="J155">
        <v>0</v>
      </c>
      <c r="K155">
        <v>0</v>
      </c>
    </row>
    <row r="156" spans="1:11">
      <c r="A156">
        <v>2</v>
      </c>
      <c r="B156" t="s">
        <v>113</v>
      </c>
      <c r="C156">
        <v>7</v>
      </c>
      <c r="D156">
        <v>1</v>
      </c>
      <c r="E156">
        <v>0</v>
      </c>
      <c r="F156">
        <v>2.4689830000000001E-3</v>
      </c>
      <c r="G156">
        <v>4.6416030000000002E-4</v>
      </c>
      <c r="H156">
        <v>3.2631900000000002E-5</v>
      </c>
      <c r="I156">
        <v>0</v>
      </c>
      <c r="J156">
        <v>0</v>
      </c>
      <c r="K156">
        <v>0</v>
      </c>
    </row>
    <row r="157" spans="1:11">
      <c r="A157">
        <v>2</v>
      </c>
      <c r="B157" t="s">
        <v>113</v>
      </c>
      <c r="C157">
        <v>8</v>
      </c>
      <c r="D157">
        <v>1</v>
      </c>
      <c r="E157">
        <v>0</v>
      </c>
      <c r="F157">
        <v>1.233881E-3</v>
      </c>
      <c r="G157">
        <v>4.1808809999999998E-4</v>
      </c>
      <c r="H157">
        <v>5.2696000000000003E-6</v>
      </c>
      <c r="I157">
        <v>0</v>
      </c>
      <c r="J157">
        <v>0</v>
      </c>
      <c r="K157">
        <v>0</v>
      </c>
    </row>
    <row r="158" spans="1:11">
      <c r="A158">
        <v>2</v>
      </c>
      <c r="B158" t="s">
        <v>113</v>
      </c>
      <c r="C158">
        <v>9</v>
      </c>
      <c r="D158">
        <v>1</v>
      </c>
      <c r="E158">
        <v>0</v>
      </c>
      <c r="F158">
        <v>1.1653900000000001E-3</v>
      </c>
      <c r="G158">
        <v>4.1955969999999998E-4</v>
      </c>
      <c r="H158">
        <v>5.4360000000000001E-6</v>
      </c>
      <c r="I158">
        <v>0</v>
      </c>
      <c r="J158">
        <v>0</v>
      </c>
      <c r="K158">
        <v>0</v>
      </c>
    </row>
    <row r="159" spans="1:11">
      <c r="A159">
        <v>2</v>
      </c>
      <c r="B159" t="s">
        <v>113</v>
      </c>
      <c r="C159">
        <v>10</v>
      </c>
      <c r="D159">
        <v>1</v>
      </c>
      <c r="E159">
        <v>0</v>
      </c>
      <c r="F159">
        <v>1.1332040000000001E-3</v>
      </c>
      <c r="G159">
        <v>4.210455E-4</v>
      </c>
      <c r="H159">
        <v>5.3686999999999999E-6</v>
      </c>
      <c r="I159">
        <v>0</v>
      </c>
      <c r="J159">
        <v>0</v>
      </c>
      <c r="K159">
        <v>0</v>
      </c>
    </row>
    <row r="160" spans="1:11">
      <c r="A160">
        <v>2</v>
      </c>
      <c r="B160" t="s">
        <v>113</v>
      </c>
      <c r="C160">
        <v>11</v>
      </c>
      <c r="D160">
        <v>1</v>
      </c>
      <c r="E160">
        <v>0</v>
      </c>
      <c r="F160">
        <v>-4.90594E-5</v>
      </c>
      <c r="G160">
        <v>3.6520569999999998E-4</v>
      </c>
      <c r="H160">
        <v>-1.5729E-6</v>
      </c>
      <c r="I160">
        <v>0</v>
      </c>
      <c r="J160">
        <v>0</v>
      </c>
      <c r="K160">
        <v>0</v>
      </c>
    </row>
    <row r="161" spans="1:11">
      <c r="A161">
        <v>2</v>
      </c>
      <c r="B161" t="s">
        <v>113</v>
      </c>
      <c r="C161">
        <v>12</v>
      </c>
      <c r="D161">
        <v>1</v>
      </c>
      <c r="E161">
        <v>0</v>
      </c>
      <c r="F161">
        <v>-1.174948E-4</v>
      </c>
      <c r="G161">
        <v>3.647845E-4</v>
      </c>
      <c r="H161">
        <v>-1.4887E-6</v>
      </c>
      <c r="I161">
        <v>0</v>
      </c>
      <c r="J161">
        <v>0</v>
      </c>
      <c r="K161">
        <v>0</v>
      </c>
    </row>
    <row r="162" spans="1:11">
      <c r="A162">
        <v>2</v>
      </c>
      <c r="B162" t="s">
        <v>113</v>
      </c>
      <c r="C162">
        <v>13</v>
      </c>
      <c r="D162">
        <v>1</v>
      </c>
      <c r="E162">
        <v>0</v>
      </c>
      <c r="F162">
        <v>-1.8593559999999999E-4</v>
      </c>
      <c r="G162">
        <v>3.6438989999999999E-4</v>
      </c>
      <c r="H162">
        <v>-1.3827999999999999E-6</v>
      </c>
      <c r="I162">
        <v>0</v>
      </c>
      <c r="J162">
        <v>0</v>
      </c>
      <c r="K162">
        <v>0</v>
      </c>
    </row>
    <row r="163" spans="1:11">
      <c r="A163">
        <v>2</v>
      </c>
      <c r="B163" t="s">
        <v>113</v>
      </c>
      <c r="C163">
        <v>14</v>
      </c>
      <c r="D163">
        <v>1</v>
      </c>
      <c r="E163">
        <v>0</v>
      </c>
      <c r="F163">
        <v>-1.3733409999999999E-3</v>
      </c>
      <c r="G163">
        <v>4.1427839999999999E-4</v>
      </c>
      <c r="H163">
        <v>-1.20339E-5</v>
      </c>
      <c r="I163">
        <v>0</v>
      </c>
      <c r="J163">
        <v>0</v>
      </c>
      <c r="K163">
        <v>0</v>
      </c>
    </row>
    <row r="164" spans="1:11">
      <c r="A164">
        <v>2</v>
      </c>
      <c r="B164" t="s">
        <v>113</v>
      </c>
      <c r="C164">
        <v>15</v>
      </c>
      <c r="D164">
        <v>1</v>
      </c>
      <c r="E164">
        <v>0</v>
      </c>
      <c r="F164">
        <v>-1.3842819999999999E-3</v>
      </c>
      <c r="G164">
        <v>4.109556E-4</v>
      </c>
      <c r="H164">
        <v>-1.2131E-5</v>
      </c>
      <c r="I164">
        <v>0</v>
      </c>
      <c r="J164">
        <v>0</v>
      </c>
      <c r="K164">
        <v>0</v>
      </c>
    </row>
    <row r="165" spans="1:11">
      <c r="A165">
        <v>2</v>
      </c>
      <c r="B165" t="s">
        <v>113</v>
      </c>
      <c r="C165">
        <v>16</v>
      </c>
      <c r="D165">
        <v>1</v>
      </c>
      <c r="E165">
        <v>0</v>
      </c>
      <c r="F165">
        <v>-1.452788E-3</v>
      </c>
      <c r="G165">
        <v>4.076439E-4</v>
      </c>
      <c r="H165">
        <v>-1.1957600000000001E-5</v>
      </c>
      <c r="I165">
        <v>0</v>
      </c>
      <c r="J165">
        <v>0</v>
      </c>
      <c r="K165">
        <v>0</v>
      </c>
    </row>
    <row r="166" spans="1:11">
      <c r="A166">
        <v>2</v>
      </c>
      <c r="B166" t="s">
        <v>113</v>
      </c>
      <c r="C166">
        <v>17</v>
      </c>
      <c r="D166">
        <v>1</v>
      </c>
      <c r="E166">
        <v>0</v>
      </c>
      <c r="F166">
        <v>-2.7018390000000002E-3</v>
      </c>
      <c r="G166">
        <v>4.0636920000000003E-4</v>
      </c>
      <c r="H166">
        <v>-4.6167300000000001E-5</v>
      </c>
      <c r="I166">
        <v>0</v>
      </c>
      <c r="J166">
        <v>0</v>
      </c>
      <c r="K166">
        <v>0</v>
      </c>
    </row>
    <row r="167" spans="1:11">
      <c r="A167">
        <v>2</v>
      </c>
      <c r="B167" t="s">
        <v>113</v>
      </c>
      <c r="C167">
        <v>18</v>
      </c>
      <c r="D167">
        <v>1</v>
      </c>
      <c r="E167">
        <v>0</v>
      </c>
      <c r="F167">
        <v>-2.7370939999999998E-3</v>
      </c>
      <c r="G167">
        <v>3.936438E-4</v>
      </c>
      <c r="H167">
        <v>-4.6381000000000002E-5</v>
      </c>
      <c r="I167">
        <v>0</v>
      </c>
      <c r="J167">
        <v>0</v>
      </c>
      <c r="K167">
        <v>0</v>
      </c>
    </row>
    <row r="168" spans="1:11">
      <c r="A168">
        <v>2</v>
      </c>
      <c r="B168" t="s">
        <v>113</v>
      </c>
      <c r="C168">
        <v>19</v>
      </c>
      <c r="D168">
        <v>1</v>
      </c>
      <c r="E168">
        <v>0</v>
      </c>
      <c r="F168">
        <v>-2.8057249999999998E-3</v>
      </c>
      <c r="G168">
        <v>3.8093019999999999E-4</v>
      </c>
      <c r="H168">
        <v>-4.6086900000000001E-5</v>
      </c>
      <c r="I168">
        <v>0</v>
      </c>
      <c r="J168">
        <v>0</v>
      </c>
      <c r="K168">
        <v>0</v>
      </c>
    </row>
    <row r="169" spans="1:11">
      <c r="A169">
        <v>2</v>
      </c>
      <c r="B169" t="s">
        <v>113</v>
      </c>
      <c r="C169">
        <v>20</v>
      </c>
      <c r="D169">
        <v>1</v>
      </c>
      <c r="E169">
        <v>0</v>
      </c>
      <c r="F169">
        <v>-5.8642280000000002E-4</v>
      </c>
      <c r="G169">
        <v>3.412752E-4</v>
      </c>
      <c r="H169">
        <v>-1.56621E-5</v>
      </c>
      <c r="I169">
        <v>0</v>
      </c>
      <c r="J169">
        <v>0</v>
      </c>
      <c r="K169">
        <v>0</v>
      </c>
    </row>
    <row r="170" spans="1:11">
      <c r="A170">
        <v>2</v>
      </c>
      <c r="B170" t="s">
        <v>113</v>
      </c>
      <c r="C170">
        <v>21</v>
      </c>
      <c r="D170">
        <v>1</v>
      </c>
      <c r="E170">
        <v>0</v>
      </c>
      <c r="F170">
        <v>-6.0014680000000003E-4</v>
      </c>
      <c r="G170">
        <v>3.3695669999999999E-4</v>
      </c>
      <c r="H170">
        <v>-1.5745099999999999E-5</v>
      </c>
      <c r="I170">
        <v>0</v>
      </c>
      <c r="J170">
        <v>0</v>
      </c>
      <c r="K170">
        <v>0</v>
      </c>
    </row>
    <row r="171" spans="1:11">
      <c r="A171">
        <v>2</v>
      </c>
      <c r="B171" t="s">
        <v>113</v>
      </c>
      <c r="C171">
        <v>22</v>
      </c>
      <c r="D171">
        <v>1</v>
      </c>
      <c r="E171">
        <v>0</v>
      </c>
      <c r="F171">
        <v>-6.0754669999999995E-4</v>
      </c>
      <c r="G171">
        <v>3.3262869999999998E-4</v>
      </c>
      <c r="H171">
        <v>-1.57344E-5</v>
      </c>
      <c r="I171">
        <v>0</v>
      </c>
      <c r="J171">
        <v>0</v>
      </c>
      <c r="K171">
        <v>0</v>
      </c>
    </row>
    <row r="172" spans="1:11">
      <c r="A172">
        <v>2</v>
      </c>
      <c r="B172" t="s">
        <v>113</v>
      </c>
      <c r="C172">
        <v>23</v>
      </c>
      <c r="D172">
        <v>1</v>
      </c>
      <c r="E172">
        <v>1</v>
      </c>
      <c r="F172">
        <v>-6.8579670000000004E-4</v>
      </c>
      <c r="G172">
        <v>3.0852910000000002E-4</v>
      </c>
      <c r="H172">
        <v>-1.5287399999999999E-5</v>
      </c>
      <c r="I172">
        <v>-3.4603799999999999E-3</v>
      </c>
      <c r="J172">
        <v>-1.072221E-4</v>
      </c>
      <c r="K172">
        <v>-1.3548210000000001E-4</v>
      </c>
    </row>
    <row r="173" spans="1:11">
      <c r="A173">
        <v>2</v>
      </c>
      <c r="B173" t="s">
        <v>113</v>
      </c>
      <c r="C173">
        <v>24</v>
      </c>
      <c r="D173">
        <v>1</v>
      </c>
      <c r="E173">
        <v>0</v>
      </c>
      <c r="F173">
        <v>7.024768E-4</v>
      </c>
      <c r="G173">
        <v>3.4192199999999998E-4</v>
      </c>
      <c r="H173">
        <v>3.0009999999999999E-5</v>
      </c>
      <c r="I173">
        <v>0</v>
      </c>
      <c r="J173">
        <v>0</v>
      </c>
      <c r="K173">
        <v>0</v>
      </c>
    </row>
    <row r="174" spans="1:11">
      <c r="A174">
        <v>2</v>
      </c>
      <c r="B174" t="s">
        <v>113</v>
      </c>
      <c r="C174">
        <v>25</v>
      </c>
      <c r="D174">
        <v>1</v>
      </c>
      <c r="E174">
        <v>0</v>
      </c>
      <c r="F174">
        <v>2.4622979999999999E-3</v>
      </c>
      <c r="G174">
        <v>4.542681E-4</v>
      </c>
      <c r="H174">
        <v>3.4614099999999998E-5</v>
      </c>
      <c r="I174">
        <v>0</v>
      </c>
      <c r="J174">
        <v>0</v>
      </c>
      <c r="K174">
        <v>0</v>
      </c>
    </row>
    <row r="175" spans="1:11">
      <c r="A175">
        <v>2</v>
      </c>
      <c r="B175" t="s">
        <v>113</v>
      </c>
      <c r="C175">
        <v>26</v>
      </c>
      <c r="D175">
        <v>1</v>
      </c>
      <c r="E175">
        <v>0</v>
      </c>
      <c r="F175">
        <v>1.1584620000000001E-3</v>
      </c>
      <c r="G175">
        <v>4.1873920000000002E-4</v>
      </c>
      <c r="H175">
        <v>6.3086E-6</v>
      </c>
      <c r="I175">
        <v>0</v>
      </c>
      <c r="J175">
        <v>0</v>
      </c>
      <c r="K175">
        <v>0</v>
      </c>
    </row>
    <row r="176" spans="1:11">
      <c r="A176">
        <v>2</v>
      </c>
      <c r="B176" t="s">
        <v>113</v>
      </c>
      <c r="C176">
        <v>27</v>
      </c>
      <c r="D176">
        <v>1</v>
      </c>
      <c r="E176">
        <v>0</v>
      </c>
      <c r="F176">
        <v>-1.156933E-4</v>
      </c>
      <c r="G176">
        <v>3.6407410000000002E-4</v>
      </c>
      <c r="H176">
        <v>-1.573E-6</v>
      </c>
      <c r="I176">
        <v>0</v>
      </c>
      <c r="J176">
        <v>0</v>
      </c>
      <c r="K176">
        <v>0</v>
      </c>
    </row>
    <row r="177" spans="1:11">
      <c r="A177">
        <v>2</v>
      </c>
      <c r="B177" t="s">
        <v>113</v>
      </c>
      <c r="C177">
        <v>28</v>
      </c>
      <c r="D177">
        <v>1</v>
      </c>
      <c r="E177">
        <v>0</v>
      </c>
      <c r="F177">
        <v>-1.3694E-3</v>
      </c>
      <c r="G177">
        <v>4.1015239999999997E-4</v>
      </c>
      <c r="H177">
        <v>-1.3145200000000001E-5</v>
      </c>
      <c r="I177">
        <v>0</v>
      </c>
      <c r="J177">
        <v>0</v>
      </c>
      <c r="K177">
        <v>0</v>
      </c>
    </row>
    <row r="178" spans="1:11">
      <c r="A178">
        <v>2</v>
      </c>
      <c r="B178" t="s">
        <v>113</v>
      </c>
      <c r="C178">
        <v>29</v>
      </c>
      <c r="D178">
        <v>1</v>
      </c>
      <c r="E178">
        <v>0</v>
      </c>
      <c r="F178">
        <v>-2.681409E-3</v>
      </c>
      <c r="G178">
        <v>3.9287540000000002E-4</v>
      </c>
      <c r="H178">
        <v>-4.8298299999999998E-5</v>
      </c>
      <c r="I178">
        <v>0</v>
      </c>
      <c r="J178">
        <v>0</v>
      </c>
      <c r="K178">
        <v>0</v>
      </c>
    </row>
    <row r="179" spans="1:11">
      <c r="A179">
        <v>2</v>
      </c>
      <c r="B179" t="s">
        <v>113</v>
      </c>
      <c r="C179">
        <v>30</v>
      </c>
      <c r="D179">
        <v>1</v>
      </c>
      <c r="E179">
        <v>0</v>
      </c>
      <c r="F179">
        <v>-5.8139940000000005E-4</v>
      </c>
      <c r="G179">
        <v>3.3630219999999998E-4</v>
      </c>
      <c r="H179">
        <v>-1.6143599999999999E-5</v>
      </c>
      <c r="I179">
        <v>0</v>
      </c>
      <c r="J179">
        <v>0</v>
      </c>
      <c r="K179">
        <v>0</v>
      </c>
    </row>
    <row r="180" spans="1:11">
      <c r="A180">
        <v>2</v>
      </c>
      <c r="B180" t="s">
        <v>113</v>
      </c>
      <c r="C180">
        <v>31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1:11">
      <c r="A181">
        <v>2</v>
      </c>
      <c r="B181" t="s">
        <v>113</v>
      </c>
      <c r="C181">
        <v>32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1:11">
      <c r="A182">
        <v>2</v>
      </c>
      <c r="B182" t="s">
        <v>113</v>
      </c>
      <c r="C182">
        <v>33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1:11">
      <c r="A183">
        <v>2</v>
      </c>
      <c r="B183" t="s">
        <v>113</v>
      </c>
      <c r="C183">
        <v>34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1:11">
      <c r="A184">
        <v>2</v>
      </c>
      <c r="B184" t="s">
        <v>113</v>
      </c>
      <c r="C184">
        <v>35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1:11">
      <c r="A185">
        <v>2</v>
      </c>
      <c r="B185" t="s">
        <v>113</v>
      </c>
      <c r="C185">
        <v>36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1:11">
      <c r="A186">
        <v>2</v>
      </c>
      <c r="B186" t="s">
        <v>113</v>
      </c>
      <c r="C186">
        <v>37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1:11">
      <c r="A187">
        <v>2</v>
      </c>
      <c r="B187" t="s">
        <v>114</v>
      </c>
      <c r="C187">
        <v>1</v>
      </c>
      <c r="D187">
        <v>1</v>
      </c>
      <c r="E187">
        <v>0</v>
      </c>
      <c r="F187">
        <v>4.135311E-3</v>
      </c>
      <c r="G187">
        <v>-2.1043120000000001E-4</v>
      </c>
      <c r="H187">
        <v>1.82733E-4</v>
      </c>
      <c r="I187">
        <v>0</v>
      </c>
      <c r="J187">
        <v>0</v>
      </c>
      <c r="K187">
        <v>0</v>
      </c>
    </row>
    <row r="188" spans="1:11">
      <c r="A188">
        <v>2</v>
      </c>
      <c r="B188" t="s">
        <v>114</v>
      </c>
      <c r="C188">
        <v>2</v>
      </c>
      <c r="D188">
        <v>1</v>
      </c>
      <c r="E188">
        <v>0</v>
      </c>
      <c r="F188">
        <v>3.7440609999999999E-3</v>
      </c>
      <c r="G188">
        <v>7.5720800000000002E-5</v>
      </c>
      <c r="H188">
        <v>1.8317999999999999E-4</v>
      </c>
      <c r="I188">
        <v>0</v>
      </c>
      <c r="J188">
        <v>0</v>
      </c>
      <c r="K188">
        <v>0</v>
      </c>
    </row>
    <row r="189" spans="1:11">
      <c r="A189">
        <v>2</v>
      </c>
      <c r="B189" t="s">
        <v>114</v>
      </c>
      <c r="C189">
        <v>3</v>
      </c>
      <c r="D189">
        <v>1</v>
      </c>
      <c r="E189">
        <v>0</v>
      </c>
      <c r="F189">
        <v>3.7123109999999998E-3</v>
      </c>
      <c r="G189">
        <v>1.2609629999999999E-4</v>
      </c>
      <c r="H189">
        <v>1.831906E-4</v>
      </c>
      <c r="I189">
        <v>0</v>
      </c>
      <c r="J189">
        <v>0</v>
      </c>
      <c r="K189">
        <v>0</v>
      </c>
    </row>
    <row r="190" spans="1:11">
      <c r="A190">
        <v>2</v>
      </c>
      <c r="B190" t="s">
        <v>114</v>
      </c>
      <c r="C190">
        <v>4</v>
      </c>
      <c r="D190">
        <v>1</v>
      </c>
      <c r="E190">
        <v>0</v>
      </c>
      <c r="F190">
        <v>3.6437040000000002E-3</v>
      </c>
      <c r="G190">
        <v>1.7639850000000001E-4</v>
      </c>
      <c r="H190">
        <v>1.8264759999999999E-4</v>
      </c>
      <c r="I190">
        <v>0</v>
      </c>
      <c r="J190">
        <v>0</v>
      </c>
      <c r="K190">
        <v>0</v>
      </c>
    </row>
    <row r="191" spans="1:11">
      <c r="A191">
        <v>2</v>
      </c>
      <c r="B191" t="s">
        <v>114</v>
      </c>
      <c r="C191">
        <v>5</v>
      </c>
      <c r="D191">
        <v>1</v>
      </c>
      <c r="E191">
        <v>0</v>
      </c>
      <c r="F191">
        <v>2.5705810000000002E-3</v>
      </c>
      <c r="G191">
        <v>4.461728E-4</v>
      </c>
      <c r="H191">
        <v>3.2545500000000002E-5</v>
      </c>
      <c r="I191">
        <v>0</v>
      </c>
      <c r="J191">
        <v>0</v>
      </c>
      <c r="K191">
        <v>0</v>
      </c>
    </row>
    <row r="192" spans="1:11">
      <c r="A192">
        <v>2</v>
      </c>
      <c r="B192" t="s">
        <v>114</v>
      </c>
      <c r="C192">
        <v>6</v>
      </c>
      <c r="D192">
        <v>1</v>
      </c>
      <c r="E192">
        <v>0</v>
      </c>
      <c r="F192">
        <v>2.5019740000000001E-3</v>
      </c>
      <c r="G192">
        <v>4.5516010000000001E-4</v>
      </c>
      <c r="H192">
        <v>3.2823900000000003E-5</v>
      </c>
      <c r="I192">
        <v>0</v>
      </c>
      <c r="J192">
        <v>0</v>
      </c>
      <c r="K192">
        <v>0</v>
      </c>
    </row>
    <row r="193" spans="1:11">
      <c r="A193">
        <v>2</v>
      </c>
      <c r="B193" t="s">
        <v>114</v>
      </c>
      <c r="C193">
        <v>7</v>
      </c>
      <c r="D193">
        <v>1</v>
      </c>
      <c r="E193">
        <v>0</v>
      </c>
      <c r="F193">
        <v>2.4689830000000001E-3</v>
      </c>
      <c r="G193">
        <v>4.6416030000000002E-4</v>
      </c>
      <c r="H193">
        <v>3.2631900000000002E-5</v>
      </c>
      <c r="I193">
        <v>0</v>
      </c>
      <c r="J193">
        <v>0</v>
      </c>
      <c r="K193">
        <v>0</v>
      </c>
    </row>
    <row r="194" spans="1:11">
      <c r="A194">
        <v>2</v>
      </c>
      <c r="B194" t="s">
        <v>114</v>
      </c>
      <c r="C194">
        <v>8</v>
      </c>
      <c r="D194">
        <v>1</v>
      </c>
      <c r="E194">
        <v>1</v>
      </c>
      <c r="F194">
        <v>1.233881E-3</v>
      </c>
      <c r="G194">
        <v>4.1808809999999998E-4</v>
      </c>
      <c r="H194">
        <v>5.2696000000000003E-6</v>
      </c>
      <c r="I194">
        <v>2.4479280000000003E-4</v>
      </c>
      <c r="J194">
        <v>3.3712599999999998E-4</v>
      </c>
      <c r="K194">
        <v>-7.8169999999999997E-7</v>
      </c>
    </row>
    <row r="195" spans="1:11">
      <c r="A195">
        <v>2</v>
      </c>
      <c r="B195" t="s">
        <v>114</v>
      </c>
      <c r="C195">
        <v>9</v>
      </c>
      <c r="D195">
        <v>1</v>
      </c>
      <c r="E195">
        <v>1</v>
      </c>
      <c r="F195">
        <v>1.1653900000000001E-3</v>
      </c>
      <c r="G195">
        <v>4.1955969999999998E-4</v>
      </c>
      <c r="H195">
        <v>5.4360000000000001E-6</v>
      </c>
      <c r="I195">
        <v>2.3109650000000001E-4</v>
      </c>
      <c r="J195">
        <v>3.369154E-4</v>
      </c>
      <c r="K195">
        <v>-7.4870000000000003E-7</v>
      </c>
    </row>
    <row r="196" spans="1:11">
      <c r="A196">
        <v>2</v>
      </c>
      <c r="B196" t="s">
        <v>114</v>
      </c>
      <c r="C196">
        <v>10</v>
      </c>
      <c r="D196">
        <v>1</v>
      </c>
      <c r="E196">
        <v>1</v>
      </c>
      <c r="F196">
        <v>1.1332040000000001E-3</v>
      </c>
      <c r="G196">
        <v>4.210455E-4</v>
      </c>
      <c r="H196">
        <v>5.3686999999999999E-6</v>
      </c>
      <c r="I196">
        <v>2.2466160000000001E-4</v>
      </c>
      <c r="J196">
        <v>3.3670679999999999E-4</v>
      </c>
      <c r="K196">
        <v>-7.7029999999999996E-7</v>
      </c>
    </row>
    <row r="197" spans="1:11">
      <c r="A197">
        <v>2</v>
      </c>
      <c r="B197" t="s">
        <v>114</v>
      </c>
      <c r="C197">
        <v>11</v>
      </c>
      <c r="D197">
        <v>0</v>
      </c>
      <c r="E197">
        <v>1</v>
      </c>
      <c r="F197">
        <v>0</v>
      </c>
      <c r="G197">
        <v>0</v>
      </c>
      <c r="H197">
        <v>0</v>
      </c>
      <c r="I197">
        <v>-4.90594E-5</v>
      </c>
      <c r="J197">
        <v>3.6520569999999998E-4</v>
      </c>
      <c r="K197">
        <v>-1.5729E-6</v>
      </c>
    </row>
    <row r="198" spans="1:11">
      <c r="A198">
        <v>2</v>
      </c>
      <c r="B198" t="s">
        <v>114</v>
      </c>
      <c r="C198">
        <v>12</v>
      </c>
      <c r="D198">
        <v>0</v>
      </c>
      <c r="E198">
        <v>1</v>
      </c>
      <c r="F198">
        <v>0</v>
      </c>
      <c r="G198">
        <v>0</v>
      </c>
      <c r="H198">
        <v>0</v>
      </c>
      <c r="I198">
        <v>-1.174948E-4</v>
      </c>
      <c r="J198">
        <v>3.647845E-4</v>
      </c>
      <c r="K198">
        <v>-1.4887E-6</v>
      </c>
    </row>
    <row r="199" spans="1:11">
      <c r="A199">
        <v>2</v>
      </c>
      <c r="B199" t="s">
        <v>114</v>
      </c>
      <c r="C199">
        <v>13</v>
      </c>
      <c r="D199">
        <v>0</v>
      </c>
      <c r="E199">
        <v>1</v>
      </c>
      <c r="F199">
        <v>0</v>
      </c>
      <c r="G199">
        <v>0</v>
      </c>
      <c r="H199">
        <v>0</v>
      </c>
      <c r="I199">
        <v>-1.8593559999999999E-4</v>
      </c>
      <c r="J199">
        <v>3.6438989999999999E-4</v>
      </c>
      <c r="K199">
        <v>-1.3827999999999999E-6</v>
      </c>
    </row>
    <row r="200" spans="1:11">
      <c r="A200">
        <v>2</v>
      </c>
      <c r="B200" t="s">
        <v>114</v>
      </c>
      <c r="C200">
        <v>14</v>
      </c>
      <c r="D200">
        <v>0</v>
      </c>
      <c r="E200">
        <v>1</v>
      </c>
      <c r="F200">
        <v>0</v>
      </c>
      <c r="G200">
        <v>0</v>
      </c>
      <c r="H200">
        <v>0</v>
      </c>
      <c r="I200">
        <v>-1.3733409999999999E-3</v>
      </c>
      <c r="J200">
        <v>4.1427839999999999E-4</v>
      </c>
      <c r="K200">
        <v>-1.20339E-5</v>
      </c>
    </row>
    <row r="201" spans="1:11">
      <c r="A201">
        <v>2</v>
      </c>
      <c r="B201" t="s">
        <v>114</v>
      </c>
      <c r="C201">
        <v>15</v>
      </c>
      <c r="D201">
        <v>0</v>
      </c>
      <c r="E201">
        <v>1</v>
      </c>
      <c r="F201">
        <v>0</v>
      </c>
      <c r="G201">
        <v>0</v>
      </c>
      <c r="H201">
        <v>0</v>
      </c>
      <c r="I201">
        <v>-1.3842819999999999E-3</v>
      </c>
      <c r="J201">
        <v>4.109556E-4</v>
      </c>
      <c r="K201">
        <v>-1.2131E-5</v>
      </c>
    </row>
    <row r="202" spans="1:11">
      <c r="A202">
        <v>2</v>
      </c>
      <c r="B202" t="s">
        <v>114</v>
      </c>
      <c r="C202">
        <v>16</v>
      </c>
      <c r="D202">
        <v>0</v>
      </c>
      <c r="E202">
        <v>1</v>
      </c>
      <c r="F202">
        <v>0</v>
      </c>
      <c r="G202">
        <v>0</v>
      </c>
      <c r="H202">
        <v>0</v>
      </c>
      <c r="I202">
        <v>-1.452788E-3</v>
      </c>
      <c r="J202">
        <v>4.076439E-4</v>
      </c>
      <c r="K202">
        <v>-1.1957600000000001E-5</v>
      </c>
    </row>
    <row r="203" spans="1:11">
      <c r="A203">
        <v>2</v>
      </c>
      <c r="B203" t="s">
        <v>114</v>
      </c>
      <c r="C203">
        <v>17</v>
      </c>
      <c r="D203">
        <v>0</v>
      </c>
      <c r="E203">
        <v>1</v>
      </c>
      <c r="F203">
        <v>0</v>
      </c>
      <c r="G203">
        <v>0</v>
      </c>
      <c r="H203">
        <v>0</v>
      </c>
      <c r="I203">
        <v>-2.7018390000000002E-3</v>
      </c>
      <c r="J203">
        <v>4.0636920000000003E-4</v>
      </c>
      <c r="K203">
        <v>-4.6167300000000001E-5</v>
      </c>
    </row>
    <row r="204" spans="1:11">
      <c r="A204">
        <v>2</v>
      </c>
      <c r="B204" t="s">
        <v>114</v>
      </c>
      <c r="C204">
        <v>18</v>
      </c>
      <c r="D204">
        <v>0</v>
      </c>
      <c r="E204">
        <v>1</v>
      </c>
      <c r="F204">
        <v>0</v>
      </c>
      <c r="G204">
        <v>0</v>
      </c>
      <c r="H204">
        <v>0</v>
      </c>
      <c r="I204">
        <v>-2.7370939999999998E-3</v>
      </c>
      <c r="J204">
        <v>3.936438E-4</v>
      </c>
      <c r="K204">
        <v>-4.6381000000000002E-5</v>
      </c>
    </row>
    <row r="205" spans="1:11">
      <c r="A205">
        <v>2</v>
      </c>
      <c r="B205" t="s">
        <v>114</v>
      </c>
      <c r="C205">
        <v>19</v>
      </c>
      <c r="D205">
        <v>0</v>
      </c>
      <c r="E205">
        <v>1</v>
      </c>
      <c r="F205">
        <v>0</v>
      </c>
      <c r="G205">
        <v>0</v>
      </c>
      <c r="H205">
        <v>0</v>
      </c>
      <c r="I205">
        <v>-2.8057249999999998E-3</v>
      </c>
      <c r="J205">
        <v>3.8093019999999999E-4</v>
      </c>
      <c r="K205">
        <v>-4.6086900000000001E-5</v>
      </c>
    </row>
    <row r="206" spans="1:11">
      <c r="A206">
        <v>2</v>
      </c>
      <c r="B206" t="s">
        <v>114</v>
      </c>
      <c r="C206">
        <v>20</v>
      </c>
      <c r="D206">
        <v>0</v>
      </c>
      <c r="E206">
        <v>1</v>
      </c>
      <c r="F206">
        <v>0</v>
      </c>
      <c r="G206">
        <v>0</v>
      </c>
      <c r="H206">
        <v>0</v>
      </c>
      <c r="I206">
        <v>-2.9635E-3</v>
      </c>
      <c r="J206">
        <v>1.7968469999999999E-4</v>
      </c>
      <c r="K206">
        <v>-1.354882E-4</v>
      </c>
    </row>
    <row r="207" spans="1:11">
      <c r="A207">
        <v>2</v>
      </c>
      <c r="B207" t="s">
        <v>114</v>
      </c>
      <c r="C207">
        <v>21</v>
      </c>
      <c r="D207">
        <v>0</v>
      </c>
      <c r="E207">
        <v>1</v>
      </c>
      <c r="F207">
        <v>0</v>
      </c>
      <c r="G207">
        <v>0</v>
      </c>
      <c r="H207">
        <v>0</v>
      </c>
      <c r="I207">
        <v>-3.0321300000000001E-3</v>
      </c>
      <c r="J207">
        <v>1.4236389999999999E-4</v>
      </c>
      <c r="K207">
        <v>-1.3593979999999999E-4</v>
      </c>
    </row>
    <row r="208" spans="1:11">
      <c r="A208">
        <v>2</v>
      </c>
      <c r="B208" t="s">
        <v>114</v>
      </c>
      <c r="C208">
        <v>22</v>
      </c>
      <c r="D208">
        <v>0</v>
      </c>
      <c r="E208">
        <v>1</v>
      </c>
      <c r="F208">
        <v>0</v>
      </c>
      <c r="G208">
        <v>0</v>
      </c>
      <c r="H208">
        <v>0</v>
      </c>
      <c r="I208">
        <v>-3.0691300000000002E-3</v>
      </c>
      <c r="J208">
        <v>1.049823E-4</v>
      </c>
      <c r="K208">
        <v>-1.359291E-4</v>
      </c>
    </row>
    <row r="209" spans="1:11">
      <c r="A209">
        <v>2</v>
      </c>
      <c r="B209" t="s">
        <v>114</v>
      </c>
      <c r="C209">
        <v>23</v>
      </c>
      <c r="D209">
        <v>0</v>
      </c>
      <c r="E209">
        <v>1</v>
      </c>
      <c r="F209">
        <v>0</v>
      </c>
      <c r="G209">
        <v>0</v>
      </c>
      <c r="H209">
        <v>0</v>
      </c>
      <c r="I209">
        <v>-3.4603799999999999E-3</v>
      </c>
      <c r="J209">
        <v>-1.072221E-4</v>
      </c>
      <c r="K209">
        <v>-1.3548210000000001E-4</v>
      </c>
    </row>
    <row r="210" spans="1:11">
      <c r="A210">
        <v>2</v>
      </c>
      <c r="B210" t="s">
        <v>114</v>
      </c>
      <c r="C210">
        <v>24</v>
      </c>
      <c r="D210">
        <v>1</v>
      </c>
      <c r="E210">
        <v>0</v>
      </c>
      <c r="F210">
        <v>3.4957410000000001E-3</v>
      </c>
      <c r="G210">
        <v>1.258655E-4</v>
      </c>
      <c r="H210">
        <v>1.8531790000000001E-4</v>
      </c>
      <c r="I210">
        <v>0</v>
      </c>
      <c r="J210">
        <v>0</v>
      </c>
      <c r="K210">
        <v>0</v>
      </c>
    </row>
    <row r="211" spans="1:11">
      <c r="A211">
        <v>2</v>
      </c>
      <c r="B211" t="s">
        <v>114</v>
      </c>
      <c r="C211">
        <v>25</v>
      </c>
      <c r="D211">
        <v>1</v>
      </c>
      <c r="E211">
        <v>0</v>
      </c>
      <c r="F211">
        <v>2.4622979999999999E-3</v>
      </c>
      <c r="G211">
        <v>4.542681E-4</v>
      </c>
      <c r="H211">
        <v>3.4614099999999998E-5</v>
      </c>
      <c r="I211">
        <v>0</v>
      </c>
      <c r="J211">
        <v>0</v>
      </c>
      <c r="K211">
        <v>0</v>
      </c>
    </row>
    <row r="212" spans="1:11">
      <c r="A212">
        <v>2</v>
      </c>
      <c r="B212" t="s">
        <v>114</v>
      </c>
      <c r="C212">
        <v>26</v>
      </c>
      <c r="D212">
        <v>1</v>
      </c>
      <c r="E212">
        <v>1</v>
      </c>
      <c r="F212">
        <v>1.1584620000000001E-3</v>
      </c>
      <c r="G212">
        <v>4.1873920000000002E-4</v>
      </c>
      <c r="H212">
        <v>6.3086E-6</v>
      </c>
      <c r="I212">
        <v>2.318647E-4</v>
      </c>
      <c r="J212">
        <v>3.3626100000000003E-4</v>
      </c>
      <c r="K212">
        <v>-5.6850000000000004E-7</v>
      </c>
    </row>
    <row r="213" spans="1:11">
      <c r="A213">
        <v>2</v>
      </c>
      <c r="B213" t="s">
        <v>114</v>
      </c>
      <c r="C213">
        <v>27</v>
      </c>
      <c r="D213">
        <v>0</v>
      </c>
      <c r="E213">
        <v>1</v>
      </c>
      <c r="F213">
        <v>0</v>
      </c>
      <c r="G213">
        <v>0</v>
      </c>
      <c r="H213">
        <v>0</v>
      </c>
      <c r="I213">
        <v>-1.156933E-4</v>
      </c>
      <c r="J213">
        <v>3.6407410000000002E-4</v>
      </c>
      <c r="K213">
        <v>-1.573E-6</v>
      </c>
    </row>
    <row r="214" spans="1:11">
      <c r="A214">
        <v>2</v>
      </c>
      <c r="B214" t="s">
        <v>114</v>
      </c>
      <c r="C214">
        <v>28</v>
      </c>
      <c r="D214">
        <v>0</v>
      </c>
      <c r="E214">
        <v>1</v>
      </c>
      <c r="F214">
        <v>0</v>
      </c>
      <c r="G214">
        <v>0</v>
      </c>
      <c r="H214">
        <v>0</v>
      </c>
      <c r="I214">
        <v>-1.3694E-3</v>
      </c>
      <c r="J214">
        <v>4.1015239999999997E-4</v>
      </c>
      <c r="K214">
        <v>-1.3145200000000001E-5</v>
      </c>
    </row>
    <row r="215" spans="1:11">
      <c r="A215">
        <v>2</v>
      </c>
      <c r="B215" t="s">
        <v>114</v>
      </c>
      <c r="C215">
        <v>29</v>
      </c>
      <c r="D215">
        <v>0</v>
      </c>
      <c r="E215">
        <v>1</v>
      </c>
      <c r="F215">
        <v>0</v>
      </c>
      <c r="G215">
        <v>0</v>
      </c>
      <c r="H215">
        <v>0</v>
      </c>
      <c r="I215">
        <v>-2.681409E-3</v>
      </c>
      <c r="J215">
        <v>3.9287540000000002E-4</v>
      </c>
      <c r="K215">
        <v>-4.8298299999999998E-5</v>
      </c>
    </row>
    <row r="216" spans="1:11">
      <c r="A216">
        <v>2</v>
      </c>
      <c r="B216" t="s">
        <v>114</v>
      </c>
      <c r="C216">
        <v>30</v>
      </c>
      <c r="D216">
        <v>0</v>
      </c>
      <c r="E216">
        <v>1</v>
      </c>
      <c r="F216">
        <v>0</v>
      </c>
      <c r="G216">
        <v>0</v>
      </c>
      <c r="H216">
        <v>0</v>
      </c>
      <c r="I216">
        <v>-2.8712899999999999E-3</v>
      </c>
      <c r="J216">
        <v>1.4210030000000001E-4</v>
      </c>
      <c r="K216">
        <v>-1.377312E-4</v>
      </c>
    </row>
    <row r="217" spans="1:11">
      <c r="A217">
        <v>2</v>
      </c>
      <c r="B217" t="s">
        <v>114</v>
      </c>
      <c r="C217">
        <v>31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1:11">
      <c r="A218">
        <v>2</v>
      </c>
      <c r="B218" t="s">
        <v>114</v>
      </c>
      <c r="C218">
        <v>32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1:11">
      <c r="A219">
        <v>2</v>
      </c>
      <c r="B219" t="s">
        <v>114</v>
      </c>
      <c r="C219">
        <v>33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1:11">
      <c r="A220">
        <v>2</v>
      </c>
      <c r="B220" t="s">
        <v>114</v>
      </c>
      <c r="C220">
        <v>34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1:11">
      <c r="A221">
        <v>2</v>
      </c>
      <c r="B221" t="s">
        <v>114</v>
      </c>
      <c r="C221">
        <v>35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1:11">
      <c r="A222">
        <v>2</v>
      </c>
      <c r="B222" t="s">
        <v>114</v>
      </c>
      <c r="C222">
        <v>36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1:11">
      <c r="A223">
        <v>2</v>
      </c>
      <c r="B223" t="s">
        <v>114</v>
      </c>
      <c r="C223">
        <v>37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1:11">
      <c r="A224">
        <v>3</v>
      </c>
      <c r="B224" t="s">
        <v>112</v>
      </c>
      <c r="C224">
        <v>1</v>
      </c>
      <c r="D224">
        <v>4</v>
      </c>
      <c r="E224">
        <v>0</v>
      </c>
      <c r="F224">
        <v>4.1424929999999997E-3</v>
      </c>
      <c r="G224">
        <v>-2.1242630000000001E-4</v>
      </c>
      <c r="H224">
        <v>1.8328299999999999E-4</v>
      </c>
      <c r="I224">
        <v>0</v>
      </c>
      <c r="J224">
        <v>0</v>
      </c>
      <c r="K224">
        <v>0</v>
      </c>
    </row>
    <row r="225" spans="1:11">
      <c r="A225">
        <v>3</v>
      </c>
      <c r="B225" t="s">
        <v>112</v>
      </c>
      <c r="C225">
        <v>2</v>
      </c>
      <c r="D225">
        <v>4</v>
      </c>
      <c r="E225">
        <v>0</v>
      </c>
      <c r="F225">
        <v>3.751243E-3</v>
      </c>
      <c r="G225">
        <v>7.4586399999999995E-5</v>
      </c>
      <c r="H225">
        <v>1.8373E-4</v>
      </c>
      <c r="I225">
        <v>0</v>
      </c>
      <c r="J225">
        <v>0</v>
      </c>
      <c r="K225">
        <v>0</v>
      </c>
    </row>
    <row r="226" spans="1:11">
      <c r="A226">
        <v>3</v>
      </c>
      <c r="B226" t="s">
        <v>112</v>
      </c>
      <c r="C226">
        <v>3</v>
      </c>
      <c r="D226">
        <v>4</v>
      </c>
      <c r="E226">
        <v>0</v>
      </c>
      <c r="F226">
        <v>3.7194929999999999E-3</v>
      </c>
      <c r="G226">
        <v>1.2511320000000001E-4</v>
      </c>
      <c r="H226">
        <v>1.8374059999999999E-4</v>
      </c>
      <c r="I226">
        <v>0</v>
      </c>
      <c r="J226">
        <v>0</v>
      </c>
      <c r="K226">
        <v>0</v>
      </c>
    </row>
    <row r="227" spans="1:11">
      <c r="A227">
        <v>3</v>
      </c>
      <c r="B227" t="s">
        <v>112</v>
      </c>
      <c r="C227">
        <v>4</v>
      </c>
      <c r="D227">
        <v>4</v>
      </c>
      <c r="E227">
        <v>0</v>
      </c>
      <c r="F227">
        <v>3.6508859999999999E-3</v>
      </c>
      <c r="G227">
        <v>1.755665E-4</v>
      </c>
      <c r="H227">
        <v>1.8319669999999999E-4</v>
      </c>
      <c r="I227">
        <v>0</v>
      </c>
      <c r="J227">
        <v>0</v>
      </c>
      <c r="K227">
        <v>0</v>
      </c>
    </row>
    <row r="228" spans="1:11">
      <c r="A228">
        <v>3</v>
      </c>
      <c r="B228" t="s">
        <v>112</v>
      </c>
      <c r="C228">
        <v>5</v>
      </c>
      <c r="D228">
        <v>4</v>
      </c>
      <c r="E228">
        <v>0</v>
      </c>
      <c r="F228">
        <v>2.5777370000000001E-3</v>
      </c>
      <c r="G228">
        <v>4.473697E-4</v>
      </c>
      <c r="H228">
        <v>3.2941200000000002E-5</v>
      </c>
      <c r="I228">
        <v>0</v>
      </c>
      <c r="J228">
        <v>0</v>
      </c>
      <c r="K228">
        <v>0</v>
      </c>
    </row>
    <row r="229" spans="1:11">
      <c r="A229">
        <v>3</v>
      </c>
      <c r="B229" t="s">
        <v>112</v>
      </c>
      <c r="C229">
        <v>6</v>
      </c>
      <c r="D229">
        <v>4</v>
      </c>
      <c r="E229">
        <v>0</v>
      </c>
      <c r="F229">
        <v>2.50913E-3</v>
      </c>
      <c r="G229">
        <v>4.5646590000000001E-4</v>
      </c>
      <c r="H229">
        <v>3.3220199999999997E-5</v>
      </c>
      <c r="I229">
        <v>0</v>
      </c>
      <c r="J229">
        <v>0</v>
      </c>
      <c r="K229">
        <v>0</v>
      </c>
    </row>
    <row r="230" spans="1:11">
      <c r="A230">
        <v>3</v>
      </c>
      <c r="B230" t="s">
        <v>112</v>
      </c>
      <c r="C230">
        <v>7</v>
      </c>
      <c r="D230">
        <v>4</v>
      </c>
      <c r="E230">
        <v>0</v>
      </c>
      <c r="F230">
        <v>2.476139E-3</v>
      </c>
      <c r="G230">
        <v>4.6557510000000001E-4</v>
      </c>
      <c r="H230">
        <v>3.3027900000000003E-5</v>
      </c>
      <c r="I230">
        <v>0</v>
      </c>
      <c r="J230">
        <v>0</v>
      </c>
      <c r="K230">
        <v>0</v>
      </c>
    </row>
    <row r="231" spans="1:11">
      <c r="A231">
        <v>3</v>
      </c>
      <c r="B231" t="s">
        <v>112</v>
      </c>
      <c r="C231">
        <v>8</v>
      </c>
      <c r="D231">
        <v>4</v>
      </c>
      <c r="E231">
        <v>0</v>
      </c>
      <c r="F231">
        <v>1.241015E-3</v>
      </c>
      <c r="G231">
        <v>4.2139489999999999E-4</v>
      </c>
      <c r="H231">
        <v>5.5934999999999999E-6</v>
      </c>
      <c r="I231">
        <v>0</v>
      </c>
      <c r="J231">
        <v>0</v>
      </c>
      <c r="K231">
        <v>0</v>
      </c>
    </row>
    <row r="232" spans="1:11">
      <c r="A232">
        <v>3</v>
      </c>
      <c r="B232" t="s">
        <v>112</v>
      </c>
      <c r="C232">
        <v>9</v>
      </c>
      <c r="D232">
        <v>4</v>
      </c>
      <c r="E232">
        <v>0</v>
      </c>
      <c r="F232">
        <v>1.1725240000000001E-3</v>
      </c>
      <c r="G232">
        <v>4.2295560000000002E-4</v>
      </c>
      <c r="H232">
        <v>5.7602000000000003E-6</v>
      </c>
      <c r="I232">
        <v>0</v>
      </c>
      <c r="J232">
        <v>0</v>
      </c>
      <c r="K232">
        <v>0</v>
      </c>
    </row>
    <row r="233" spans="1:11">
      <c r="A233">
        <v>3</v>
      </c>
      <c r="B233" t="s">
        <v>112</v>
      </c>
      <c r="C233">
        <v>10</v>
      </c>
      <c r="D233">
        <v>4</v>
      </c>
      <c r="E233">
        <v>0</v>
      </c>
      <c r="F233">
        <v>1.1403380000000001E-3</v>
      </c>
      <c r="G233">
        <v>4.245303E-4</v>
      </c>
      <c r="H233">
        <v>5.6918999999999997E-6</v>
      </c>
      <c r="I233">
        <v>0</v>
      </c>
      <c r="J233">
        <v>0</v>
      </c>
      <c r="K233">
        <v>0</v>
      </c>
    </row>
    <row r="234" spans="1:11">
      <c r="A234">
        <v>3</v>
      </c>
      <c r="B234" t="s">
        <v>112</v>
      </c>
      <c r="C234">
        <v>11</v>
      </c>
      <c r="D234">
        <v>0</v>
      </c>
      <c r="E234">
        <v>2</v>
      </c>
      <c r="F234">
        <v>0</v>
      </c>
      <c r="G234">
        <v>0</v>
      </c>
      <c r="H234">
        <v>0</v>
      </c>
      <c r="I234">
        <v>-5.6187699999999997E-5</v>
      </c>
      <c r="J234">
        <v>3.7005030000000002E-4</v>
      </c>
      <c r="K234">
        <v>-1.9709999999999998E-6</v>
      </c>
    </row>
    <row r="235" spans="1:11">
      <c r="A235">
        <v>3</v>
      </c>
      <c r="B235" t="s">
        <v>112</v>
      </c>
      <c r="C235">
        <v>12</v>
      </c>
      <c r="D235">
        <v>0</v>
      </c>
      <c r="E235">
        <v>2</v>
      </c>
      <c r="F235">
        <v>0</v>
      </c>
      <c r="G235">
        <v>0</v>
      </c>
      <c r="H235">
        <v>0</v>
      </c>
      <c r="I235">
        <v>-1.24623E-4</v>
      </c>
      <c r="J235">
        <v>3.6951950000000002E-4</v>
      </c>
      <c r="K235">
        <v>-1.8867000000000001E-6</v>
      </c>
    </row>
    <row r="236" spans="1:11">
      <c r="A236">
        <v>3</v>
      </c>
      <c r="B236" t="s">
        <v>112</v>
      </c>
      <c r="C236">
        <v>13</v>
      </c>
      <c r="D236">
        <v>0</v>
      </c>
      <c r="E236">
        <v>2</v>
      </c>
      <c r="F236">
        <v>0</v>
      </c>
      <c r="G236">
        <v>0</v>
      </c>
      <c r="H236">
        <v>0</v>
      </c>
      <c r="I236">
        <v>-1.9306379999999999E-4</v>
      </c>
      <c r="J236">
        <v>3.6901579999999999E-4</v>
      </c>
      <c r="K236">
        <v>-1.7795000000000001E-6</v>
      </c>
    </row>
    <row r="237" spans="1:11">
      <c r="A237">
        <v>3</v>
      </c>
      <c r="B237" t="s">
        <v>112</v>
      </c>
      <c r="C237">
        <v>14</v>
      </c>
      <c r="D237">
        <v>0</v>
      </c>
      <c r="E237">
        <v>2</v>
      </c>
      <c r="F237">
        <v>0</v>
      </c>
      <c r="G237">
        <v>0</v>
      </c>
      <c r="H237">
        <v>0</v>
      </c>
      <c r="I237">
        <v>-1.3804749999999999E-3</v>
      </c>
      <c r="J237">
        <v>4.1776319999999999E-4</v>
      </c>
      <c r="K237">
        <v>-1.2357E-5</v>
      </c>
    </row>
    <row r="238" spans="1:11">
      <c r="A238">
        <v>3</v>
      </c>
      <c r="B238" t="s">
        <v>112</v>
      </c>
      <c r="C238">
        <v>15</v>
      </c>
      <c r="D238">
        <v>0</v>
      </c>
      <c r="E238">
        <v>2</v>
      </c>
      <c r="F238">
        <v>0</v>
      </c>
      <c r="G238">
        <v>0</v>
      </c>
      <c r="H238">
        <v>0</v>
      </c>
      <c r="I238">
        <v>-1.3914159999999999E-3</v>
      </c>
      <c r="J238">
        <v>4.1435149999999999E-4</v>
      </c>
      <c r="K238">
        <v>-1.2455200000000001E-5</v>
      </c>
    </row>
    <row r="239" spans="1:11">
      <c r="A239">
        <v>3</v>
      </c>
      <c r="B239" t="s">
        <v>112</v>
      </c>
      <c r="C239">
        <v>16</v>
      </c>
      <c r="D239">
        <v>0</v>
      </c>
      <c r="E239">
        <v>2</v>
      </c>
      <c r="F239">
        <v>0</v>
      </c>
      <c r="G239">
        <v>0</v>
      </c>
      <c r="H239">
        <v>0</v>
      </c>
      <c r="I239">
        <v>-1.459922E-3</v>
      </c>
      <c r="J239">
        <v>4.1095059999999997E-4</v>
      </c>
      <c r="K239">
        <v>-1.2281599999999999E-5</v>
      </c>
    </row>
    <row r="240" spans="1:11">
      <c r="A240">
        <v>3</v>
      </c>
      <c r="B240" t="s">
        <v>112</v>
      </c>
      <c r="C240">
        <v>17</v>
      </c>
      <c r="D240">
        <v>0</v>
      </c>
      <c r="E240">
        <v>2</v>
      </c>
      <c r="F240">
        <v>0</v>
      </c>
      <c r="G240">
        <v>0</v>
      </c>
      <c r="H240">
        <v>0</v>
      </c>
      <c r="I240">
        <v>-2.7089950000000001E-3</v>
      </c>
      <c r="J240">
        <v>4.0778400000000001E-4</v>
      </c>
      <c r="K240">
        <v>-4.6563400000000002E-5</v>
      </c>
    </row>
    <row r="241" spans="1:11">
      <c r="A241">
        <v>3</v>
      </c>
      <c r="B241" t="s">
        <v>112</v>
      </c>
      <c r="C241">
        <v>18</v>
      </c>
      <c r="D241">
        <v>0</v>
      </c>
      <c r="E241">
        <v>2</v>
      </c>
      <c r="F241">
        <v>0</v>
      </c>
      <c r="G241">
        <v>0</v>
      </c>
      <c r="H241">
        <v>0</v>
      </c>
      <c r="I241">
        <v>-2.7442500000000002E-3</v>
      </c>
      <c r="J241">
        <v>3.949496E-4</v>
      </c>
      <c r="K241">
        <v>-4.6777399999999997E-5</v>
      </c>
    </row>
    <row r="242" spans="1:11">
      <c r="A242">
        <v>3</v>
      </c>
      <c r="B242" t="s">
        <v>112</v>
      </c>
      <c r="C242">
        <v>19</v>
      </c>
      <c r="D242">
        <v>0</v>
      </c>
      <c r="E242">
        <v>2</v>
      </c>
      <c r="F242">
        <v>0</v>
      </c>
      <c r="G242">
        <v>0</v>
      </c>
      <c r="H242">
        <v>0</v>
      </c>
      <c r="I242">
        <v>-2.8128810000000001E-3</v>
      </c>
      <c r="J242">
        <v>3.8212720000000002E-4</v>
      </c>
      <c r="K242">
        <v>-4.6482600000000001E-5</v>
      </c>
    </row>
    <row r="243" spans="1:11">
      <c r="A243">
        <v>3</v>
      </c>
      <c r="B243" t="s">
        <v>112</v>
      </c>
      <c r="C243">
        <v>20</v>
      </c>
      <c r="D243">
        <v>0</v>
      </c>
      <c r="E243">
        <v>2</v>
      </c>
      <c r="F243">
        <v>0</v>
      </c>
      <c r="G243">
        <v>0</v>
      </c>
      <c r="H243">
        <v>0</v>
      </c>
      <c r="I243">
        <v>-2.9706820000000001E-3</v>
      </c>
      <c r="J243">
        <v>1.7885270000000001E-4</v>
      </c>
      <c r="K243">
        <v>-1.3603730000000001E-4</v>
      </c>
    </row>
    <row r="244" spans="1:11">
      <c r="A244">
        <v>3</v>
      </c>
      <c r="B244" t="s">
        <v>112</v>
      </c>
      <c r="C244">
        <v>21</v>
      </c>
      <c r="D244">
        <v>0</v>
      </c>
      <c r="E244">
        <v>2</v>
      </c>
      <c r="F244">
        <v>0</v>
      </c>
      <c r="G244">
        <v>0</v>
      </c>
      <c r="H244">
        <v>0</v>
      </c>
      <c r="I244">
        <v>-3.0393120000000002E-3</v>
      </c>
      <c r="J244">
        <v>1.413807E-4</v>
      </c>
      <c r="K244">
        <v>-1.364898E-4</v>
      </c>
    </row>
    <row r="245" spans="1:11">
      <c r="A245">
        <v>3</v>
      </c>
      <c r="B245" t="s">
        <v>112</v>
      </c>
      <c r="C245">
        <v>22</v>
      </c>
      <c r="D245">
        <v>0</v>
      </c>
      <c r="E245">
        <v>2</v>
      </c>
      <c r="F245">
        <v>0</v>
      </c>
      <c r="G245">
        <v>0</v>
      </c>
      <c r="H245">
        <v>0</v>
      </c>
      <c r="I245">
        <v>-3.0763119999999999E-3</v>
      </c>
      <c r="J245">
        <v>1.0384790000000001E-4</v>
      </c>
      <c r="K245">
        <v>-1.3647910000000001E-4</v>
      </c>
    </row>
    <row r="246" spans="1:11">
      <c r="A246">
        <v>3</v>
      </c>
      <c r="B246" t="s">
        <v>112</v>
      </c>
      <c r="C246">
        <v>23</v>
      </c>
      <c r="D246">
        <v>0</v>
      </c>
      <c r="E246">
        <v>2</v>
      </c>
      <c r="F246">
        <v>0</v>
      </c>
      <c r="G246">
        <v>0</v>
      </c>
      <c r="H246">
        <v>0</v>
      </c>
      <c r="I246">
        <v>-3.467562E-3</v>
      </c>
      <c r="J246">
        <v>-1.092172E-4</v>
      </c>
      <c r="K246">
        <v>-1.3603209999999999E-4</v>
      </c>
    </row>
    <row r="247" spans="1:11">
      <c r="A247">
        <v>3</v>
      </c>
      <c r="B247" t="s">
        <v>112</v>
      </c>
      <c r="C247">
        <v>24</v>
      </c>
      <c r="D247">
        <v>4</v>
      </c>
      <c r="E247">
        <v>0</v>
      </c>
      <c r="F247">
        <v>3.502275E-3</v>
      </c>
      <c r="G247">
        <v>1.2488430000000001E-4</v>
      </c>
      <c r="H247">
        <v>1.8587120000000001E-4</v>
      </c>
      <c r="I247">
        <v>0</v>
      </c>
      <c r="J247">
        <v>0</v>
      </c>
      <c r="K247">
        <v>0</v>
      </c>
    </row>
    <row r="248" spans="1:11">
      <c r="A248">
        <v>3</v>
      </c>
      <c r="B248" t="s">
        <v>112</v>
      </c>
      <c r="C248">
        <v>25</v>
      </c>
      <c r="D248">
        <v>4</v>
      </c>
      <c r="E248">
        <v>0</v>
      </c>
      <c r="F248">
        <v>2.4689859999999998E-3</v>
      </c>
      <c r="G248">
        <v>4.5557129999999999E-4</v>
      </c>
      <c r="H248">
        <v>3.5014400000000001E-5</v>
      </c>
      <c r="I248">
        <v>0</v>
      </c>
      <c r="J248">
        <v>0</v>
      </c>
      <c r="K248">
        <v>0</v>
      </c>
    </row>
    <row r="249" spans="1:11">
      <c r="A249">
        <v>3</v>
      </c>
      <c r="B249" t="s">
        <v>112</v>
      </c>
      <c r="C249">
        <v>26</v>
      </c>
      <c r="D249">
        <v>4</v>
      </c>
      <c r="E249">
        <v>0</v>
      </c>
      <c r="F249">
        <v>1.165213E-3</v>
      </c>
      <c r="G249">
        <v>4.2212819999999998E-4</v>
      </c>
      <c r="H249">
        <v>6.6370000000000002E-6</v>
      </c>
      <c r="I249">
        <v>0</v>
      </c>
      <c r="J249">
        <v>0</v>
      </c>
      <c r="K249">
        <v>0</v>
      </c>
    </row>
    <row r="250" spans="1:11">
      <c r="A250">
        <v>3</v>
      </c>
      <c r="B250" t="s">
        <v>112</v>
      </c>
      <c r="C250">
        <v>27</v>
      </c>
      <c r="D250">
        <v>0</v>
      </c>
      <c r="E250">
        <v>2</v>
      </c>
      <c r="F250">
        <v>0</v>
      </c>
      <c r="G250">
        <v>0</v>
      </c>
      <c r="H250">
        <v>0</v>
      </c>
      <c r="I250">
        <v>-1.223516E-4</v>
      </c>
      <c r="J250">
        <v>3.6879970000000003E-4</v>
      </c>
      <c r="K250">
        <v>-1.9748999999999999E-6</v>
      </c>
    </row>
    <row r="251" spans="1:11">
      <c r="A251">
        <v>3</v>
      </c>
      <c r="B251" t="s">
        <v>112</v>
      </c>
      <c r="C251">
        <v>28</v>
      </c>
      <c r="D251">
        <v>0</v>
      </c>
      <c r="E251">
        <v>2</v>
      </c>
      <c r="F251">
        <v>0</v>
      </c>
      <c r="G251">
        <v>0</v>
      </c>
      <c r="H251">
        <v>0</v>
      </c>
      <c r="I251">
        <v>-1.3761509999999999E-3</v>
      </c>
      <c r="J251">
        <v>4.1354139999999999E-4</v>
      </c>
      <c r="K251">
        <v>-1.3473599999999999E-5</v>
      </c>
    </row>
    <row r="252" spans="1:11">
      <c r="A252">
        <v>3</v>
      </c>
      <c r="B252" t="s">
        <v>112</v>
      </c>
      <c r="C252">
        <v>29</v>
      </c>
      <c r="D252">
        <v>0</v>
      </c>
      <c r="E252">
        <v>2</v>
      </c>
      <c r="F252">
        <v>0</v>
      </c>
      <c r="G252">
        <v>0</v>
      </c>
      <c r="H252">
        <v>0</v>
      </c>
      <c r="I252">
        <v>-2.688097E-3</v>
      </c>
      <c r="J252">
        <v>3.9417860000000001E-4</v>
      </c>
      <c r="K252">
        <v>-4.8698600000000002E-5</v>
      </c>
    </row>
    <row r="253" spans="1:11">
      <c r="A253">
        <v>3</v>
      </c>
      <c r="B253" t="s">
        <v>112</v>
      </c>
      <c r="C253">
        <v>30</v>
      </c>
      <c r="D253">
        <v>0</v>
      </c>
      <c r="E253">
        <v>2</v>
      </c>
      <c r="F253">
        <v>0</v>
      </c>
      <c r="G253">
        <v>0</v>
      </c>
      <c r="H253">
        <v>0</v>
      </c>
      <c r="I253">
        <v>-2.8778229999999998E-3</v>
      </c>
      <c r="J253">
        <v>1.411192E-4</v>
      </c>
      <c r="K253">
        <v>-1.382845E-4</v>
      </c>
    </row>
    <row r="254" spans="1:11">
      <c r="A254">
        <v>3</v>
      </c>
      <c r="B254" t="s">
        <v>112</v>
      </c>
      <c r="C254">
        <v>31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</row>
    <row r="255" spans="1:11">
      <c r="A255">
        <v>3</v>
      </c>
      <c r="B255" t="s">
        <v>112</v>
      </c>
      <c r="C255">
        <v>32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</row>
    <row r="256" spans="1:11">
      <c r="A256">
        <v>3</v>
      </c>
      <c r="B256" t="s">
        <v>112</v>
      </c>
      <c r="C256">
        <v>33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</row>
    <row r="257" spans="1:11">
      <c r="A257">
        <v>3</v>
      </c>
      <c r="B257" t="s">
        <v>112</v>
      </c>
      <c r="C257">
        <v>34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1:11">
      <c r="A258">
        <v>3</v>
      </c>
      <c r="B258" t="s">
        <v>112</v>
      </c>
      <c r="C258">
        <v>35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1:11">
      <c r="A259">
        <v>3</v>
      </c>
      <c r="B259" t="s">
        <v>112</v>
      </c>
      <c r="C259">
        <v>36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1:11">
      <c r="A260">
        <v>3</v>
      </c>
      <c r="B260" t="s">
        <v>112</v>
      </c>
      <c r="C260">
        <v>37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1:11">
      <c r="A261">
        <v>3</v>
      </c>
      <c r="B261" t="s">
        <v>113</v>
      </c>
      <c r="C261">
        <v>1</v>
      </c>
      <c r="D261">
        <v>2</v>
      </c>
      <c r="E261">
        <v>1</v>
      </c>
      <c r="F261">
        <v>8.149346E-4</v>
      </c>
      <c r="G261">
        <v>3.0150400000000002E-4</v>
      </c>
      <c r="H261">
        <v>2.86336E-5</v>
      </c>
      <c r="I261">
        <v>4.1393990000000002E-3</v>
      </c>
      <c r="J261">
        <v>-2.1373550000000001E-4</v>
      </c>
      <c r="K261">
        <v>1.831022E-4</v>
      </c>
    </row>
    <row r="262" spans="1:11">
      <c r="A262">
        <v>3</v>
      </c>
      <c r="B262" t="s">
        <v>113</v>
      </c>
      <c r="C262">
        <v>2</v>
      </c>
      <c r="D262">
        <v>2</v>
      </c>
      <c r="E262">
        <v>0</v>
      </c>
      <c r="F262">
        <v>7.3668469999999995E-4</v>
      </c>
      <c r="G262">
        <v>3.464904E-4</v>
      </c>
      <c r="H262">
        <v>2.9080600000000001E-5</v>
      </c>
      <c r="I262">
        <v>0</v>
      </c>
      <c r="J262">
        <v>0</v>
      </c>
      <c r="K262">
        <v>0</v>
      </c>
    </row>
    <row r="263" spans="1:11">
      <c r="A263">
        <v>3</v>
      </c>
      <c r="B263" t="s">
        <v>113</v>
      </c>
      <c r="C263">
        <v>3</v>
      </c>
      <c r="D263">
        <v>2</v>
      </c>
      <c r="E263">
        <v>0</v>
      </c>
      <c r="F263">
        <v>7.3033470000000004E-4</v>
      </c>
      <c r="G263">
        <v>3.5448860000000001E-4</v>
      </c>
      <c r="H263">
        <v>2.9091400000000001E-5</v>
      </c>
      <c r="I263">
        <v>0</v>
      </c>
      <c r="J263">
        <v>0</v>
      </c>
      <c r="K263">
        <v>0</v>
      </c>
    </row>
    <row r="264" spans="1:11">
      <c r="A264">
        <v>3</v>
      </c>
      <c r="B264" t="s">
        <v>113</v>
      </c>
      <c r="C264">
        <v>4</v>
      </c>
      <c r="D264">
        <v>2</v>
      </c>
      <c r="E264">
        <v>0</v>
      </c>
      <c r="F264">
        <v>7.1661420000000003E-4</v>
      </c>
      <c r="G264">
        <v>3.6247550000000002E-4</v>
      </c>
      <c r="H264">
        <v>2.8994999999999999E-5</v>
      </c>
      <c r="I264">
        <v>0</v>
      </c>
      <c r="J264">
        <v>0</v>
      </c>
      <c r="K264">
        <v>0</v>
      </c>
    </row>
    <row r="265" spans="1:11">
      <c r="A265">
        <v>3</v>
      </c>
      <c r="B265" t="s">
        <v>113</v>
      </c>
      <c r="C265">
        <v>5</v>
      </c>
      <c r="D265">
        <v>2</v>
      </c>
      <c r="E265">
        <v>0</v>
      </c>
      <c r="F265">
        <v>2.5634379999999999E-3</v>
      </c>
      <c r="G265">
        <v>4.5469059999999999E-4</v>
      </c>
      <c r="H265">
        <v>3.2092599999999998E-5</v>
      </c>
      <c r="I265">
        <v>0</v>
      </c>
      <c r="J265">
        <v>0</v>
      </c>
      <c r="K265">
        <v>0</v>
      </c>
    </row>
    <row r="266" spans="1:11">
      <c r="A266">
        <v>3</v>
      </c>
      <c r="B266" t="s">
        <v>113</v>
      </c>
      <c r="C266">
        <v>6</v>
      </c>
      <c r="D266">
        <v>2</v>
      </c>
      <c r="E266">
        <v>0</v>
      </c>
      <c r="F266">
        <v>2.4948309999999999E-3</v>
      </c>
      <c r="G266">
        <v>4.6355339999999999E-4</v>
      </c>
      <c r="H266">
        <v>3.2372000000000001E-5</v>
      </c>
      <c r="I266">
        <v>0</v>
      </c>
      <c r="J266">
        <v>0</v>
      </c>
      <c r="K266">
        <v>0</v>
      </c>
    </row>
    <row r="267" spans="1:11">
      <c r="A267">
        <v>3</v>
      </c>
      <c r="B267" t="s">
        <v>113</v>
      </c>
      <c r="C267">
        <v>7</v>
      </c>
      <c r="D267">
        <v>2</v>
      </c>
      <c r="E267">
        <v>0</v>
      </c>
      <c r="F267">
        <v>2.4618399999999999E-3</v>
      </c>
      <c r="G267">
        <v>4.7242969999999998E-4</v>
      </c>
      <c r="H267">
        <v>3.2181699999999997E-5</v>
      </c>
      <c r="I267">
        <v>0</v>
      </c>
      <c r="J267">
        <v>0</v>
      </c>
      <c r="K267">
        <v>0</v>
      </c>
    </row>
    <row r="268" spans="1:11">
      <c r="A268">
        <v>3</v>
      </c>
      <c r="B268" t="s">
        <v>113</v>
      </c>
      <c r="C268">
        <v>8</v>
      </c>
      <c r="D268">
        <v>2</v>
      </c>
      <c r="E268">
        <v>0</v>
      </c>
      <c r="F268">
        <v>1.226757E-3</v>
      </c>
      <c r="G268">
        <v>4.2538809999999999E-4</v>
      </c>
      <c r="H268">
        <v>4.9809E-6</v>
      </c>
      <c r="I268">
        <v>0</v>
      </c>
      <c r="J268">
        <v>0</v>
      </c>
      <c r="K268">
        <v>0</v>
      </c>
    </row>
    <row r="269" spans="1:11">
      <c r="A269">
        <v>3</v>
      </c>
      <c r="B269" t="s">
        <v>113</v>
      </c>
      <c r="C269">
        <v>9</v>
      </c>
      <c r="D269">
        <v>2</v>
      </c>
      <c r="E269">
        <v>0</v>
      </c>
      <c r="F269">
        <v>1.1582649999999999E-3</v>
      </c>
      <c r="G269">
        <v>4.2678010000000001E-4</v>
      </c>
      <c r="H269">
        <v>5.1462E-6</v>
      </c>
      <c r="I269">
        <v>0</v>
      </c>
      <c r="J269">
        <v>0</v>
      </c>
      <c r="K269">
        <v>0</v>
      </c>
    </row>
    <row r="270" spans="1:11">
      <c r="A270">
        <v>3</v>
      </c>
      <c r="B270" t="s">
        <v>113</v>
      </c>
      <c r="C270">
        <v>10</v>
      </c>
      <c r="D270">
        <v>2</v>
      </c>
      <c r="E270">
        <v>0</v>
      </c>
      <c r="F270">
        <v>1.12608E-3</v>
      </c>
      <c r="G270">
        <v>4.2818609999999998E-4</v>
      </c>
      <c r="H270">
        <v>5.0784999999999997E-6</v>
      </c>
      <c r="I270">
        <v>0</v>
      </c>
      <c r="J270">
        <v>0</v>
      </c>
      <c r="K270">
        <v>0</v>
      </c>
    </row>
    <row r="271" spans="1:11">
      <c r="A271">
        <v>3</v>
      </c>
      <c r="B271" t="s">
        <v>113</v>
      </c>
      <c r="C271">
        <v>11</v>
      </c>
      <c r="D271">
        <v>2</v>
      </c>
      <c r="E271">
        <v>0</v>
      </c>
      <c r="F271">
        <v>-5.6187699999999997E-5</v>
      </c>
      <c r="G271">
        <v>3.7005030000000002E-4</v>
      </c>
      <c r="H271">
        <v>-1.9709999999999998E-6</v>
      </c>
      <c r="I271">
        <v>0</v>
      </c>
      <c r="J271">
        <v>0</v>
      </c>
      <c r="K271">
        <v>0</v>
      </c>
    </row>
    <row r="272" spans="1:11">
      <c r="A272">
        <v>3</v>
      </c>
      <c r="B272" t="s">
        <v>113</v>
      </c>
      <c r="C272">
        <v>12</v>
      </c>
      <c r="D272">
        <v>3</v>
      </c>
      <c r="E272">
        <v>0</v>
      </c>
      <c r="F272">
        <v>-1.114467E-4</v>
      </c>
      <c r="G272">
        <v>3.695196E-4</v>
      </c>
      <c r="H272">
        <v>-1.3908000000000001E-6</v>
      </c>
      <c r="I272">
        <v>0</v>
      </c>
      <c r="J272">
        <v>0</v>
      </c>
      <c r="K272">
        <v>0</v>
      </c>
    </row>
    <row r="273" spans="1:11">
      <c r="A273">
        <v>3</v>
      </c>
      <c r="B273" t="s">
        <v>113</v>
      </c>
      <c r="C273">
        <v>13</v>
      </c>
      <c r="D273">
        <v>4</v>
      </c>
      <c r="E273">
        <v>0</v>
      </c>
      <c r="F273">
        <v>-1.788073E-4</v>
      </c>
      <c r="G273">
        <v>3.6923449999999998E-4</v>
      </c>
      <c r="H273">
        <v>-9.8470000000000008E-7</v>
      </c>
      <c r="I273">
        <v>0</v>
      </c>
      <c r="J273">
        <v>0</v>
      </c>
      <c r="K273">
        <v>0</v>
      </c>
    </row>
    <row r="274" spans="1:11">
      <c r="A274">
        <v>3</v>
      </c>
      <c r="B274" t="s">
        <v>113</v>
      </c>
      <c r="C274">
        <v>14</v>
      </c>
      <c r="D274">
        <v>4</v>
      </c>
      <c r="E274">
        <v>0</v>
      </c>
      <c r="F274">
        <v>-1.3662170000000001E-3</v>
      </c>
      <c r="G274">
        <v>4.2141900000000003E-4</v>
      </c>
      <c r="H274">
        <v>-1.1743700000000001E-5</v>
      </c>
      <c r="I274">
        <v>0</v>
      </c>
      <c r="J274">
        <v>0</v>
      </c>
      <c r="K274">
        <v>0</v>
      </c>
    </row>
    <row r="275" spans="1:11">
      <c r="A275">
        <v>3</v>
      </c>
      <c r="B275" t="s">
        <v>113</v>
      </c>
      <c r="C275">
        <v>15</v>
      </c>
      <c r="D275">
        <v>4</v>
      </c>
      <c r="E275">
        <v>0</v>
      </c>
      <c r="F275">
        <v>-1.3771580000000001E-3</v>
      </c>
      <c r="G275">
        <v>4.1817599999999998E-4</v>
      </c>
      <c r="H275">
        <v>-1.1841199999999999E-5</v>
      </c>
      <c r="I275">
        <v>0</v>
      </c>
      <c r="J275">
        <v>0</v>
      </c>
      <c r="K275">
        <v>0</v>
      </c>
    </row>
    <row r="276" spans="1:11">
      <c r="A276">
        <v>3</v>
      </c>
      <c r="B276" t="s">
        <v>113</v>
      </c>
      <c r="C276">
        <v>16</v>
      </c>
      <c r="D276">
        <v>4</v>
      </c>
      <c r="E276">
        <v>0</v>
      </c>
      <c r="F276">
        <v>-1.4456639999999999E-3</v>
      </c>
      <c r="G276">
        <v>4.1494390000000001E-4</v>
      </c>
      <c r="H276">
        <v>-1.1669E-5</v>
      </c>
      <c r="I276">
        <v>0</v>
      </c>
      <c r="J276">
        <v>0</v>
      </c>
      <c r="K276">
        <v>0</v>
      </c>
    </row>
    <row r="277" spans="1:11">
      <c r="A277">
        <v>3</v>
      </c>
      <c r="B277" t="s">
        <v>113</v>
      </c>
      <c r="C277">
        <v>17</v>
      </c>
      <c r="D277">
        <v>4</v>
      </c>
      <c r="E277">
        <v>0</v>
      </c>
      <c r="F277">
        <v>-2.694695E-3</v>
      </c>
      <c r="G277">
        <v>4.1463859999999998E-4</v>
      </c>
      <c r="H277">
        <v>-4.5717100000000003E-5</v>
      </c>
      <c r="I277">
        <v>0</v>
      </c>
      <c r="J277">
        <v>0</v>
      </c>
      <c r="K277">
        <v>0</v>
      </c>
    </row>
    <row r="278" spans="1:11">
      <c r="A278">
        <v>3</v>
      </c>
      <c r="B278" t="s">
        <v>113</v>
      </c>
      <c r="C278">
        <v>18</v>
      </c>
      <c r="D278">
        <v>4</v>
      </c>
      <c r="E278">
        <v>0</v>
      </c>
      <c r="F278">
        <v>-2.729951E-3</v>
      </c>
      <c r="G278">
        <v>4.0203709999999998E-4</v>
      </c>
      <c r="H278">
        <v>-4.5929200000000001E-5</v>
      </c>
      <c r="I278">
        <v>0</v>
      </c>
      <c r="J278">
        <v>0</v>
      </c>
      <c r="K278">
        <v>0</v>
      </c>
    </row>
    <row r="279" spans="1:11">
      <c r="A279">
        <v>3</v>
      </c>
      <c r="B279" t="s">
        <v>113</v>
      </c>
      <c r="C279">
        <v>19</v>
      </c>
      <c r="D279">
        <v>4</v>
      </c>
      <c r="E279">
        <v>0</v>
      </c>
      <c r="F279">
        <v>-2.7985810000000001E-3</v>
      </c>
      <c r="G279">
        <v>3.8944799999999998E-4</v>
      </c>
      <c r="H279">
        <v>-4.5634099999999997E-5</v>
      </c>
      <c r="I279">
        <v>0</v>
      </c>
      <c r="J279">
        <v>0</v>
      </c>
      <c r="K279">
        <v>0</v>
      </c>
    </row>
    <row r="280" spans="1:11">
      <c r="A280">
        <v>3</v>
      </c>
      <c r="B280" t="s">
        <v>113</v>
      </c>
      <c r="C280">
        <v>20</v>
      </c>
      <c r="D280">
        <v>4</v>
      </c>
      <c r="E280">
        <v>0</v>
      </c>
      <c r="F280">
        <v>-5.792681E-4</v>
      </c>
      <c r="G280">
        <v>3.5304720000000001E-4</v>
      </c>
      <c r="H280">
        <v>-1.5194199999999999E-5</v>
      </c>
      <c r="I280">
        <v>0</v>
      </c>
      <c r="J280">
        <v>0</v>
      </c>
      <c r="K280">
        <v>0</v>
      </c>
    </row>
    <row r="281" spans="1:11">
      <c r="A281">
        <v>3</v>
      </c>
      <c r="B281" t="s">
        <v>113</v>
      </c>
      <c r="C281">
        <v>21</v>
      </c>
      <c r="D281">
        <v>4</v>
      </c>
      <c r="E281">
        <v>0</v>
      </c>
      <c r="F281">
        <v>-5.9299210000000001E-4</v>
      </c>
      <c r="G281">
        <v>3.4885750000000001E-4</v>
      </c>
      <c r="H281">
        <v>-1.5276000000000001E-5</v>
      </c>
      <c r="I281">
        <v>0</v>
      </c>
      <c r="J281">
        <v>0</v>
      </c>
      <c r="K281">
        <v>0</v>
      </c>
    </row>
    <row r="282" spans="1:11">
      <c r="A282">
        <v>3</v>
      </c>
      <c r="B282" t="s">
        <v>113</v>
      </c>
      <c r="C282">
        <v>22</v>
      </c>
      <c r="D282">
        <v>4</v>
      </c>
      <c r="E282">
        <v>0</v>
      </c>
      <c r="F282">
        <v>-6.0039209999999997E-4</v>
      </c>
      <c r="G282">
        <v>3.4465860000000001E-4</v>
      </c>
      <c r="H282">
        <v>-1.5265200000000001E-5</v>
      </c>
      <c r="I282">
        <v>0</v>
      </c>
      <c r="J282">
        <v>0</v>
      </c>
      <c r="K282">
        <v>0</v>
      </c>
    </row>
    <row r="283" spans="1:11">
      <c r="A283">
        <v>3</v>
      </c>
      <c r="B283" t="s">
        <v>113</v>
      </c>
      <c r="C283">
        <v>23</v>
      </c>
      <c r="D283">
        <v>4</v>
      </c>
      <c r="E283">
        <v>1</v>
      </c>
      <c r="F283">
        <v>-6.7864200000000003E-4</v>
      </c>
      <c r="G283">
        <v>3.212933E-4</v>
      </c>
      <c r="H283">
        <v>-1.48182E-5</v>
      </c>
      <c r="I283">
        <v>-3.4644680000000001E-3</v>
      </c>
      <c r="J283">
        <v>-1.1052640000000001E-4</v>
      </c>
      <c r="K283">
        <v>-1.3585140000000001E-4</v>
      </c>
    </row>
    <row r="284" spans="1:11">
      <c r="A284">
        <v>3</v>
      </c>
      <c r="B284" t="s">
        <v>113</v>
      </c>
      <c r="C284">
        <v>24</v>
      </c>
      <c r="D284">
        <v>2</v>
      </c>
      <c r="E284">
        <v>0</v>
      </c>
      <c r="F284">
        <v>6.9587559999999998E-4</v>
      </c>
      <c r="G284">
        <v>3.5379889999999998E-4</v>
      </c>
      <c r="H284">
        <v>2.9537199999999999E-5</v>
      </c>
      <c r="I284">
        <v>0</v>
      </c>
      <c r="J284">
        <v>0</v>
      </c>
      <c r="K284">
        <v>0</v>
      </c>
    </row>
    <row r="285" spans="1:11">
      <c r="A285">
        <v>3</v>
      </c>
      <c r="B285" t="s">
        <v>113</v>
      </c>
      <c r="C285">
        <v>25</v>
      </c>
      <c r="D285">
        <v>2</v>
      </c>
      <c r="E285">
        <v>0</v>
      </c>
      <c r="F285">
        <v>2.4556880000000001E-3</v>
      </c>
      <c r="G285">
        <v>4.626446E-4</v>
      </c>
      <c r="H285">
        <v>3.4158500000000002E-5</v>
      </c>
      <c r="I285">
        <v>0</v>
      </c>
      <c r="J285">
        <v>0</v>
      </c>
      <c r="K285">
        <v>0</v>
      </c>
    </row>
    <row r="286" spans="1:11">
      <c r="A286">
        <v>3</v>
      </c>
      <c r="B286" t="s">
        <v>113</v>
      </c>
      <c r="C286">
        <v>26</v>
      </c>
      <c r="D286">
        <v>2</v>
      </c>
      <c r="E286">
        <v>0</v>
      </c>
      <c r="F286">
        <v>1.1516810000000001E-3</v>
      </c>
      <c r="G286">
        <v>4.2594520000000002E-4</v>
      </c>
      <c r="H286">
        <v>6.0144000000000004E-6</v>
      </c>
      <c r="I286">
        <v>0</v>
      </c>
      <c r="J286">
        <v>0</v>
      </c>
      <c r="K286">
        <v>0</v>
      </c>
    </row>
    <row r="287" spans="1:11">
      <c r="A287">
        <v>3</v>
      </c>
      <c r="B287" t="s">
        <v>113</v>
      </c>
      <c r="C287">
        <v>27</v>
      </c>
      <c r="D287">
        <v>3</v>
      </c>
      <c r="E287">
        <v>0</v>
      </c>
      <c r="F287">
        <v>-1.09763E-4</v>
      </c>
      <c r="G287">
        <v>3.6879970000000003E-4</v>
      </c>
      <c r="H287">
        <v>-1.4708E-6</v>
      </c>
      <c r="I287">
        <v>0</v>
      </c>
      <c r="J287">
        <v>0</v>
      </c>
      <c r="K287">
        <v>0</v>
      </c>
    </row>
    <row r="288" spans="1:11">
      <c r="A288">
        <v>3</v>
      </c>
      <c r="B288" t="s">
        <v>113</v>
      </c>
      <c r="C288">
        <v>28</v>
      </c>
      <c r="D288">
        <v>4</v>
      </c>
      <c r="E288">
        <v>0</v>
      </c>
      <c r="F288">
        <v>-1.362619E-3</v>
      </c>
      <c r="G288">
        <v>4.1735840000000003E-4</v>
      </c>
      <c r="H288">
        <v>-1.2850999999999999E-5</v>
      </c>
      <c r="I288">
        <v>0</v>
      </c>
      <c r="J288">
        <v>0</v>
      </c>
      <c r="K288">
        <v>0</v>
      </c>
    </row>
    <row r="289" spans="1:11">
      <c r="A289">
        <v>3</v>
      </c>
      <c r="B289" t="s">
        <v>113</v>
      </c>
      <c r="C289">
        <v>29</v>
      </c>
      <c r="D289">
        <v>4</v>
      </c>
      <c r="E289">
        <v>0</v>
      </c>
      <c r="F289">
        <v>-2.6747989999999998E-3</v>
      </c>
      <c r="G289">
        <v>4.0125190000000002E-4</v>
      </c>
      <c r="H289">
        <v>-4.7842700000000002E-5</v>
      </c>
      <c r="I289">
        <v>0</v>
      </c>
      <c r="J289">
        <v>0</v>
      </c>
      <c r="K289">
        <v>0</v>
      </c>
    </row>
    <row r="290" spans="1:11">
      <c r="A290">
        <v>3</v>
      </c>
      <c r="B290" t="s">
        <v>113</v>
      </c>
      <c r="C290">
        <v>30</v>
      </c>
      <c r="D290">
        <v>4</v>
      </c>
      <c r="E290">
        <v>0</v>
      </c>
      <c r="F290">
        <v>-5.7479829999999995E-4</v>
      </c>
      <c r="G290">
        <v>3.4817909999999998E-4</v>
      </c>
      <c r="H290">
        <v>-1.5670799999999999E-5</v>
      </c>
      <c r="I290">
        <v>0</v>
      </c>
      <c r="J290">
        <v>0</v>
      </c>
      <c r="K290">
        <v>0</v>
      </c>
    </row>
    <row r="291" spans="1:11">
      <c r="A291">
        <v>3</v>
      </c>
      <c r="B291" t="s">
        <v>113</v>
      </c>
      <c r="C291">
        <v>31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1:11">
      <c r="A292">
        <v>3</v>
      </c>
      <c r="B292" t="s">
        <v>113</v>
      </c>
      <c r="C292">
        <v>32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</row>
    <row r="293" spans="1:11">
      <c r="A293">
        <v>3</v>
      </c>
      <c r="B293" t="s">
        <v>113</v>
      </c>
      <c r="C293">
        <v>33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</row>
    <row r="294" spans="1:11">
      <c r="A294">
        <v>3</v>
      </c>
      <c r="B294" t="s">
        <v>113</v>
      </c>
      <c r="C294">
        <v>34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</row>
    <row r="295" spans="1:11">
      <c r="A295">
        <v>3</v>
      </c>
      <c r="B295" t="s">
        <v>113</v>
      </c>
      <c r="C295">
        <v>35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</row>
    <row r="296" spans="1:11">
      <c r="A296">
        <v>3</v>
      </c>
      <c r="B296" t="s">
        <v>113</v>
      </c>
      <c r="C296">
        <v>36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</row>
    <row r="297" spans="1:11">
      <c r="A297">
        <v>3</v>
      </c>
      <c r="B297" t="s">
        <v>113</v>
      </c>
      <c r="C297">
        <v>37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</row>
    <row r="298" spans="1:11">
      <c r="A298">
        <v>3</v>
      </c>
      <c r="B298" t="s">
        <v>114</v>
      </c>
      <c r="C298">
        <v>1</v>
      </c>
      <c r="D298">
        <v>4</v>
      </c>
      <c r="E298">
        <v>0</v>
      </c>
      <c r="F298">
        <v>4.1424929999999997E-3</v>
      </c>
      <c r="G298">
        <v>-2.1242630000000001E-4</v>
      </c>
      <c r="H298">
        <v>1.8328299999999999E-4</v>
      </c>
      <c r="I298">
        <v>0</v>
      </c>
      <c r="J298">
        <v>0</v>
      </c>
      <c r="K298">
        <v>0</v>
      </c>
    </row>
    <row r="299" spans="1:11">
      <c r="A299">
        <v>3</v>
      </c>
      <c r="B299" t="s">
        <v>114</v>
      </c>
      <c r="C299">
        <v>2</v>
      </c>
      <c r="D299">
        <v>4</v>
      </c>
      <c r="E299">
        <v>0</v>
      </c>
      <c r="F299">
        <v>3.751243E-3</v>
      </c>
      <c r="G299">
        <v>7.4586399999999995E-5</v>
      </c>
      <c r="H299">
        <v>1.8373E-4</v>
      </c>
      <c r="I299">
        <v>0</v>
      </c>
      <c r="J299">
        <v>0</v>
      </c>
      <c r="K299">
        <v>0</v>
      </c>
    </row>
    <row r="300" spans="1:11">
      <c r="A300">
        <v>3</v>
      </c>
      <c r="B300" t="s">
        <v>114</v>
      </c>
      <c r="C300">
        <v>3</v>
      </c>
      <c r="D300">
        <v>4</v>
      </c>
      <c r="E300">
        <v>0</v>
      </c>
      <c r="F300">
        <v>3.7194929999999999E-3</v>
      </c>
      <c r="G300">
        <v>1.2511320000000001E-4</v>
      </c>
      <c r="H300">
        <v>1.8374059999999999E-4</v>
      </c>
      <c r="I300">
        <v>0</v>
      </c>
      <c r="J300">
        <v>0</v>
      </c>
      <c r="K300">
        <v>0</v>
      </c>
    </row>
    <row r="301" spans="1:11">
      <c r="A301">
        <v>3</v>
      </c>
      <c r="B301" t="s">
        <v>114</v>
      </c>
      <c r="C301">
        <v>4</v>
      </c>
      <c r="D301">
        <v>4</v>
      </c>
      <c r="E301">
        <v>0</v>
      </c>
      <c r="F301">
        <v>3.6508859999999999E-3</v>
      </c>
      <c r="G301">
        <v>1.755665E-4</v>
      </c>
      <c r="H301">
        <v>1.8319669999999999E-4</v>
      </c>
      <c r="I301">
        <v>0</v>
      </c>
      <c r="J301">
        <v>0</v>
      </c>
      <c r="K301">
        <v>0</v>
      </c>
    </row>
    <row r="302" spans="1:11">
      <c r="A302">
        <v>3</v>
      </c>
      <c r="B302" t="s">
        <v>114</v>
      </c>
      <c r="C302">
        <v>5</v>
      </c>
      <c r="D302">
        <v>4</v>
      </c>
      <c r="E302">
        <v>0</v>
      </c>
      <c r="F302">
        <v>2.5777370000000001E-3</v>
      </c>
      <c r="G302">
        <v>4.473697E-4</v>
      </c>
      <c r="H302">
        <v>3.2941200000000002E-5</v>
      </c>
      <c r="I302">
        <v>0</v>
      </c>
      <c r="J302">
        <v>0</v>
      </c>
      <c r="K302">
        <v>0</v>
      </c>
    </row>
    <row r="303" spans="1:11">
      <c r="A303">
        <v>3</v>
      </c>
      <c r="B303" t="s">
        <v>114</v>
      </c>
      <c r="C303">
        <v>6</v>
      </c>
      <c r="D303">
        <v>4</v>
      </c>
      <c r="E303">
        <v>0</v>
      </c>
      <c r="F303">
        <v>2.50913E-3</v>
      </c>
      <c r="G303">
        <v>4.5646590000000001E-4</v>
      </c>
      <c r="H303">
        <v>3.3220199999999997E-5</v>
      </c>
      <c r="I303">
        <v>0</v>
      </c>
      <c r="J303">
        <v>0</v>
      </c>
      <c r="K303">
        <v>0</v>
      </c>
    </row>
    <row r="304" spans="1:11">
      <c r="A304">
        <v>3</v>
      </c>
      <c r="B304" t="s">
        <v>114</v>
      </c>
      <c r="C304">
        <v>7</v>
      </c>
      <c r="D304">
        <v>4</v>
      </c>
      <c r="E304">
        <v>0</v>
      </c>
      <c r="F304">
        <v>2.476139E-3</v>
      </c>
      <c r="G304">
        <v>4.6557510000000001E-4</v>
      </c>
      <c r="H304">
        <v>3.3027900000000003E-5</v>
      </c>
      <c r="I304">
        <v>0</v>
      </c>
      <c r="J304">
        <v>0</v>
      </c>
      <c r="K304">
        <v>0</v>
      </c>
    </row>
    <row r="305" spans="1:11">
      <c r="A305">
        <v>3</v>
      </c>
      <c r="B305" t="s">
        <v>114</v>
      </c>
      <c r="C305">
        <v>8</v>
      </c>
      <c r="D305">
        <v>4</v>
      </c>
      <c r="E305">
        <v>2</v>
      </c>
      <c r="F305">
        <v>1.241015E-3</v>
      </c>
      <c r="G305">
        <v>4.2139489999999999E-4</v>
      </c>
      <c r="H305">
        <v>5.5934999999999999E-6</v>
      </c>
      <c r="I305">
        <v>2.3766830000000001E-4</v>
      </c>
      <c r="J305">
        <v>3.44426E-4</v>
      </c>
      <c r="K305">
        <v>-1.0702999999999999E-6</v>
      </c>
    </row>
    <row r="306" spans="1:11">
      <c r="A306">
        <v>3</v>
      </c>
      <c r="B306" t="s">
        <v>114</v>
      </c>
      <c r="C306">
        <v>9</v>
      </c>
      <c r="D306">
        <v>4</v>
      </c>
      <c r="E306">
        <v>2</v>
      </c>
      <c r="F306">
        <v>1.1725240000000001E-3</v>
      </c>
      <c r="G306">
        <v>4.2295560000000002E-4</v>
      </c>
      <c r="H306">
        <v>5.7602000000000003E-6</v>
      </c>
      <c r="I306">
        <v>2.2397199999999999E-4</v>
      </c>
      <c r="J306">
        <v>3.4413580000000003E-4</v>
      </c>
      <c r="K306">
        <v>-1.0386000000000001E-6</v>
      </c>
    </row>
    <row r="307" spans="1:11">
      <c r="A307">
        <v>3</v>
      </c>
      <c r="B307" t="s">
        <v>114</v>
      </c>
      <c r="C307">
        <v>10</v>
      </c>
      <c r="D307">
        <v>4</v>
      </c>
      <c r="E307">
        <v>2</v>
      </c>
      <c r="F307">
        <v>1.1403380000000001E-3</v>
      </c>
      <c r="G307">
        <v>4.245303E-4</v>
      </c>
      <c r="H307">
        <v>5.6918999999999997E-6</v>
      </c>
      <c r="I307">
        <v>2.175372E-4</v>
      </c>
      <c r="J307">
        <v>3.4384740000000002E-4</v>
      </c>
      <c r="K307">
        <v>-1.0606000000000001E-6</v>
      </c>
    </row>
    <row r="308" spans="1:11">
      <c r="A308">
        <v>3</v>
      </c>
      <c r="B308" t="s">
        <v>114</v>
      </c>
      <c r="C308">
        <v>11</v>
      </c>
      <c r="D308">
        <v>4</v>
      </c>
      <c r="E308">
        <v>2</v>
      </c>
      <c r="F308">
        <v>-2.5722999999999999E-6</v>
      </c>
      <c r="G308">
        <v>3.038858E-4</v>
      </c>
      <c r="H308">
        <v>2.44E-8</v>
      </c>
      <c r="I308">
        <v>-5.6187699999999997E-5</v>
      </c>
      <c r="J308">
        <v>3.7005030000000002E-4</v>
      </c>
      <c r="K308">
        <v>-1.9709999999999998E-6</v>
      </c>
    </row>
    <row r="309" spans="1:11">
      <c r="A309">
        <v>3</v>
      </c>
      <c r="B309" t="s">
        <v>114</v>
      </c>
      <c r="C309">
        <v>12</v>
      </c>
      <c r="D309">
        <v>4</v>
      </c>
      <c r="E309">
        <v>2</v>
      </c>
      <c r="F309">
        <v>-1.6257200000000001E-5</v>
      </c>
      <c r="G309">
        <v>3.0389989999999998E-4</v>
      </c>
      <c r="H309">
        <v>7.9899999999999994E-8</v>
      </c>
      <c r="I309">
        <v>-1.24623E-4</v>
      </c>
      <c r="J309">
        <v>3.6951950000000002E-4</v>
      </c>
      <c r="K309">
        <v>-1.8867000000000001E-6</v>
      </c>
    </row>
    <row r="310" spans="1:11">
      <c r="A310">
        <v>3</v>
      </c>
      <c r="B310" t="s">
        <v>114</v>
      </c>
      <c r="C310">
        <v>13</v>
      </c>
      <c r="D310">
        <v>4</v>
      </c>
      <c r="E310">
        <v>2</v>
      </c>
      <c r="F310">
        <v>-2.9943100000000001E-5</v>
      </c>
      <c r="G310">
        <v>3.0393009999999998E-4</v>
      </c>
      <c r="H310">
        <v>1.3869999999999999E-7</v>
      </c>
      <c r="I310">
        <v>-1.9306379999999999E-4</v>
      </c>
      <c r="J310">
        <v>3.6901579999999999E-4</v>
      </c>
      <c r="K310">
        <v>-1.7795000000000001E-6</v>
      </c>
    </row>
    <row r="311" spans="1:11">
      <c r="A311">
        <v>3</v>
      </c>
      <c r="B311" t="s">
        <v>114</v>
      </c>
      <c r="C311">
        <v>14</v>
      </c>
      <c r="D311">
        <v>0</v>
      </c>
      <c r="E311">
        <v>2</v>
      </c>
      <c r="F311">
        <v>0</v>
      </c>
      <c r="G311">
        <v>0</v>
      </c>
      <c r="H311">
        <v>0</v>
      </c>
      <c r="I311">
        <v>-1.3804749999999999E-3</v>
      </c>
      <c r="J311">
        <v>4.1776319999999999E-4</v>
      </c>
      <c r="K311">
        <v>-1.2357E-5</v>
      </c>
    </row>
    <row r="312" spans="1:11">
      <c r="A312">
        <v>3</v>
      </c>
      <c r="B312" t="s">
        <v>114</v>
      </c>
      <c r="C312">
        <v>15</v>
      </c>
      <c r="D312">
        <v>0</v>
      </c>
      <c r="E312">
        <v>2</v>
      </c>
      <c r="F312">
        <v>0</v>
      </c>
      <c r="G312">
        <v>0</v>
      </c>
      <c r="H312">
        <v>0</v>
      </c>
      <c r="I312">
        <v>-1.3914159999999999E-3</v>
      </c>
      <c r="J312">
        <v>4.1435149999999999E-4</v>
      </c>
      <c r="K312">
        <v>-1.2455200000000001E-5</v>
      </c>
    </row>
    <row r="313" spans="1:11">
      <c r="A313">
        <v>3</v>
      </c>
      <c r="B313" t="s">
        <v>114</v>
      </c>
      <c r="C313">
        <v>16</v>
      </c>
      <c r="D313">
        <v>0</v>
      </c>
      <c r="E313">
        <v>2</v>
      </c>
      <c r="F313">
        <v>0</v>
      </c>
      <c r="G313">
        <v>0</v>
      </c>
      <c r="H313">
        <v>0</v>
      </c>
      <c r="I313">
        <v>-1.459922E-3</v>
      </c>
      <c r="J313">
        <v>4.1095059999999997E-4</v>
      </c>
      <c r="K313">
        <v>-1.2281599999999999E-5</v>
      </c>
    </row>
    <row r="314" spans="1:11">
      <c r="A314">
        <v>3</v>
      </c>
      <c r="B314" t="s">
        <v>114</v>
      </c>
      <c r="C314">
        <v>17</v>
      </c>
      <c r="D314">
        <v>0</v>
      </c>
      <c r="E314">
        <v>2</v>
      </c>
      <c r="F314">
        <v>0</v>
      </c>
      <c r="G314">
        <v>0</v>
      </c>
      <c r="H314">
        <v>0</v>
      </c>
      <c r="I314">
        <v>-2.7089950000000001E-3</v>
      </c>
      <c r="J314">
        <v>4.0778400000000001E-4</v>
      </c>
      <c r="K314">
        <v>-4.6563400000000002E-5</v>
      </c>
    </row>
    <row r="315" spans="1:11">
      <c r="A315">
        <v>3</v>
      </c>
      <c r="B315" t="s">
        <v>114</v>
      </c>
      <c r="C315">
        <v>18</v>
      </c>
      <c r="D315">
        <v>0</v>
      </c>
      <c r="E315">
        <v>2</v>
      </c>
      <c r="F315">
        <v>0</v>
      </c>
      <c r="G315">
        <v>0</v>
      </c>
      <c r="H315">
        <v>0</v>
      </c>
      <c r="I315">
        <v>-2.7442500000000002E-3</v>
      </c>
      <c r="J315">
        <v>3.949496E-4</v>
      </c>
      <c r="K315">
        <v>-4.6777399999999997E-5</v>
      </c>
    </row>
    <row r="316" spans="1:11">
      <c r="A316">
        <v>3</v>
      </c>
      <c r="B316" t="s">
        <v>114</v>
      </c>
      <c r="C316">
        <v>19</v>
      </c>
      <c r="D316">
        <v>0</v>
      </c>
      <c r="E316">
        <v>2</v>
      </c>
      <c r="F316">
        <v>0</v>
      </c>
      <c r="G316">
        <v>0</v>
      </c>
      <c r="H316">
        <v>0</v>
      </c>
      <c r="I316">
        <v>-2.8128810000000001E-3</v>
      </c>
      <c r="J316">
        <v>3.8212720000000002E-4</v>
      </c>
      <c r="K316">
        <v>-4.6482600000000001E-5</v>
      </c>
    </row>
    <row r="317" spans="1:11">
      <c r="A317">
        <v>3</v>
      </c>
      <c r="B317" t="s">
        <v>114</v>
      </c>
      <c r="C317">
        <v>20</v>
      </c>
      <c r="D317">
        <v>0</v>
      </c>
      <c r="E317">
        <v>2</v>
      </c>
      <c r="F317">
        <v>0</v>
      </c>
      <c r="G317">
        <v>0</v>
      </c>
      <c r="H317">
        <v>0</v>
      </c>
      <c r="I317">
        <v>-2.9706820000000001E-3</v>
      </c>
      <c r="J317">
        <v>1.7885270000000001E-4</v>
      </c>
      <c r="K317">
        <v>-1.3603730000000001E-4</v>
      </c>
    </row>
    <row r="318" spans="1:11">
      <c r="A318">
        <v>3</v>
      </c>
      <c r="B318" t="s">
        <v>114</v>
      </c>
      <c r="C318">
        <v>21</v>
      </c>
      <c r="D318">
        <v>0</v>
      </c>
      <c r="E318">
        <v>2</v>
      </c>
      <c r="F318">
        <v>0</v>
      </c>
      <c r="G318">
        <v>0</v>
      </c>
      <c r="H318">
        <v>0</v>
      </c>
      <c r="I318">
        <v>-3.0393120000000002E-3</v>
      </c>
      <c r="J318">
        <v>1.413807E-4</v>
      </c>
      <c r="K318">
        <v>-1.364898E-4</v>
      </c>
    </row>
    <row r="319" spans="1:11">
      <c r="A319">
        <v>3</v>
      </c>
      <c r="B319" t="s">
        <v>114</v>
      </c>
      <c r="C319">
        <v>22</v>
      </c>
      <c r="D319">
        <v>0</v>
      </c>
      <c r="E319">
        <v>2</v>
      </c>
      <c r="F319">
        <v>0</v>
      </c>
      <c r="G319">
        <v>0</v>
      </c>
      <c r="H319">
        <v>0</v>
      </c>
      <c r="I319">
        <v>-3.0763119999999999E-3</v>
      </c>
      <c r="J319">
        <v>1.0384790000000001E-4</v>
      </c>
      <c r="K319">
        <v>-1.3647910000000001E-4</v>
      </c>
    </row>
    <row r="320" spans="1:11">
      <c r="A320">
        <v>3</v>
      </c>
      <c r="B320" t="s">
        <v>114</v>
      </c>
      <c r="C320">
        <v>23</v>
      </c>
      <c r="D320">
        <v>0</v>
      </c>
      <c r="E320">
        <v>2</v>
      </c>
      <c r="F320">
        <v>0</v>
      </c>
      <c r="G320">
        <v>0</v>
      </c>
      <c r="H320">
        <v>0</v>
      </c>
      <c r="I320">
        <v>-3.467562E-3</v>
      </c>
      <c r="J320">
        <v>-1.092172E-4</v>
      </c>
      <c r="K320">
        <v>-1.3603209999999999E-4</v>
      </c>
    </row>
    <row r="321" spans="1:11">
      <c r="A321">
        <v>3</v>
      </c>
      <c r="B321" t="s">
        <v>114</v>
      </c>
      <c r="C321">
        <v>24</v>
      </c>
      <c r="D321">
        <v>4</v>
      </c>
      <c r="E321">
        <v>0</v>
      </c>
      <c r="F321">
        <v>3.502275E-3</v>
      </c>
      <c r="G321">
        <v>1.2488430000000001E-4</v>
      </c>
      <c r="H321">
        <v>1.8587120000000001E-4</v>
      </c>
      <c r="I321">
        <v>0</v>
      </c>
      <c r="J321">
        <v>0</v>
      </c>
      <c r="K321">
        <v>0</v>
      </c>
    </row>
    <row r="322" spans="1:11">
      <c r="A322">
        <v>3</v>
      </c>
      <c r="B322" t="s">
        <v>114</v>
      </c>
      <c r="C322">
        <v>25</v>
      </c>
      <c r="D322">
        <v>4</v>
      </c>
      <c r="E322">
        <v>0</v>
      </c>
      <c r="F322">
        <v>2.4689859999999998E-3</v>
      </c>
      <c r="G322">
        <v>4.5557129999999999E-4</v>
      </c>
      <c r="H322">
        <v>3.5014400000000001E-5</v>
      </c>
      <c r="I322">
        <v>0</v>
      </c>
      <c r="J322">
        <v>0</v>
      </c>
      <c r="K322">
        <v>0</v>
      </c>
    </row>
    <row r="323" spans="1:11">
      <c r="A323">
        <v>3</v>
      </c>
      <c r="B323" t="s">
        <v>114</v>
      </c>
      <c r="C323">
        <v>26</v>
      </c>
      <c r="D323">
        <v>4</v>
      </c>
      <c r="E323">
        <v>2</v>
      </c>
      <c r="F323">
        <v>1.165213E-3</v>
      </c>
      <c r="G323">
        <v>4.2212819999999998E-4</v>
      </c>
      <c r="H323">
        <v>6.6370000000000002E-6</v>
      </c>
      <c r="I323">
        <v>2.2508359999999999E-4</v>
      </c>
      <c r="J323">
        <v>3.4346689999999999E-4</v>
      </c>
      <c r="K323">
        <v>-8.6270000000000002E-7</v>
      </c>
    </row>
    <row r="324" spans="1:11">
      <c r="A324">
        <v>3</v>
      </c>
      <c r="B324" t="s">
        <v>114</v>
      </c>
      <c r="C324">
        <v>27</v>
      </c>
      <c r="D324">
        <v>4</v>
      </c>
      <c r="E324">
        <v>2</v>
      </c>
      <c r="F324">
        <v>-1.63432E-5</v>
      </c>
      <c r="G324">
        <v>3.0331189999999999E-4</v>
      </c>
      <c r="H324">
        <v>6.7099999999999999E-8</v>
      </c>
      <c r="I324">
        <v>-1.223516E-4</v>
      </c>
      <c r="J324">
        <v>3.6879970000000003E-4</v>
      </c>
      <c r="K324">
        <v>-1.9748999999999999E-6</v>
      </c>
    </row>
    <row r="325" spans="1:11">
      <c r="A325">
        <v>3</v>
      </c>
      <c r="B325" t="s">
        <v>114</v>
      </c>
      <c r="C325">
        <v>28</v>
      </c>
      <c r="D325">
        <v>0</v>
      </c>
      <c r="E325">
        <v>2</v>
      </c>
      <c r="F325">
        <v>0</v>
      </c>
      <c r="G325">
        <v>0</v>
      </c>
      <c r="H325">
        <v>0</v>
      </c>
      <c r="I325">
        <v>-1.3761509999999999E-3</v>
      </c>
      <c r="J325">
        <v>4.1354139999999999E-4</v>
      </c>
      <c r="K325">
        <v>-1.3473599999999999E-5</v>
      </c>
    </row>
    <row r="326" spans="1:11">
      <c r="A326">
        <v>3</v>
      </c>
      <c r="B326" t="s">
        <v>114</v>
      </c>
      <c r="C326">
        <v>29</v>
      </c>
      <c r="D326">
        <v>0</v>
      </c>
      <c r="E326">
        <v>2</v>
      </c>
      <c r="F326">
        <v>0</v>
      </c>
      <c r="G326">
        <v>0</v>
      </c>
      <c r="H326">
        <v>0</v>
      </c>
      <c r="I326">
        <v>-2.688097E-3</v>
      </c>
      <c r="J326">
        <v>3.9417860000000001E-4</v>
      </c>
      <c r="K326">
        <v>-4.8698600000000002E-5</v>
      </c>
    </row>
    <row r="327" spans="1:11">
      <c r="A327">
        <v>3</v>
      </c>
      <c r="B327" t="s">
        <v>114</v>
      </c>
      <c r="C327">
        <v>30</v>
      </c>
      <c r="D327">
        <v>0</v>
      </c>
      <c r="E327">
        <v>2</v>
      </c>
      <c r="F327">
        <v>0</v>
      </c>
      <c r="G327">
        <v>0</v>
      </c>
      <c r="H327">
        <v>0</v>
      </c>
      <c r="I327">
        <v>-2.8778229999999998E-3</v>
      </c>
      <c r="J327">
        <v>1.411192E-4</v>
      </c>
      <c r="K327">
        <v>-1.382845E-4</v>
      </c>
    </row>
    <row r="328" spans="1:11">
      <c r="A328">
        <v>3</v>
      </c>
      <c r="B328" t="s">
        <v>114</v>
      </c>
      <c r="C328">
        <v>31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</row>
    <row r="329" spans="1:11">
      <c r="A329">
        <v>3</v>
      </c>
      <c r="B329" t="s">
        <v>114</v>
      </c>
      <c r="C329">
        <v>32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</row>
    <row r="330" spans="1:11">
      <c r="A330">
        <v>3</v>
      </c>
      <c r="B330" t="s">
        <v>114</v>
      </c>
      <c r="C330">
        <v>33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</row>
    <row r="331" spans="1:11">
      <c r="A331">
        <v>3</v>
      </c>
      <c r="B331" t="s">
        <v>114</v>
      </c>
      <c r="C331">
        <v>34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</row>
    <row r="332" spans="1:11">
      <c r="A332">
        <v>3</v>
      </c>
      <c r="B332" t="s">
        <v>114</v>
      </c>
      <c r="C332">
        <v>35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</row>
    <row r="333" spans="1:11">
      <c r="A333">
        <v>3</v>
      </c>
      <c r="B333" t="s">
        <v>114</v>
      </c>
      <c r="C333">
        <v>36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</row>
    <row r="334" spans="1:11">
      <c r="A334">
        <v>3</v>
      </c>
      <c r="B334" t="s">
        <v>114</v>
      </c>
      <c r="C334">
        <v>37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</row>
    <row r="335" spans="1:11">
      <c r="A335">
        <v>4</v>
      </c>
      <c r="B335" t="s">
        <v>112</v>
      </c>
      <c r="C335">
        <v>1</v>
      </c>
      <c r="D335">
        <v>4</v>
      </c>
      <c r="E335">
        <v>0</v>
      </c>
      <c r="F335">
        <v>4.1663239999999999E-3</v>
      </c>
      <c r="G335">
        <v>-2.1391659999999999E-4</v>
      </c>
      <c r="H335">
        <v>1.8439880000000001E-4</v>
      </c>
      <c r="I335">
        <v>0</v>
      </c>
      <c r="J335">
        <v>0</v>
      </c>
      <c r="K335">
        <v>0</v>
      </c>
    </row>
    <row r="336" spans="1:11">
      <c r="A336">
        <v>4</v>
      </c>
      <c r="B336" t="s">
        <v>112</v>
      </c>
      <c r="C336">
        <v>2</v>
      </c>
      <c r="D336">
        <v>4</v>
      </c>
      <c r="E336">
        <v>0</v>
      </c>
      <c r="F336">
        <v>3.7750739999999998E-3</v>
      </c>
      <c r="G336">
        <v>7.4842299999999993E-5</v>
      </c>
      <c r="H336">
        <v>1.848458E-4</v>
      </c>
      <c r="I336">
        <v>0</v>
      </c>
      <c r="J336">
        <v>0</v>
      </c>
      <c r="K336">
        <v>0</v>
      </c>
    </row>
    <row r="337" spans="1:11">
      <c r="A337">
        <v>4</v>
      </c>
      <c r="B337" t="s">
        <v>112</v>
      </c>
      <c r="C337">
        <v>3</v>
      </c>
      <c r="D337">
        <v>4</v>
      </c>
      <c r="E337">
        <v>0</v>
      </c>
      <c r="F337">
        <v>3.7433229999999998E-3</v>
      </c>
      <c r="G337">
        <v>1.2567599999999999E-4</v>
      </c>
      <c r="H337">
        <v>1.8485649999999999E-4</v>
      </c>
      <c r="I337">
        <v>0</v>
      </c>
      <c r="J337">
        <v>0</v>
      </c>
      <c r="K337">
        <v>0</v>
      </c>
    </row>
    <row r="338" spans="1:11">
      <c r="A338">
        <v>4</v>
      </c>
      <c r="B338" t="s">
        <v>112</v>
      </c>
      <c r="C338">
        <v>4</v>
      </c>
      <c r="D338">
        <v>4</v>
      </c>
      <c r="E338">
        <v>0</v>
      </c>
      <c r="F338">
        <v>3.6747160000000002E-3</v>
      </c>
      <c r="G338">
        <v>1.764356E-4</v>
      </c>
      <c r="H338">
        <v>1.8430890000000001E-4</v>
      </c>
      <c r="I338">
        <v>0</v>
      </c>
      <c r="J338">
        <v>0</v>
      </c>
      <c r="K338">
        <v>0</v>
      </c>
    </row>
    <row r="339" spans="1:11">
      <c r="A339">
        <v>4</v>
      </c>
      <c r="B339" t="s">
        <v>112</v>
      </c>
      <c r="C339">
        <v>5</v>
      </c>
      <c r="D339">
        <v>4</v>
      </c>
      <c r="E339">
        <v>0</v>
      </c>
      <c r="F339">
        <v>2.601482E-3</v>
      </c>
      <c r="G339">
        <v>4.4974700000000002E-4</v>
      </c>
      <c r="H339">
        <v>3.3300999999999998E-5</v>
      </c>
      <c r="I339">
        <v>0</v>
      </c>
      <c r="J339">
        <v>0</v>
      </c>
      <c r="K339">
        <v>0</v>
      </c>
    </row>
    <row r="340" spans="1:11">
      <c r="A340">
        <v>4</v>
      </c>
      <c r="B340" t="s">
        <v>112</v>
      </c>
      <c r="C340">
        <v>6</v>
      </c>
      <c r="D340">
        <v>4</v>
      </c>
      <c r="E340">
        <v>0</v>
      </c>
      <c r="F340">
        <v>2.5328740000000001E-3</v>
      </c>
      <c r="G340">
        <v>4.5894250000000001E-4</v>
      </c>
      <c r="H340">
        <v>3.3582599999999999E-5</v>
      </c>
      <c r="I340">
        <v>0</v>
      </c>
      <c r="J340">
        <v>0</v>
      </c>
      <c r="K340">
        <v>0</v>
      </c>
    </row>
    <row r="341" spans="1:11">
      <c r="A341">
        <v>4</v>
      </c>
      <c r="B341" t="s">
        <v>112</v>
      </c>
      <c r="C341">
        <v>7</v>
      </c>
      <c r="D341">
        <v>4</v>
      </c>
      <c r="E341">
        <v>0</v>
      </c>
      <c r="F341">
        <v>2.4998830000000001E-3</v>
      </c>
      <c r="G341">
        <v>4.6815110000000002E-4</v>
      </c>
      <c r="H341">
        <v>3.33884E-5</v>
      </c>
      <c r="I341">
        <v>0</v>
      </c>
      <c r="J341">
        <v>0</v>
      </c>
      <c r="K341">
        <v>0</v>
      </c>
    </row>
    <row r="342" spans="1:11">
      <c r="A342">
        <v>4</v>
      </c>
      <c r="B342" t="s">
        <v>112</v>
      </c>
      <c r="C342">
        <v>8</v>
      </c>
      <c r="D342">
        <v>4</v>
      </c>
      <c r="E342">
        <v>0</v>
      </c>
      <c r="F342">
        <v>1.2647299999999999E-3</v>
      </c>
      <c r="G342">
        <v>4.2443709999999998E-4</v>
      </c>
      <c r="H342">
        <v>5.9505E-6</v>
      </c>
      <c r="I342">
        <v>0</v>
      </c>
      <c r="J342">
        <v>0</v>
      </c>
      <c r="K342">
        <v>0</v>
      </c>
    </row>
    <row r="343" spans="1:11">
      <c r="A343">
        <v>4</v>
      </c>
      <c r="B343" t="s">
        <v>112</v>
      </c>
      <c r="C343">
        <v>9</v>
      </c>
      <c r="D343">
        <v>4</v>
      </c>
      <c r="E343">
        <v>0</v>
      </c>
      <c r="F343">
        <v>1.1962380000000001E-3</v>
      </c>
      <c r="G343">
        <v>4.2609620000000001E-4</v>
      </c>
      <c r="H343">
        <v>6.1191000000000004E-6</v>
      </c>
      <c r="I343">
        <v>0</v>
      </c>
      <c r="J343">
        <v>0</v>
      </c>
      <c r="K343">
        <v>0</v>
      </c>
    </row>
    <row r="344" spans="1:11">
      <c r="A344">
        <v>4</v>
      </c>
      <c r="B344" t="s">
        <v>112</v>
      </c>
      <c r="C344">
        <v>10</v>
      </c>
      <c r="D344">
        <v>4</v>
      </c>
      <c r="E344">
        <v>0</v>
      </c>
      <c r="F344">
        <v>1.164053E-3</v>
      </c>
      <c r="G344">
        <v>4.2776929999999998E-4</v>
      </c>
      <c r="H344">
        <v>6.0482E-6</v>
      </c>
      <c r="I344">
        <v>0</v>
      </c>
      <c r="J344">
        <v>0</v>
      </c>
      <c r="K344">
        <v>0</v>
      </c>
    </row>
    <row r="345" spans="1:11">
      <c r="A345">
        <v>4</v>
      </c>
      <c r="B345" t="s">
        <v>112</v>
      </c>
      <c r="C345">
        <v>11</v>
      </c>
      <c r="D345">
        <v>4</v>
      </c>
      <c r="E345">
        <v>2</v>
      </c>
      <c r="F345">
        <v>2.11705E-5</v>
      </c>
      <c r="G345">
        <v>3.0723129999999998E-4</v>
      </c>
      <c r="H345">
        <v>5.2890000000000003E-7</v>
      </c>
      <c r="I345">
        <v>-7.9930600000000003E-5</v>
      </c>
      <c r="J345">
        <v>3.7367420000000001E-4</v>
      </c>
      <c r="K345">
        <v>-2.4766999999999999E-6</v>
      </c>
    </row>
    <row r="346" spans="1:11">
      <c r="A346">
        <v>4</v>
      </c>
      <c r="B346" t="s">
        <v>112</v>
      </c>
      <c r="C346">
        <v>12</v>
      </c>
      <c r="D346">
        <v>4</v>
      </c>
      <c r="E346">
        <v>2</v>
      </c>
      <c r="F346">
        <v>7.4857000000000002E-6</v>
      </c>
      <c r="G346">
        <v>3.073846E-4</v>
      </c>
      <c r="H346">
        <v>5.8739999999999998E-7</v>
      </c>
      <c r="I346">
        <v>-1.483659E-4</v>
      </c>
      <c r="J346">
        <v>3.7300419999999998E-4</v>
      </c>
      <c r="K346">
        <v>-2.3937000000000001E-6</v>
      </c>
    </row>
    <row r="347" spans="1:11">
      <c r="A347">
        <v>4</v>
      </c>
      <c r="B347" t="s">
        <v>112</v>
      </c>
      <c r="C347">
        <v>13</v>
      </c>
      <c r="D347">
        <v>0</v>
      </c>
      <c r="E347">
        <v>2</v>
      </c>
      <c r="F347">
        <v>0</v>
      </c>
      <c r="G347">
        <v>0</v>
      </c>
      <c r="H347">
        <v>0</v>
      </c>
      <c r="I347">
        <v>-2.1680669999999999E-4</v>
      </c>
      <c r="J347">
        <v>3.7236140000000001E-4</v>
      </c>
      <c r="K347">
        <v>-2.2834999999999998E-6</v>
      </c>
    </row>
    <row r="348" spans="1:11">
      <c r="A348">
        <v>4</v>
      </c>
      <c r="B348" t="s">
        <v>112</v>
      </c>
      <c r="C348">
        <v>14</v>
      </c>
      <c r="D348">
        <v>0</v>
      </c>
      <c r="E348">
        <v>2</v>
      </c>
      <c r="F348">
        <v>0</v>
      </c>
      <c r="G348">
        <v>0</v>
      </c>
      <c r="H348">
        <v>0</v>
      </c>
      <c r="I348">
        <v>-1.40419E-3</v>
      </c>
      <c r="J348">
        <v>4.2100440000000002E-4</v>
      </c>
      <c r="K348">
        <v>-1.2713300000000001E-5</v>
      </c>
    </row>
    <row r="349" spans="1:11">
      <c r="A349">
        <v>4</v>
      </c>
      <c r="B349" t="s">
        <v>112</v>
      </c>
      <c r="C349">
        <v>15</v>
      </c>
      <c r="D349">
        <v>0</v>
      </c>
      <c r="E349">
        <v>2</v>
      </c>
      <c r="F349">
        <v>0</v>
      </c>
      <c r="G349">
        <v>0</v>
      </c>
      <c r="H349">
        <v>0</v>
      </c>
      <c r="I349">
        <v>-1.415131E-3</v>
      </c>
      <c r="J349">
        <v>4.1749430000000002E-4</v>
      </c>
      <c r="K349">
        <v>-1.28141E-5</v>
      </c>
    </row>
    <row r="350" spans="1:11">
      <c r="A350">
        <v>4</v>
      </c>
      <c r="B350" t="s">
        <v>112</v>
      </c>
      <c r="C350">
        <v>16</v>
      </c>
      <c r="D350">
        <v>0</v>
      </c>
      <c r="E350">
        <v>2</v>
      </c>
      <c r="F350">
        <v>0</v>
      </c>
      <c r="G350">
        <v>0</v>
      </c>
      <c r="H350">
        <v>0</v>
      </c>
      <c r="I350">
        <v>-1.4836370000000001E-3</v>
      </c>
      <c r="J350">
        <v>4.1399509999999999E-4</v>
      </c>
      <c r="K350">
        <v>-1.26386E-5</v>
      </c>
    </row>
    <row r="351" spans="1:11">
      <c r="A351">
        <v>4</v>
      </c>
      <c r="B351" t="s">
        <v>112</v>
      </c>
      <c r="C351">
        <v>17</v>
      </c>
      <c r="D351">
        <v>0</v>
      </c>
      <c r="E351">
        <v>2</v>
      </c>
      <c r="F351">
        <v>0</v>
      </c>
      <c r="G351">
        <v>0</v>
      </c>
      <c r="H351">
        <v>0</v>
      </c>
      <c r="I351">
        <v>-2.7327380000000002E-3</v>
      </c>
      <c r="J351">
        <v>4.1036069999999999E-4</v>
      </c>
      <c r="K351">
        <v>-4.69241E-5</v>
      </c>
    </row>
    <row r="352" spans="1:11">
      <c r="A352">
        <v>4</v>
      </c>
      <c r="B352" t="s">
        <v>112</v>
      </c>
      <c r="C352">
        <v>18</v>
      </c>
      <c r="D352">
        <v>0</v>
      </c>
      <c r="E352">
        <v>2</v>
      </c>
      <c r="F352">
        <v>0</v>
      </c>
      <c r="G352">
        <v>0</v>
      </c>
      <c r="H352">
        <v>0</v>
      </c>
      <c r="I352">
        <v>-2.7679950000000001E-3</v>
      </c>
      <c r="J352">
        <v>3.9742690000000002E-4</v>
      </c>
      <c r="K352">
        <v>-4.71401E-5</v>
      </c>
    </row>
    <row r="353" spans="1:11">
      <c r="A353">
        <v>4</v>
      </c>
      <c r="B353" t="s">
        <v>112</v>
      </c>
      <c r="C353">
        <v>19</v>
      </c>
      <c r="D353">
        <v>0</v>
      </c>
      <c r="E353">
        <v>2</v>
      </c>
      <c r="F353">
        <v>0</v>
      </c>
      <c r="G353">
        <v>0</v>
      </c>
      <c r="H353">
        <v>0</v>
      </c>
      <c r="I353">
        <v>-2.8366250000000002E-3</v>
      </c>
      <c r="J353">
        <v>3.8450510000000003E-4</v>
      </c>
      <c r="K353">
        <v>-4.6842699999999998E-5</v>
      </c>
    </row>
    <row r="354" spans="1:11">
      <c r="A354">
        <v>4</v>
      </c>
      <c r="B354" t="s">
        <v>112</v>
      </c>
      <c r="C354">
        <v>20</v>
      </c>
      <c r="D354">
        <v>0</v>
      </c>
      <c r="E354">
        <v>2</v>
      </c>
      <c r="F354">
        <v>0</v>
      </c>
      <c r="G354">
        <v>0</v>
      </c>
      <c r="H354">
        <v>0</v>
      </c>
      <c r="I354">
        <v>-2.9945129999999999E-3</v>
      </c>
      <c r="J354">
        <v>1.797217E-4</v>
      </c>
      <c r="K354">
        <v>-1.371496E-4</v>
      </c>
    </row>
    <row r="355" spans="1:11">
      <c r="A355">
        <v>4</v>
      </c>
      <c r="B355" t="s">
        <v>112</v>
      </c>
      <c r="C355">
        <v>21</v>
      </c>
      <c r="D355">
        <v>0</v>
      </c>
      <c r="E355">
        <v>2</v>
      </c>
      <c r="F355">
        <v>0</v>
      </c>
      <c r="G355">
        <v>0</v>
      </c>
      <c r="H355">
        <v>0</v>
      </c>
      <c r="I355">
        <v>-3.0631429999999999E-3</v>
      </c>
      <c r="J355">
        <v>1.4194340000000001E-4</v>
      </c>
      <c r="K355">
        <v>-1.376057E-4</v>
      </c>
    </row>
    <row r="356" spans="1:11">
      <c r="A356">
        <v>4</v>
      </c>
      <c r="B356" t="s">
        <v>112</v>
      </c>
      <c r="C356">
        <v>22</v>
      </c>
      <c r="D356">
        <v>0</v>
      </c>
      <c r="E356">
        <v>2</v>
      </c>
      <c r="F356">
        <v>0</v>
      </c>
      <c r="G356">
        <v>0</v>
      </c>
      <c r="H356">
        <v>0</v>
      </c>
      <c r="I356">
        <v>-3.1001430000000001E-3</v>
      </c>
      <c r="J356">
        <v>1.041038E-4</v>
      </c>
      <c r="K356">
        <v>-1.3759500000000001E-4</v>
      </c>
    </row>
    <row r="357" spans="1:11">
      <c r="A357">
        <v>4</v>
      </c>
      <c r="B357" t="s">
        <v>112</v>
      </c>
      <c r="C357">
        <v>23</v>
      </c>
      <c r="D357">
        <v>0</v>
      </c>
      <c r="E357">
        <v>2</v>
      </c>
      <c r="F357">
        <v>0</v>
      </c>
      <c r="G357">
        <v>0</v>
      </c>
      <c r="H357">
        <v>0</v>
      </c>
      <c r="I357">
        <v>-3.4913930000000002E-3</v>
      </c>
      <c r="J357">
        <v>-1.107077E-4</v>
      </c>
      <c r="K357">
        <v>-1.37148E-4</v>
      </c>
    </row>
    <row r="358" spans="1:11">
      <c r="A358">
        <v>4</v>
      </c>
      <c r="B358" t="s">
        <v>112</v>
      </c>
      <c r="C358">
        <v>24</v>
      </c>
      <c r="D358">
        <v>4</v>
      </c>
      <c r="E358">
        <v>0</v>
      </c>
      <c r="F358">
        <v>3.5247859999999998E-3</v>
      </c>
      <c r="G358">
        <v>1.25446E-4</v>
      </c>
      <c r="H358">
        <v>1.8700100000000001E-4</v>
      </c>
      <c r="I358">
        <v>0</v>
      </c>
      <c r="J358">
        <v>0</v>
      </c>
      <c r="K358">
        <v>0</v>
      </c>
    </row>
    <row r="359" spans="1:11">
      <c r="A359">
        <v>4</v>
      </c>
      <c r="B359" t="s">
        <v>112</v>
      </c>
      <c r="C359">
        <v>25</v>
      </c>
      <c r="D359">
        <v>4</v>
      </c>
      <c r="E359">
        <v>0</v>
      </c>
      <c r="F359">
        <v>2.4922939999999999E-3</v>
      </c>
      <c r="G359">
        <v>4.5804299999999999E-4</v>
      </c>
      <c r="H359">
        <v>3.5393599999999999E-5</v>
      </c>
      <c r="I359">
        <v>0</v>
      </c>
      <c r="J359">
        <v>0</v>
      </c>
      <c r="K359">
        <v>0</v>
      </c>
    </row>
    <row r="360" spans="1:11">
      <c r="A360">
        <v>4</v>
      </c>
      <c r="B360" t="s">
        <v>112</v>
      </c>
      <c r="C360">
        <v>26</v>
      </c>
      <c r="D360">
        <v>4</v>
      </c>
      <c r="E360">
        <v>0</v>
      </c>
      <c r="F360">
        <v>1.1884949999999999E-3</v>
      </c>
      <c r="G360">
        <v>4.2526260000000002E-4</v>
      </c>
      <c r="H360">
        <v>7.0126999999999998E-6</v>
      </c>
      <c r="I360">
        <v>0</v>
      </c>
      <c r="J360">
        <v>0</v>
      </c>
      <c r="K360">
        <v>0</v>
      </c>
    </row>
    <row r="361" spans="1:11">
      <c r="A361">
        <v>4</v>
      </c>
      <c r="B361" t="s">
        <v>112</v>
      </c>
      <c r="C361">
        <v>27</v>
      </c>
      <c r="D361">
        <v>4</v>
      </c>
      <c r="E361">
        <v>2</v>
      </c>
      <c r="F361">
        <v>6.7934E-6</v>
      </c>
      <c r="G361">
        <v>3.0678949999999997E-4</v>
      </c>
      <c r="H361">
        <v>5.9080000000000002E-7</v>
      </c>
      <c r="I361">
        <v>-1.4548870000000001E-4</v>
      </c>
      <c r="J361">
        <v>3.7227730000000001E-4</v>
      </c>
      <c r="K361">
        <v>-2.4980999999999999E-6</v>
      </c>
    </row>
    <row r="362" spans="1:11">
      <c r="A362">
        <v>4</v>
      </c>
      <c r="B362" t="s">
        <v>112</v>
      </c>
      <c r="C362">
        <v>28</v>
      </c>
      <c r="D362">
        <v>0</v>
      </c>
      <c r="E362">
        <v>2</v>
      </c>
      <c r="F362">
        <v>0</v>
      </c>
      <c r="G362">
        <v>0</v>
      </c>
      <c r="H362">
        <v>0</v>
      </c>
      <c r="I362">
        <v>-1.3994330000000001E-3</v>
      </c>
      <c r="J362">
        <v>4.1667800000000002E-4</v>
      </c>
      <c r="K362">
        <v>-1.38493E-5</v>
      </c>
    </row>
    <row r="363" spans="1:11">
      <c r="A363">
        <v>4</v>
      </c>
      <c r="B363" t="s">
        <v>112</v>
      </c>
      <c r="C363">
        <v>29</v>
      </c>
      <c r="D363">
        <v>0</v>
      </c>
      <c r="E363">
        <v>2</v>
      </c>
      <c r="F363">
        <v>0</v>
      </c>
      <c r="G363">
        <v>0</v>
      </c>
      <c r="H363">
        <v>0</v>
      </c>
      <c r="I363">
        <v>-2.7114050000000001E-3</v>
      </c>
      <c r="J363">
        <v>3.9665099999999998E-4</v>
      </c>
      <c r="K363">
        <v>-4.9078E-5</v>
      </c>
    </row>
    <row r="364" spans="1:11">
      <c r="A364">
        <v>4</v>
      </c>
      <c r="B364" t="s">
        <v>112</v>
      </c>
      <c r="C364">
        <v>30</v>
      </c>
      <c r="D364">
        <v>0</v>
      </c>
      <c r="E364">
        <v>2</v>
      </c>
      <c r="F364">
        <v>0</v>
      </c>
      <c r="G364">
        <v>0</v>
      </c>
      <c r="H364">
        <v>0</v>
      </c>
      <c r="I364">
        <v>-2.9003340000000001E-3</v>
      </c>
      <c r="J364">
        <v>1.4168070000000001E-4</v>
      </c>
      <c r="K364">
        <v>-1.394143E-4</v>
      </c>
    </row>
    <row r="365" spans="1:11">
      <c r="A365">
        <v>4</v>
      </c>
      <c r="B365" t="s">
        <v>112</v>
      </c>
      <c r="C365">
        <v>31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</row>
    <row r="366" spans="1:11">
      <c r="A366">
        <v>4</v>
      </c>
      <c r="B366" t="s">
        <v>112</v>
      </c>
      <c r="C366">
        <v>32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</row>
    <row r="367" spans="1:11">
      <c r="A367">
        <v>4</v>
      </c>
      <c r="B367" t="s">
        <v>112</v>
      </c>
      <c r="C367">
        <v>33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</row>
    <row r="368" spans="1:11">
      <c r="A368">
        <v>4</v>
      </c>
      <c r="B368" t="s">
        <v>112</v>
      </c>
      <c r="C368">
        <v>34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</row>
    <row r="369" spans="1:11">
      <c r="A369">
        <v>4</v>
      </c>
      <c r="B369" t="s">
        <v>112</v>
      </c>
      <c r="C369">
        <v>35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</row>
    <row r="370" spans="1:11">
      <c r="A370">
        <v>4</v>
      </c>
      <c r="B370" t="s">
        <v>112</v>
      </c>
      <c r="C370">
        <v>36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</row>
    <row r="371" spans="1:11">
      <c r="A371">
        <v>4</v>
      </c>
      <c r="B371" t="s">
        <v>112</v>
      </c>
      <c r="C371">
        <v>37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</row>
    <row r="372" spans="1:11">
      <c r="A372">
        <v>4</v>
      </c>
      <c r="B372" t="s">
        <v>113</v>
      </c>
      <c r="C372">
        <v>1</v>
      </c>
      <c r="D372">
        <v>2</v>
      </c>
      <c r="E372">
        <v>1</v>
      </c>
      <c r="F372">
        <v>7.9094159999999996E-4</v>
      </c>
      <c r="G372">
        <v>3.1568600000000003E-4</v>
      </c>
      <c r="H372">
        <v>2.74994E-5</v>
      </c>
      <c r="I372">
        <v>4.160703E-3</v>
      </c>
      <c r="J372">
        <v>-2.1547609999999999E-4</v>
      </c>
      <c r="K372">
        <v>1.8404010000000001E-4</v>
      </c>
    </row>
    <row r="373" spans="1:11">
      <c r="A373">
        <v>4</v>
      </c>
      <c r="B373" t="s">
        <v>113</v>
      </c>
      <c r="C373">
        <v>2</v>
      </c>
      <c r="D373">
        <v>2</v>
      </c>
      <c r="E373">
        <v>0</v>
      </c>
      <c r="F373">
        <v>7.1269180000000005E-4</v>
      </c>
      <c r="G373">
        <v>3.5889739999999998E-4</v>
      </c>
      <c r="H373">
        <v>2.7946400000000001E-5</v>
      </c>
      <c r="I373">
        <v>0</v>
      </c>
      <c r="J373">
        <v>0</v>
      </c>
      <c r="K373">
        <v>0</v>
      </c>
    </row>
    <row r="374" spans="1:11">
      <c r="A374">
        <v>4</v>
      </c>
      <c r="B374" t="s">
        <v>113</v>
      </c>
      <c r="C374">
        <v>3</v>
      </c>
      <c r="D374">
        <v>2</v>
      </c>
      <c r="E374">
        <v>0</v>
      </c>
      <c r="F374">
        <v>7.0634180000000003E-4</v>
      </c>
      <c r="G374">
        <v>3.6658380000000003E-4</v>
      </c>
      <c r="H374">
        <v>2.7957300000000001E-5</v>
      </c>
      <c r="I374">
        <v>0</v>
      </c>
      <c r="J374">
        <v>0</v>
      </c>
      <c r="K374">
        <v>0</v>
      </c>
    </row>
    <row r="375" spans="1:11">
      <c r="A375">
        <v>4</v>
      </c>
      <c r="B375" t="s">
        <v>113</v>
      </c>
      <c r="C375">
        <v>4</v>
      </c>
      <c r="D375">
        <v>2</v>
      </c>
      <c r="E375">
        <v>0</v>
      </c>
      <c r="F375">
        <v>6.9262139999999995E-4</v>
      </c>
      <c r="G375">
        <v>3.7425929999999999E-4</v>
      </c>
      <c r="H375">
        <v>2.7864600000000001E-5</v>
      </c>
      <c r="I375">
        <v>0</v>
      </c>
      <c r="J375">
        <v>0</v>
      </c>
      <c r="K375">
        <v>0</v>
      </c>
    </row>
    <row r="376" spans="1:11">
      <c r="A376">
        <v>4</v>
      </c>
      <c r="B376" t="s">
        <v>113</v>
      </c>
      <c r="C376">
        <v>5</v>
      </c>
      <c r="D376">
        <v>2</v>
      </c>
      <c r="E376">
        <v>0</v>
      </c>
      <c r="F376">
        <v>2.5395270000000002E-3</v>
      </c>
      <c r="G376">
        <v>4.6130569999999998E-4</v>
      </c>
      <c r="H376">
        <v>3.1262600000000001E-5</v>
      </c>
      <c r="I376">
        <v>0</v>
      </c>
      <c r="J376">
        <v>0</v>
      </c>
      <c r="K376">
        <v>0</v>
      </c>
    </row>
    <row r="377" spans="1:11">
      <c r="A377">
        <v>4</v>
      </c>
      <c r="B377" t="s">
        <v>113</v>
      </c>
      <c r="C377">
        <v>6</v>
      </c>
      <c r="D377">
        <v>2</v>
      </c>
      <c r="E377">
        <v>0</v>
      </c>
      <c r="F377">
        <v>2.4709210000000001E-3</v>
      </c>
      <c r="G377">
        <v>4.6994030000000001E-4</v>
      </c>
      <c r="H377">
        <v>3.1542099999999997E-5</v>
      </c>
      <c r="I377">
        <v>0</v>
      </c>
      <c r="J377">
        <v>0</v>
      </c>
      <c r="K377">
        <v>0</v>
      </c>
    </row>
    <row r="378" spans="1:11">
      <c r="A378">
        <v>4</v>
      </c>
      <c r="B378" t="s">
        <v>113</v>
      </c>
      <c r="C378">
        <v>7</v>
      </c>
      <c r="D378">
        <v>2</v>
      </c>
      <c r="E378">
        <v>0</v>
      </c>
      <c r="F378">
        <v>2.43793E-3</v>
      </c>
      <c r="G378">
        <v>4.7858889999999999E-4</v>
      </c>
      <c r="H378">
        <v>3.1355700000000002E-5</v>
      </c>
      <c r="I378">
        <v>0</v>
      </c>
      <c r="J378">
        <v>0</v>
      </c>
      <c r="K378">
        <v>0</v>
      </c>
    </row>
    <row r="379" spans="1:11">
      <c r="A379">
        <v>4</v>
      </c>
      <c r="B379" t="s">
        <v>113</v>
      </c>
      <c r="C379">
        <v>8</v>
      </c>
      <c r="D379">
        <v>2</v>
      </c>
      <c r="E379">
        <v>0</v>
      </c>
      <c r="F379">
        <v>1.202956E-3</v>
      </c>
      <c r="G379">
        <v>4.3089460000000001E-4</v>
      </c>
      <c r="H379">
        <v>4.5803E-6</v>
      </c>
      <c r="I379">
        <v>0</v>
      </c>
      <c r="J379">
        <v>0</v>
      </c>
      <c r="K379">
        <v>0</v>
      </c>
    </row>
    <row r="380" spans="1:11">
      <c r="A380">
        <v>4</v>
      </c>
      <c r="B380" t="s">
        <v>113</v>
      </c>
      <c r="C380">
        <v>9</v>
      </c>
      <c r="D380">
        <v>2</v>
      </c>
      <c r="E380">
        <v>0</v>
      </c>
      <c r="F380">
        <v>1.1344650000000001E-3</v>
      </c>
      <c r="G380">
        <v>4.3217599999999999E-4</v>
      </c>
      <c r="H380">
        <v>4.7426000000000001E-6</v>
      </c>
      <c r="I380">
        <v>0</v>
      </c>
      <c r="J380">
        <v>0</v>
      </c>
      <c r="K380">
        <v>0</v>
      </c>
    </row>
    <row r="381" spans="1:11">
      <c r="A381">
        <v>4</v>
      </c>
      <c r="B381" t="s">
        <v>113</v>
      </c>
      <c r="C381">
        <v>10</v>
      </c>
      <c r="D381">
        <v>2</v>
      </c>
      <c r="E381">
        <v>0</v>
      </c>
      <c r="F381">
        <v>1.10228E-3</v>
      </c>
      <c r="G381">
        <v>4.3347120000000001E-4</v>
      </c>
      <c r="H381">
        <v>4.6761E-6</v>
      </c>
      <c r="I381">
        <v>0</v>
      </c>
      <c r="J381">
        <v>0</v>
      </c>
      <c r="K381">
        <v>0</v>
      </c>
    </row>
    <row r="382" spans="1:11">
      <c r="A382">
        <v>4</v>
      </c>
      <c r="B382" t="s">
        <v>113</v>
      </c>
      <c r="C382">
        <v>11</v>
      </c>
      <c r="D382">
        <v>2</v>
      </c>
      <c r="E382">
        <v>0</v>
      </c>
      <c r="F382">
        <v>-7.9930600000000003E-5</v>
      </c>
      <c r="G382">
        <v>3.7367420000000001E-4</v>
      </c>
      <c r="H382">
        <v>-2.4766999999999999E-6</v>
      </c>
      <c r="I382">
        <v>0</v>
      </c>
      <c r="J382">
        <v>0</v>
      </c>
      <c r="K382">
        <v>0</v>
      </c>
    </row>
    <row r="383" spans="1:11">
      <c r="A383">
        <v>4</v>
      </c>
      <c r="B383" t="s">
        <v>113</v>
      </c>
      <c r="C383">
        <v>12</v>
      </c>
      <c r="D383">
        <v>2</v>
      </c>
      <c r="E383">
        <v>0</v>
      </c>
      <c r="F383">
        <v>-8.9434199999999998E-5</v>
      </c>
      <c r="G383">
        <v>3.7300419999999998E-4</v>
      </c>
      <c r="H383">
        <v>-1.4588999999999999E-6</v>
      </c>
      <c r="I383">
        <v>0</v>
      </c>
      <c r="J383">
        <v>0</v>
      </c>
      <c r="K383">
        <v>0</v>
      </c>
    </row>
    <row r="384" spans="1:11">
      <c r="A384">
        <v>4</v>
      </c>
      <c r="B384" t="s">
        <v>113</v>
      </c>
      <c r="C384">
        <v>13</v>
      </c>
      <c r="D384">
        <v>4</v>
      </c>
      <c r="E384">
        <v>0</v>
      </c>
      <c r="F384">
        <v>-1.5506440000000001E-4</v>
      </c>
      <c r="G384">
        <v>3.7285850000000001E-4</v>
      </c>
      <c r="H384">
        <v>-4.7849999999999995E-7</v>
      </c>
      <c r="I384">
        <v>0</v>
      </c>
      <c r="J384">
        <v>0</v>
      </c>
      <c r="K384">
        <v>0</v>
      </c>
    </row>
    <row r="385" spans="1:11">
      <c r="A385">
        <v>4</v>
      </c>
      <c r="B385" t="s">
        <v>113</v>
      </c>
      <c r="C385">
        <v>14</v>
      </c>
      <c r="D385">
        <v>4</v>
      </c>
      <c r="E385">
        <v>0</v>
      </c>
      <c r="F385">
        <v>-1.342417E-3</v>
      </c>
      <c r="G385">
        <v>4.2670639999999998E-4</v>
      </c>
      <c r="H385">
        <v>-1.1341299999999999E-5</v>
      </c>
      <c r="I385">
        <v>0</v>
      </c>
      <c r="J385">
        <v>0</v>
      </c>
      <c r="K385">
        <v>0</v>
      </c>
    </row>
    <row r="386" spans="1:11">
      <c r="A386">
        <v>4</v>
      </c>
      <c r="B386" t="s">
        <v>113</v>
      </c>
      <c r="C386">
        <v>15</v>
      </c>
      <c r="D386">
        <v>4</v>
      </c>
      <c r="E386">
        <v>0</v>
      </c>
      <c r="F386">
        <v>-1.3533569999999999E-3</v>
      </c>
      <c r="G386">
        <v>4.2357419999999998E-4</v>
      </c>
      <c r="H386">
        <v>-1.14376E-5</v>
      </c>
      <c r="I386">
        <v>0</v>
      </c>
      <c r="J386">
        <v>0</v>
      </c>
      <c r="K386">
        <v>0</v>
      </c>
    </row>
    <row r="387" spans="1:11">
      <c r="A387">
        <v>4</v>
      </c>
      <c r="B387" t="s">
        <v>113</v>
      </c>
      <c r="C387">
        <v>16</v>
      </c>
      <c r="D387">
        <v>4</v>
      </c>
      <c r="E387">
        <v>0</v>
      </c>
      <c r="F387">
        <v>-1.421863E-3</v>
      </c>
      <c r="G387">
        <v>4.2045260000000002E-4</v>
      </c>
      <c r="H387">
        <v>-1.12684E-5</v>
      </c>
      <c r="I387">
        <v>0</v>
      </c>
      <c r="J387">
        <v>0</v>
      </c>
      <c r="K387">
        <v>0</v>
      </c>
    </row>
    <row r="388" spans="1:11">
      <c r="A388">
        <v>4</v>
      </c>
      <c r="B388" t="s">
        <v>113</v>
      </c>
      <c r="C388">
        <v>17</v>
      </c>
      <c r="D388">
        <v>4</v>
      </c>
      <c r="E388">
        <v>0</v>
      </c>
      <c r="F388">
        <v>-2.6707850000000002E-3</v>
      </c>
      <c r="G388">
        <v>4.2079850000000001E-4</v>
      </c>
      <c r="H388">
        <v>-4.4891400000000002E-5</v>
      </c>
      <c r="I388">
        <v>0</v>
      </c>
      <c r="J388">
        <v>0</v>
      </c>
      <c r="K388">
        <v>0</v>
      </c>
    </row>
    <row r="389" spans="1:11">
      <c r="A389">
        <v>4</v>
      </c>
      <c r="B389" t="s">
        <v>113</v>
      </c>
      <c r="C389">
        <v>18</v>
      </c>
      <c r="D389">
        <v>4</v>
      </c>
      <c r="E389">
        <v>0</v>
      </c>
      <c r="F389">
        <v>-2.7060410000000002E-3</v>
      </c>
      <c r="G389">
        <v>4.0842470000000003E-4</v>
      </c>
      <c r="H389">
        <v>-4.5099499999999997E-5</v>
      </c>
      <c r="I389">
        <v>0</v>
      </c>
      <c r="J389">
        <v>0</v>
      </c>
      <c r="K389">
        <v>0</v>
      </c>
    </row>
    <row r="390" spans="1:11">
      <c r="A390">
        <v>4</v>
      </c>
      <c r="B390" t="s">
        <v>113</v>
      </c>
      <c r="C390">
        <v>19</v>
      </c>
      <c r="D390">
        <v>4</v>
      </c>
      <c r="E390">
        <v>0</v>
      </c>
      <c r="F390">
        <v>-2.7746709999999998E-3</v>
      </c>
      <c r="G390">
        <v>3.9606379999999999E-4</v>
      </c>
      <c r="H390">
        <v>-4.4804300000000001E-5</v>
      </c>
      <c r="I390">
        <v>0</v>
      </c>
      <c r="J390">
        <v>0</v>
      </c>
      <c r="K390">
        <v>0</v>
      </c>
    </row>
    <row r="391" spans="1:11">
      <c r="A391">
        <v>4</v>
      </c>
      <c r="B391" t="s">
        <v>113</v>
      </c>
      <c r="C391">
        <v>20</v>
      </c>
      <c r="D391">
        <v>4</v>
      </c>
      <c r="E391">
        <v>0</v>
      </c>
      <c r="F391">
        <v>-5.5527539999999996E-4</v>
      </c>
      <c r="G391">
        <v>3.648309E-4</v>
      </c>
      <c r="H391">
        <v>-1.4063800000000001E-5</v>
      </c>
      <c r="I391">
        <v>0</v>
      </c>
      <c r="J391">
        <v>0</v>
      </c>
      <c r="K391">
        <v>0</v>
      </c>
    </row>
    <row r="392" spans="1:11">
      <c r="A392">
        <v>4</v>
      </c>
      <c r="B392" t="s">
        <v>113</v>
      </c>
      <c r="C392">
        <v>21</v>
      </c>
      <c r="D392">
        <v>4</v>
      </c>
      <c r="E392">
        <v>0</v>
      </c>
      <c r="F392">
        <v>-5.6899930000000004E-4</v>
      </c>
      <c r="G392">
        <v>3.609525E-4</v>
      </c>
      <c r="H392">
        <v>-1.4141899999999999E-5</v>
      </c>
      <c r="I392">
        <v>0</v>
      </c>
      <c r="J392">
        <v>0</v>
      </c>
      <c r="K392">
        <v>0</v>
      </c>
    </row>
    <row r="393" spans="1:11">
      <c r="A393">
        <v>4</v>
      </c>
      <c r="B393" t="s">
        <v>113</v>
      </c>
      <c r="C393">
        <v>22</v>
      </c>
      <c r="D393">
        <v>4</v>
      </c>
      <c r="E393">
        <v>0</v>
      </c>
      <c r="F393">
        <v>-5.7639919999999997E-4</v>
      </c>
      <c r="G393">
        <v>3.5706550000000001E-4</v>
      </c>
      <c r="H393">
        <v>-1.4131000000000001E-5</v>
      </c>
      <c r="I393">
        <v>0</v>
      </c>
      <c r="J393">
        <v>0</v>
      </c>
      <c r="K393">
        <v>0</v>
      </c>
    </row>
    <row r="394" spans="1:11">
      <c r="A394">
        <v>4</v>
      </c>
      <c r="B394" t="s">
        <v>113</v>
      </c>
      <c r="C394">
        <v>23</v>
      </c>
      <c r="D394">
        <v>4</v>
      </c>
      <c r="E394">
        <v>1</v>
      </c>
      <c r="F394">
        <v>-6.5464919999999995E-4</v>
      </c>
      <c r="G394">
        <v>3.3547509999999999E-4</v>
      </c>
      <c r="H394">
        <v>-1.3684E-5</v>
      </c>
      <c r="I394">
        <v>-3.4857730000000002E-3</v>
      </c>
      <c r="J394">
        <v>-1.122672E-4</v>
      </c>
      <c r="K394">
        <v>-1.367893E-4</v>
      </c>
    </row>
    <row r="395" spans="1:11">
      <c r="A395">
        <v>4</v>
      </c>
      <c r="B395" t="s">
        <v>113</v>
      </c>
      <c r="C395">
        <v>24</v>
      </c>
      <c r="D395">
        <v>2</v>
      </c>
      <c r="E395">
        <v>0</v>
      </c>
      <c r="F395">
        <v>6.7322390000000001E-4</v>
      </c>
      <c r="G395">
        <v>3.658698E-4</v>
      </c>
      <c r="H395">
        <v>2.8389199999999999E-5</v>
      </c>
      <c r="I395">
        <v>0</v>
      </c>
      <c r="J395">
        <v>0</v>
      </c>
      <c r="K395">
        <v>0</v>
      </c>
    </row>
    <row r="396" spans="1:11">
      <c r="A396">
        <v>4</v>
      </c>
      <c r="B396" t="s">
        <v>113</v>
      </c>
      <c r="C396">
        <v>25</v>
      </c>
      <c r="D396">
        <v>2</v>
      </c>
      <c r="E396">
        <v>0</v>
      </c>
      <c r="F396">
        <v>2.4327620000000002E-3</v>
      </c>
      <c r="G396">
        <v>4.6901860000000002E-4</v>
      </c>
      <c r="H396">
        <v>3.3313499999999999E-5</v>
      </c>
      <c r="I396">
        <v>0</v>
      </c>
      <c r="J396">
        <v>0</v>
      </c>
      <c r="K396">
        <v>0</v>
      </c>
    </row>
    <row r="397" spans="1:11">
      <c r="A397">
        <v>4</v>
      </c>
      <c r="B397" t="s">
        <v>113</v>
      </c>
      <c r="C397">
        <v>26</v>
      </c>
      <c r="D397">
        <v>2</v>
      </c>
      <c r="E397">
        <v>0</v>
      </c>
      <c r="F397">
        <v>1.128366E-3</v>
      </c>
      <c r="G397">
        <v>4.3133020000000002E-4</v>
      </c>
      <c r="H397">
        <v>5.5941999999999997E-6</v>
      </c>
      <c r="I397">
        <v>0</v>
      </c>
      <c r="J397">
        <v>0</v>
      </c>
      <c r="K397">
        <v>0</v>
      </c>
    </row>
    <row r="398" spans="1:11">
      <c r="A398">
        <v>4</v>
      </c>
      <c r="B398" t="s">
        <v>113</v>
      </c>
      <c r="C398">
        <v>27</v>
      </c>
      <c r="D398">
        <v>2</v>
      </c>
      <c r="E398">
        <v>0</v>
      </c>
      <c r="F398">
        <v>-8.7681099999999996E-5</v>
      </c>
      <c r="G398">
        <v>3.7227730000000001E-4</v>
      </c>
      <c r="H398">
        <v>-1.5217E-6</v>
      </c>
      <c r="I398">
        <v>0</v>
      </c>
      <c r="J398">
        <v>0</v>
      </c>
      <c r="K398">
        <v>0</v>
      </c>
    </row>
    <row r="399" spans="1:11">
      <c r="A399">
        <v>4</v>
      </c>
      <c r="B399" t="s">
        <v>113</v>
      </c>
      <c r="C399">
        <v>28</v>
      </c>
      <c r="D399">
        <v>4</v>
      </c>
      <c r="E399">
        <v>0</v>
      </c>
      <c r="F399">
        <v>-1.339303E-3</v>
      </c>
      <c r="G399">
        <v>4.227457E-4</v>
      </c>
      <c r="H399">
        <v>-1.24308E-5</v>
      </c>
      <c r="I399">
        <v>0</v>
      </c>
      <c r="J399">
        <v>0</v>
      </c>
      <c r="K399">
        <v>0</v>
      </c>
    </row>
    <row r="400" spans="1:11">
      <c r="A400">
        <v>4</v>
      </c>
      <c r="B400" t="s">
        <v>113</v>
      </c>
      <c r="C400">
        <v>29</v>
      </c>
      <c r="D400">
        <v>4</v>
      </c>
      <c r="E400">
        <v>0</v>
      </c>
      <c r="F400">
        <v>-2.6518729999999999E-3</v>
      </c>
      <c r="G400">
        <v>4.076266E-4</v>
      </c>
      <c r="H400">
        <v>-4.6998E-5</v>
      </c>
      <c r="I400">
        <v>0</v>
      </c>
      <c r="J400">
        <v>0</v>
      </c>
      <c r="K400">
        <v>0</v>
      </c>
    </row>
    <row r="401" spans="1:11">
      <c r="A401">
        <v>4</v>
      </c>
      <c r="B401" t="s">
        <v>113</v>
      </c>
      <c r="C401">
        <v>30</v>
      </c>
      <c r="D401">
        <v>4</v>
      </c>
      <c r="E401">
        <v>0</v>
      </c>
      <c r="F401">
        <v>-5.5214659999999998E-4</v>
      </c>
      <c r="G401">
        <v>3.6024990000000002E-4</v>
      </c>
      <c r="H401">
        <v>-1.4522799999999999E-5</v>
      </c>
      <c r="I401">
        <v>0</v>
      </c>
      <c r="J401">
        <v>0</v>
      </c>
      <c r="K401">
        <v>0</v>
      </c>
    </row>
    <row r="402" spans="1:11">
      <c r="A402">
        <v>4</v>
      </c>
      <c r="B402" t="s">
        <v>113</v>
      </c>
      <c r="C402">
        <v>31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</row>
    <row r="403" spans="1:11">
      <c r="A403">
        <v>4</v>
      </c>
      <c r="B403" t="s">
        <v>113</v>
      </c>
      <c r="C403">
        <v>32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</row>
    <row r="404" spans="1:11">
      <c r="A404">
        <v>4</v>
      </c>
      <c r="B404" t="s">
        <v>113</v>
      </c>
      <c r="C404">
        <v>33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</row>
    <row r="405" spans="1:11">
      <c r="A405">
        <v>4</v>
      </c>
      <c r="B405" t="s">
        <v>113</v>
      </c>
      <c r="C405">
        <v>34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</row>
    <row r="406" spans="1:11">
      <c r="A406">
        <v>4</v>
      </c>
      <c r="B406" t="s">
        <v>113</v>
      </c>
      <c r="C406">
        <v>35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</row>
    <row r="407" spans="1:11">
      <c r="A407">
        <v>4</v>
      </c>
      <c r="B407" t="s">
        <v>113</v>
      </c>
      <c r="C407">
        <v>36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</row>
    <row r="408" spans="1:11">
      <c r="A408">
        <v>4</v>
      </c>
      <c r="B408" t="s">
        <v>113</v>
      </c>
      <c r="C408">
        <v>37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</row>
    <row r="409" spans="1:11">
      <c r="A409">
        <v>4</v>
      </c>
      <c r="B409" t="s">
        <v>114</v>
      </c>
      <c r="C409">
        <v>1</v>
      </c>
      <c r="D409">
        <v>4</v>
      </c>
      <c r="E409">
        <v>0</v>
      </c>
      <c r="F409">
        <v>4.1663239999999999E-3</v>
      </c>
      <c r="G409">
        <v>-2.1391659999999999E-4</v>
      </c>
      <c r="H409">
        <v>1.8439880000000001E-4</v>
      </c>
      <c r="I409">
        <v>0</v>
      </c>
      <c r="J409">
        <v>0</v>
      </c>
      <c r="K409">
        <v>0</v>
      </c>
    </row>
    <row r="410" spans="1:11">
      <c r="A410">
        <v>4</v>
      </c>
      <c r="B410" t="s">
        <v>114</v>
      </c>
      <c r="C410">
        <v>2</v>
      </c>
      <c r="D410">
        <v>4</v>
      </c>
      <c r="E410">
        <v>0</v>
      </c>
      <c r="F410">
        <v>3.7750739999999998E-3</v>
      </c>
      <c r="G410">
        <v>7.4842299999999993E-5</v>
      </c>
      <c r="H410">
        <v>1.848458E-4</v>
      </c>
      <c r="I410">
        <v>0</v>
      </c>
      <c r="J410">
        <v>0</v>
      </c>
      <c r="K410">
        <v>0</v>
      </c>
    </row>
    <row r="411" spans="1:11">
      <c r="A411">
        <v>4</v>
      </c>
      <c r="B411" t="s">
        <v>114</v>
      </c>
      <c r="C411">
        <v>3</v>
      </c>
      <c r="D411">
        <v>4</v>
      </c>
      <c r="E411">
        <v>0</v>
      </c>
      <c r="F411">
        <v>3.7433229999999998E-3</v>
      </c>
      <c r="G411">
        <v>1.2567599999999999E-4</v>
      </c>
      <c r="H411">
        <v>1.8485649999999999E-4</v>
      </c>
      <c r="I411">
        <v>0</v>
      </c>
      <c r="J411">
        <v>0</v>
      </c>
      <c r="K411">
        <v>0</v>
      </c>
    </row>
    <row r="412" spans="1:11">
      <c r="A412">
        <v>4</v>
      </c>
      <c r="B412" t="s">
        <v>114</v>
      </c>
      <c r="C412">
        <v>4</v>
      </c>
      <c r="D412">
        <v>4</v>
      </c>
      <c r="E412">
        <v>0</v>
      </c>
      <c r="F412">
        <v>3.6747160000000002E-3</v>
      </c>
      <c r="G412">
        <v>1.764356E-4</v>
      </c>
      <c r="H412">
        <v>1.8430890000000001E-4</v>
      </c>
      <c r="I412">
        <v>0</v>
      </c>
      <c r="J412">
        <v>0</v>
      </c>
      <c r="K412">
        <v>0</v>
      </c>
    </row>
    <row r="413" spans="1:11">
      <c r="A413">
        <v>4</v>
      </c>
      <c r="B413" t="s">
        <v>114</v>
      </c>
      <c r="C413">
        <v>5</v>
      </c>
      <c r="D413">
        <v>4</v>
      </c>
      <c r="E413">
        <v>0</v>
      </c>
      <c r="F413">
        <v>2.601482E-3</v>
      </c>
      <c r="G413">
        <v>4.4974700000000002E-4</v>
      </c>
      <c r="H413">
        <v>3.3300999999999998E-5</v>
      </c>
      <c r="I413">
        <v>0</v>
      </c>
      <c r="J413">
        <v>0</v>
      </c>
      <c r="K413">
        <v>0</v>
      </c>
    </row>
    <row r="414" spans="1:11">
      <c r="A414">
        <v>4</v>
      </c>
      <c r="B414" t="s">
        <v>114</v>
      </c>
      <c r="C414">
        <v>6</v>
      </c>
      <c r="D414">
        <v>4</v>
      </c>
      <c r="E414">
        <v>0</v>
      </c>
      <c r="F414">
        <v>2.5328740000000001E-3</v>
      </c>
      <c r="G414">
        <v>4.5894250000000001E-4</v>
      </c>
      <c r="H414">
        <v>3.3582599999999999E-5</v>
      </c>
      <c r="I414">
        <v>0</v>
      </c>
      <c r="J414">
        <v>0</v>
      </c>
      <c r="K414">
        <v>0</v>
      </c>
    </row>
    <row r="415" spans="1:11">
      <c r="A415">
        <v>4</v>
      </c>
      <c r="B415" t="s">
        <v>114</v>
      </c>
      <c r="C415">
        <v>7</v>
      </c>
      <c r="D415">
        <v>4</v>
      </c>
      <c r="E415">
        <v>0</v>
      </c>
      <c r="F415">
        <v>2.4998830000000001E-3</v>
      </c>
      <c r="G415">
        <v>4.6815110000000002E-4</v>
      </c>
      <c r="H415">
        <v>3.33884E-5</v>
      </c>
      <c r="I415">
        <v>0</v>
      </c>
      <c r="J415">
        <v>0</v>
      </c>
      <c r="K415">
        <v>0</v>
      </c>
    </row>
    <row r="416" spans="1:11">
      <c r="A416">
        <v>4</v>
      </c>
      <c r="B416" t="s">
        <v>114</v>
      </c>
      <c r="C416">
        <v>8</v>
      </c>
      <c r="D416">
        <v>4</v>
      </c>
      <c r="E416">
        <v>2</v>
      </c>
      <c r="F416">
        <v>1.2647299999999999E-3</v>
      </c>
      <c r="G416">
        <v>4.2443709999999998E-4</v>
      </c>
      <c r="H416">
        <v>5.9505E-6</v>
      </c>
      <c r="I416">
        <v>2.138679E-4</v>
      </c>
      <c r="J416">
        <v>3.4993239999999998E-4</v>
      </c>
      <c r="K416">
        <v>-1.4709E-6</v>
      </c>
    </row>
    <row r="417" spans="1:11">
      <c r="A417">
        <v>4</v>
      </c>
      <c r="B417" t="s">
        <v>114</v>
      </c>
      <c r="C417">
        <v>9</v>
      </c>
      <c r="D417">
        <v>4</v>
      </c>
      <c r="E417">
        <v>2</v>
      </c>
      <c r="F417">
        <v>1.1962380000000001E-3</v>
      </c>
      <c r="G417">
        <v>4.2609620000000001E-4</v>
      </c>
      <c r="H417">
        <v>6.1191000000000004E-6</v>
      </c>
      <c r="I417">
        <v>2.0017179999999999E-4</v>
      </c>
      <c r="J417">
        <v>3.4953170000000001E-4</v>
      </c>
      <c r="K417">
        <v>-1.4421999999999999E-6</v>
      </c>
    </row>
    <row r="418" spans="1:11">
      <c r="A418">
        <v>4</v>
      </c>
      <c r="B418" t="s">
        <v>114</v>
      </c>
      <c r="C418">
        <v>10</v>
      </c>
      <c r="D418">
        <v>4</v>
      </c>
      <c r="E418">
        <v>2</v>
      </c>
      <c r="F418">
        <v>1.164053E-3</v>
      </c>
      <c r="G418">
        <v>4.2776929999999998E-4</v>
      </c>
      <c r="H418">
        <v>6.0482E-6</v>
      </c>
      <c r="I418">
        <v>1.9373700000000001E-4</v>
      </c>
      <c r="J418">
        <v>3.491325E-4</v>
      </c>
      <c r="K418">
        <v>-1.463E-6</v>
      </c>
    </row>
    <row r="419" spans="1:11">
      <c r="A419">
        <v>4</v>
      </c>
      <c r="B419" t="s">
        <v>114</v>
      </c>
      <c r="C419">
        <v>11</v>
      </c>
      <c r="D419">
        <v>4</v>
      </c>
      <c r="E419">
        <v>2</v>
      </c>
      <c r="F419">
        <v>2.11705E-5</v>
      </c>
      <c r="G419">
        <v>3.0723129999999998E-4</v>
      </c>
      <c r="H419">
        <v>5.2890000000000003E-7</v>
      </c>
      <c r="I419">
        <v>-7.9930600000000003E-5</v>
      </c>
      <c r="J419">
        <v>3.7367420000000001E-4</v>
      </c>
      <c r="K419">
        <v>-2.4766999999999999E-6</v>
      </c>
    </row>
    <row r="420" spans="1:11">
      <c r="A420">
        <v>4</v>
      </c>
      <c r="B420" t="s">
        <v>114</v>
      </c>
      <c r="C420">
        <v>12</v>
      </c>
      <c r="D420">
        <v>4</v>
      </c>
      <c r="E420">
        <v>2</v>
      </c>
      <c r="F420">
        <v>7.4857000000000002E-6</v>
      </c>
      <c r="G420">
        <v>3.073846E-4</v>
      </c>
      <c r="H420">
        <v>5.8739999999999998E-7</v>
      </c>
      <c r="I420">
        <v>-1.483659E-4</v>
      </c>
      <c r="J420">
        <v>3.7300419999999998E-4</v>
      </c>
      <c r="K420">
        <v>-2.3937000000000001E-6</v>
      </c>
    </row>
    <row r="421" spans="1:11">
      <c r="A421">
        <v>4</v>
      </c>
      <c r="B421" t="s">
        <v>114</v>
      </c>
      <c r="C421">
        <v>13</v>
      </c>
      <c r="D421">
        <v>4</v>
      </c>
      <c r="E421">
        <v>2</v>
      </c>
      <c r="F421">
        <v>-6.2002000000000004E-6</v>
      </c>
      <c r="G421">
        <v>3.0755419999999999E-4</v>
      </c>
      <c r="H421">
        <v>6.4479999999999995E-7</v>
      </c>
      <c r="I421">
        <v>-2.1680669999999999E-4</v>
      </c>
      <c r="J421">
        <v>3.7236140000000001E-4</v>
      </c>
      <c r="K421">
        <v>-2.2834999999999998E-6</v>
      </c>
    </row>
    <row r="422" spans="1:11">
      <c r="A422">
        <v>4</v>
      </c>
      <c r="B422" t="s">
        <v>114</v>
      </c>
      <c r="C422">
        <v>14</v>
      </c>
      <c r="D422">
        <v>0</v>
      </c>
      <c r="E422">
        <v>2</v>
      </c>
      <c r="F422">
        <v>0</v>
      </c>
      <c r="G422">
        <v>0</v>
      </c>
      <c r="H422">
        <v>0</v>
      </c>
      <c r="I422">
        <v>-1.40419E-3</v>
      </c>
      <c r="J422">
        <v>4.2100440000000002E-4</v>
      </c>
      <c r="K422">
        <v>-1.2713300000000001E-5</v>
      </c>
    </row>
    <row r="423" spans="1:11">
      <c r="A423">
        <v>4</v>
      </c>
      <c r="B423" t="s">
        <v>114</v>
      </c>
      <c r="C423">
        <v>15</v>
      </c>
      <c r="D423">
        <v>0</v>
      </c>
      <c r="E423">
        <v>2</v>
      </c>
      <c r="F423">
        <v>0</v>
      </c>
      <c r="G423">
        <v>0</v>
      </c>
      <c r="H423">
        <v>0</v>
      </c>
      <c r="I423">
        <v>-1.415131E-3</v>
      </c>
      <c r="J423">
        <v>4.1749430000000002E-4</v>
      </c>
      <c r="K423">
        <v>-1.28141E-5</v>
      </c>
    </row>
    <row r="424" spans="1:11">
      <c r="A424">
        <v>4</v>
      </c>
      <c r="B424" t="s">
        <v>114</v>
      </c>
      <c r="C424">
        <v>16</v>
      </c>
      <c r="D424">
        <v>0</v>
      </c>
      <c r="E424">
        <v>2</v>
      </c>
      <c r="F424">
        <v>0</v>
      </c>
      <c r="G424">
        <v>0</v>
      </c>
      <c r="H424">
        <v>0</v>
      </c>
      <c r="I424">
        <v>-1.4836370000000001E-3</v>
      </c>
      <c r="J424">
        <v>4.1399509999999999E-4</v>
      </c>
      <c r="K424">
        <v>-1.26386E-5</v>
      </c>
    </row>
    <row r="425" spans="1:11">
      <c r="A425">
        <v>4</v>
      </c>
      <c r="B425" t="s">
        <v>114</v>
      </c>
      <c r="C425">
        <v>17</v>
      </c>
      <c r="D425">
        <v>0</v>
      </c>
      <c r="E425">
        <v>2</v>
      </c>
      <c r="F425">
        <v>0</v>
      </c>
      <c r="G425">
        <v>0</v>
      </c>
      <c r="H425">
        <v>0</v>
      </c>
      <c r="I425">
        <v>-2.7327380000000002E-3</v>
      </c>
      <c r="J425">
        <v>4.1036069999999999E-4</v>
      </c>
      <c r="K425">
        <v>-4.69241E-5</v>
      </c>
    </row>
    <row r="426" spans="1:11">
      <c r="A426">
        <v>4</v>
      </c>
      <c r="B426" t="s">
        <v>114</v>
      </c>
      <c r="C426">
        <v>18</v>
      </c>
      <c r="D426">
        <v>0</v>
      </c>
      <c r="E426">
        <v>2</v>
      </c>
      <c r="F426">
        <v>0</v>
      </c>
      <c r="G426">
        <v>0</v>
      </c>
      <c r="H426">
        <v>0</v>
      </c>
      <c r="I426">
        <v>-2.7679950000000001E-3</v>
      </c>
      <c r="J426">
        <v>3.9742690000000002E-4</v>
      </c>
      <c r="K426">
        <v>-4.71401E-5</v>
      </c>
    </row>
    <row r="427" spans="1:11">
      <c r="A427">
        <v>4</v>
      </c>
      <c r="B427" t="s">
        <v>114</v>
      </c>
      <c r="C427">
        <v>19</v>
      </c>
      <c r="D427">
        <v>0</v>
      </c>
      <c r="E427">
        <v>2</v>
      </c>
      <c r="F427">
        <v>0</v>
      </c>
      <c r="G427">
        <v>0</v>
      </c>
      <c r="H427">
        <v>0</v>
      </c>
      <c r="I427">
        <v>-2.8366250000000002E-3</v>
      </c>
      <c r="J427">
        <v>3.8450510000000003E-4</v>
      </c>
      <c r="K427">
        <v>-4.6842699999999998E-5</v>
      </c>
    </row>
    <row r="428" spans="1:11">
      <c r="A428">
        <v>4</v>
      </c>
      <c r="B428" t="s">
        <v>114</v>
      </c>
      <c r="C428">
        <v>20</v>
      </c>
      <c r="D428">
        <v>0</v>
      </c>
      <c r="E428">
        <v>2</v>
      </c>
      <c r="F428">
        <v>0</v>
      </c>
      <c r="G428">
        <v>0</v>
      </c>
      <c r="H428">
        <v>0</v>
      </c>
      <c r="I428">
        <v>-2.9945129999999999E-3</v>
      </c>
      <c r="J428">
        <v>1.797217E-4</v>
      </c>
      <c r="K428">
        <v>-1.371496E-4</v>
      </c>
    </row>
    <row r="429" spans="1:11">
      <c r="A429">
        <v>4</v>
      </c>
      <c r="B429" t="s">
        <v>114</v>
      </c>
      <c r="C429">
        <v>21</v>
      </c>
      <c r="D429">
        <v>0</v>
      </c>
      <c r="E429">
        <v>2</v>
      </c>
      <c r="F429">
        <v>0</v>
      </c>
      <c r="G429">
        <v>0</v>
      </c>
      <c r="H429">
        <v>0</v>
      </c>
      <c r="I429">
        <v>-3.0631429999999999E-3</v>
      </c>
      <c r="J429">
        <v>1.4194340000000001E-4</v>
      </c>
      <c r="K429">
        <v>-1.376057E-4</v>
      </c>
    </row>
    <row r="430" spans="1:11">
      <c r="A430">
        <v>4</v>
      </c>
      <c r="B430" t="s">
        <v>114</v>
      </c>
      <c r="C430">
        <v>22</v>
      </c>
      <c r="D430">
        <v>0</v>
      </c>
      <c r="E430">
        <v>2</v>
      </c>
      <c r="F430">
        <v>0</v>
      </c>
      <c r="G430">
        <v>0</v>
      </c>
      <c r="H430">
        <v>0</v>
      </c>
      <c r="I430">
        <v>-3.1001430000000001E-3</v>
      </c>
      <c r="J430">
        <v>1.041038E-4</v>
      </c>
      <c r="K430">
        <v>-1.3759500000000001E-4</v>
      </c>
    </row>
    <row r="431" spans="1:11">
      <c r="A431">
        <v>4</v>
      </c>
      <c r="B431" t="s">
        <v>114</v>
      </c>
      <c r="C431">
        <v>23</v>
      </c>
      <c r="D431">
        <v>0</v>
      </c>
      <c r="E431">
        <v>2</v>
      </c>
      <c r="F431">
        <v>0</v>
      </c>
      <c r="G431">
        <v>0</v>
      </c>
      <c r="H431">
        <v>0</v>
      </c>
      <c r="I431">
        <v>-3.4913930000000002E-3</v>
      </c>
      <c r="J431">
        <v>-1.107077E-4</v>
      </c>
      <c r="K431">
        <v>-1.37148E-4</v>
      </c>
    </row>
    <row r="432" spans="1:11">
      <c r="A432">
        <v>4</v>
      </c>
      <c r="B432" t="s">
        <v>114</v>
      </c>
      <c r="C432">
        <v>24</v>
      </c>
      <c r="D432">
        <v>4</v>
      </c>
      <c r="E432">
        <v>0</v>
      </c>
      <c r="F432">
        <v>3.5247859999999998E-3</v>
      </c>
      <c r="G432">
        <v>1.25446E-4</v>
      </c>
      <c r="H432">
        <v>1.8700100000000001E-4</v>
      </c>
      <c r="I432">
        <v>0</v>
      </c>
      <c r="J432">
        <v>0</v>
      </c>
      <c r="K432">
        <v>0</v>
      </c>
    </row>
    <row r="433" spans="1:11">
      <c r="A433">
        <v>4</v>
      </c>
      <c r="B433" t="s">
        <v>114</v>
      </c>
      <c r="C433">
        <v>25</v>
      </c>
      <c r="D433">
        <v>4</v>
      </c>
      <c r="E433">
        <v>0</v>
      </c>
      <c r="F433">
        <v>2.4922939999999999E-3</v>
      </c>
      <c r="G433">
        <v>4.5804299999999999E-4</v>
      </c>
      <c r="H433">
        <v>3.5393599999999999E-5</v>
      </c>
      <c r="I433">
        <v>0</v>
      </c>
      <c r="J433">
        <v>0</v>
      </c>
      <c r="K433">
        <v>0</v>
      </c>
    </row>
    <row r="434" spans="1:11">
      <c r="A434">
        <v>4</v>
      </c>
      <c r="B434" t="s">
        <v>114</v>
      </c>
      <c r="C434">
        <v>26</v>
      </c>
      <c r="D434">
        <v>4</v>
      </c>
      <c r="E434">
        <v>2</v>
      </c>
      <c r="F434">
        <v>1.1884949999999999E-3</v>
      </c>
      <c r="G434">
        <v>4.2526260000000002E-4</v>
      </c>
      <c r="H434">
        <v>7.0126999999999998E-6</v>
      </c>
      <c r="I434">
        <v>2.017678E-4</v>
      </c>
      <c r="J434">
        <v>3.4885200000000003E-4</v>
      </c>
      <c r="K434">
        <v>-1.2829E-6</v>
      </c>
    </row>
    <row r="435" spans="1:11">
      <c r="A435">
        <v>4</v>
      </c>
      <c r="B435" t="s">
        <v>114</v>
      </c>
      <c r="C435">
        <v>27</v>
      </c>
      <c r="D435">
        <v>4</v>
      </c>
      <c r="E435">
        <v>2</v>
      </c>
      <c r="F435">
        <v>6.7934E-6</v>
      </c>
      <c r="G435">
        <v>3.0678949999999997E-4</v>
      </c>
      <c r="H435">
        <v>5.9080000000000002E-7</v>
      </c>
      <c r="I435">
        <v>-1.4548870000000001E-4</v>
      </c>
      <c r="J435">
        <v>3.7227730000000001E-4</v>
      </c>
      <c r="K435">
        <v>-2.4980999999999999E-6</v>
      </c>
    </row>
    <row r="436" spans="1:11">
      <c r="A436">
        <v>4</v>
      </c>
      <c r="B436" t="s">
        <v>114</v>
      </c>
      <c r="C436">
        <v>28</v>
      </c>
      <c r="D436">
        <v>0</v>
      </c>
      <c r="E436">
        <v>2</v>
      </c>
      <c r="F436">
        <v>0</v>
      </c>
      <c r="G436">
        <v>0</v>
      </c>
      <c r="H436">
        <v>0</v>
      </c>
      <c r="I436">
        <v>-1.3994330000000001E-3</v>
      </c>
      <c r="J436">
        <v>4.1667800000000002E-4</v>
      </c>
      <c r="K436">
        <v>-1.38493E-5</v>
      </c>
    </row>
    <row r="437" spans="1:11">
      <c r="A437">
        <v>4</v>
      </c>
      <c r="B437" t="s">
        <v>114</v>
      </c>
      <c r="C437">
        <v>29</v>
      </c>
      <c r="D437">
        <v>0</v>
      </c>
      <c r="E437">
        <v>2</v>
      </c>
      <c r="F437">
        <v>0</v>
      </c>
      <c r="G437">
        <v>0</v>
      </c>
      <c r="H437">
        <v>0</v>
      </c>
      <c r="I437">
        <v>-2.7114050000000001E-3</v>
      </c>
      <c r="J437">
        <v>3.9665099999999998E-4</v>
      </c>
      <c r="K437">
        <v>-4.9078E-5</v>
      </c>
    </row>
    <row r="438" spans="1:11">
      <c r="A438">
        <v>4</v>
      </c>
      <c r="B438" t="s">
        <v>114</v>
      </c>
      <c r="C438">
        <v>30</v>
      </c>
      <c r="D438">
        <v>0</v>
      </c>
      <c r="E438">
        <v>2</v>
      </c>
      <c r="F438">
        <v>0</v>
      </c>
      <c r="G438">
        <v>0</v>
      </c>
      <c r="H438">
        <v>0</v>
      </c>
      <c r="I438">
        <v>-2.9003340000000001E-3</v>
      </c>
      <c r="J438">
        <v>1.4168070000000001E-4</v>
      </c>
      <c r="K438">
        <v>-1.394143E-4</v>
      </c>
    </row>
    <row r="439" spans="1:11">
      <c r="A439">
        <v>4</v>
      </c>
      <c r="B439" t="s">
        <v>114</v>
      </c>
      <c r="C439">
        <v>31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</row>
    <row r="440" spans="1:11">
      <c r="A440">
        <v>4</v>
      </c>
      <c r="B440" t="s">
        <v>114</v>
      </c>
      <c r="C440">
        <v>32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1:11">
      <c r="A441">
        <v>4</v>
      </c>
      <c r="B441" t="s">
        <v>114</v>
      </c>
      <c r="C441">
        <v>33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1:11">
      <c r="A442">
        <v>4</v>
      </c>
      <c r="B442" t="s">
        <v>114</v>
      </c>
      <c r="C442">
        <v>34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1:11">
      <c r="A443">
        <v>4</v>
      </c>
      <c r="B443" t="s">
        <v>114</v>
      </c>
      <c r="C443">
        <v>35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1:11">
      <c r="A444">
        <v>4</v>
      </c>
      <c r="B444" t="s">
        <v>114</v>
      </c>
      <c r="C444">
        <v>36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1:11">
      <c r="A445">
        <v>4</v>
      </c>
      <c r="B445" t="s">
        <v>114</v>
      </c>
      <c r="C445">
        <v>37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"/>
  <dimension ref="B2:K27"/>
  <sheetViews>
    <sheetView zoomScale="85" zoomScaleNormal="85" workbookViewId="0">
      <selection activeCell="N15" sqref="N15"/>
    </sheetView>
  </sheetViews>
  <sheetFormatPr defaultColWidth="8.875" defaultRowHeight="16.5" customHeight="1"/>
  <cols>
    <col min="1" max="3" width="8.875" style="48"/>
    <col min="4" max="4" width="9.5" style="48" bestFit="1" customWidth="1"/>
    <col min="5" max="16384" width="8.875" style="48"/>
  </cols>
  <sheetData>
    <row r="2" spans="2:11" ht="16.5" customHeight="1">
      <c r="B2" s="77" t="s">
        <v>38</v>
      </c>
    </row>
    <row r="4" spans="2:11" ht="16.5" customHeight="1">
      <c r="B4" s="215" t="s">
        <v>39</v>
      </c>
      <c r="C4" s="216"/>
      <c r="D4" s="90" t="s">
        <v>75</v>
      </c>
      <c r="F4" s="220"/>
      <c r="G4" s="221"/>
      <c r="H4" s="221"/>
      <c r="I4" s="221"/>
      <c r="J4" s="221"/>
      <c r="K4" s="222"/>
    </row>
    <row r="5" spans="2:11" ht="16.5" customHeight="1">
      <c r="B5" s="78"/>
      <c r="C5" s="79" t="s">
        <v>40</v>
      </c>
      <c r="D5" s="90" t="s">
        <v>116</v>
      </c>
      <c r="F5" s="223"/>
      <c r="G5" s="217"/>
      <c r="H5" s="217"/>
      <c r="I5" s="217"/>
      <c r="J5" s="217"/>
      <c r="K5" s="224"/>
    </row>
    <row r="6" spans="2:11" ht="16.5" customHeight="1">
      <c r="B6" s="80"/>
      <c r="C6" s="81" t="s">
        <v>41</v>
      </c>
      <c r="D6" s="91">
        <v>1</v>
      </c>
      <c r="F6" s="223"/>
      <c r="G6" s="217"/>
      <c r="H6" s="217"/>
      <c r="I6" s="217"/>
      <c r="J6" s="217"/>
      <c r="K6" s="224"/>
    </row>
    <row r="7" spans="2:11" ht="16.5" customHeight="1">
      <c r="B7" s="215" t="s">
        <v>42</v>
      </c>
      <c r="C7" s="216"/>
      <c r="D7" s="90" t="s">
        <v>75</v>
      </c>
      <c r="F7" s="223"/>
      <c r="G7" s="217"/>
      <c r="H7" s="217"/>
      <c r="I7" s="217"/>
      <c r="J7" s="217"/>
      <c r="K7" s="224"/>
    </row>
    <row r="8" spans="2:11" ht="16.5" customHeight="1">
      <c r="B8" s="78"/>
      <c r="C8" s="79" t="s">
        <v>40</v>
      </c>
      <c r="D8" s="90" t="s">
        <v>76</v>
      </c>
      <c r="F8" s="223"/>
      <c r="G8" s="217"/>
      <c r="H8" s="217"/>
      <c r="I8" s="217"/>
      <c r="J8" s="217"/>
      <c r="K8" s="224"/>
    </row>
    <row r="9" spans="2:11" ht="16.5" customHeight="1">
      <c r="B9" s="80"/>
      <c r="C9" s="81" t="s">
        <v>41</v>
      </c>
      <c r="D9" s="92">
        <v>1</v>
      </c>
      <c r="F9" s="223"/>
      <c r="G9" s="217"/>
      <c r="H9" s="217"/>
      <c r="I9" s="217"/>
      <c r="J9" s="217"/>
      <c r="K9" s="224"/>
    </row>
    <row r="10" spans="2:11" ht="16.5" customHeight="1">
      <c r="B10" s="215" t="s">
        <v>82</v>
      </c>
      <c r="C10" s="216"/>
      <c r="D10" s="90" t="s">
        <v>83</v>
      </c>
      <c r="F10" s="223"/>
      <c r="G10" s="217"/>
      <c r="H10" s="217"/>
      <c r="I10" s="217"/>
      <c r="J10" s="217"/>
      <c r="K10" s="224"/>
    </row>
    <row r="11" spans="2:11" ht="16.5" customHeight="1">
      <c r="B11" s="80"/>
      <c r="C11" s="82" t="s">
        <v>43</v>
      </c>
      <c r="D11" s="93">
        <v>20</v>
      </c>
      <c r="F11" s="223"/>
      <c r="G11" s="217"/>
      <c r="H11" s="217"/>
      <c r="I11" s="217"/>
      <c r="J11" s="217"/>
      <c r="K11" s="224"/>
    </row>
    <row r="12" spans="2:11" ht="16.5" customHeight="1">
      <c r="D12" s="83"/>
      <c r="F12" s="223"/>
      <c r="G12" s="217"/>
      <c r="H12" s="217"/>
      <c r="I12" s="217"/>
      <c r="J12" s="217"/>
      <c r="K12" s="224"/>
    </row>
    <row r="13" spans="2:11" ht="16.5" customHeight="1">
      <c r="B13" s="84" t="s">
        <v>44</v>
      </c>
      <c r="C13" s="85"/>
      <c r="D13" s="86"/>
      <c r="F13" s="223"/>
      <c r="G13" s="217"/>
      <c r="H13" s="217"/>
      <c r="I13" s="217"/>
      <c r="J13" s="217"/>
      <c r="K13" s="224"/>
    </row>
    <row r="14" spans="2:11" ht="16.5" customHeight="1">
      <c r="B14" s="87"/>
      <c r="C14" s="88" t="s">
        <v>45</v>
      </c>
      <c r="D14" s="90">
        <v>180</v>
      </c>
      <c r="F14" s="223"/>
      <c r="G14" s="217"/>
      <c r="H14" s="217"/>
      <c r="I14" s="217"/>
      <c r="J14" s="217"/>
      <c r="K14" s="224"/>
    </row>
    <row r="15" spans="2:11" ht="16.5" customHeight="1">
      <c r="B15" s="87"/>
      <c r="C15" s="88" t="s">
        <v>46</v>
      </c>
      <c r="D15" s="90">
        <v>0</v>
      </c>
      <c r="F15" s="223"/>
      <c r="G15" s="217"/>
      <c r="H15" s="217"/>
      <c r="I15" s="217"/>
      <c r="J15" s="217"/>
      <c r="K15" s="224"/>
    </row>
    <row r="16" spans="2:11" ht="16.5" customHeight="1">
      <c r="B16" s="89"/>
      <c r="C16" s="88" t="s">
        <v>47</v>
      </c>
      <c r="D16" s="90">
        <v>0</v>
      </c>
      <c r="F16" s="223"/>
      <c r="G16" s="217"/>
      <c r="H16" s="217"/>
      <c r="I16" s="217"/>
      <c r="J16" s="217"/>
      <c r="K16" s="224"/>
    </row>
    <row r="17" spans="3:11" ht="16.5" customHeight="1">
      <c r="F17" s="223"/>
      <c r="G17" s="217"/>
      <c r="H17" s="217"/>
      <c r="I17" s="217"/>
      <c r="J17" s="217"/>
      <c r="K17" s="224"/>
    </row>
    <row r="18" spans="3:11" ht="16.5" customHeight="1">
      <c r="F18" s="223"/>
      <c r="G18" s="217"/>
      <c r="H18" s="217"/>
      <c r="I18" s="217"/>
      <c r="J18" s="217"/>
      <c r="K18" s="224"/>
    </row>
    <row r="19" spans="3:11" ht="16.5" customHeight="1">
      <c r="F19" s="223"/>
      <c r="G19" s="217"/>
      <c r="H19" s="217"/>
      <c r="I19" s="217"/>
      <c r="J19" s="217"/>
      <c r="K19" s="224"/>
    </row>
    <row r="20" spans="3:11" ht="16.5" customHeight="1">
      <c r="F20" s="223"/>
      <c r="G20" s="217"/>
      <c r="H20" s="217"/>
      <c r="I20" s="217"/>
      <c r="J20" s="217"/>
      <c r="K20" s="224"/>
    </row>
    <row r="21" spans="3:11" ht="16.5" customHeight="1">
      <c r="F21" s="223"/>
      <c r="G21" s="217"/>
      <c r="H21" s="217"/>
      <c r="I21" s="217"/>
      <c r="J21" s="217"/>
      <c r="K21" s="224"/>
    </row>
    <row r="22" spans="3:11" ht="16.5" customHeight="1">
      <c r="F22" s="223"/>
      <c r="G22" s="217"/>
      <c r="H22" s="217"/>
      <c r="I22" s="217"/>
      <c r="J22" s="217"/>
      <c r="K22" s="224"/>
    </row>
    <row r="23" spans="3:11" ht="16.5" customHeight="1">
      <c r="F23" s="223"/>
      <c r="G23" s="217"/>
      <c r="H23" s="217"/>
      <c r="I23" s="217"/>
      <c r="J23" s="217"/>
      <c r="K23" s="224"/>
    </row>
    <row r="24" spans="3:11" ht="16.5" customHeight="1">
      <c r="F24" s="223"/>
      <c r="G24" s="217"/>
      <c r="H24" s="217"/>
      <c r="I24" s="217"/>
      <c r="J24" s="217"/>
      <c r="K24" s="224"/>
    </row>
    <row r="25" spans="3:11" ht="16.5" customHeight="1">
      <c r="C25" s="88" t="s">
        <v>59</v>
      </c>
      <c r="D25" s="90">
        <v>1</v>
      </c>
      <c r="F25" s="223"/>
      <c r="G25" s="217"/>
      <c r="H25" s="217"/>
      <c r="I25" s="217"/>
      <c r="J25" s="217"/>
      <c r="K25" s="224"/>
    </row>
    <row r="26" spans="3:11" ht="16.5" customHeight="1">
      <c r="F26" s="223"/>
      <c r="G26" s="217"/>
      <c r="H26" s="217"/>
      <c r="I26" s="217"/>
      <c r="J26" s="217"/>
      <c r="K26" s="224"/>
    </row>
    <row r="27" spans="3:11" ht="16.5" customHeight="1">
      <c r="F27" s="225"/>
      <c r="G27" s="226"/>
      <c r="H27" s="226"/>
      <c r="I27" s="226"/>
      <c r="J27" s="226"/>
      <c r="K27" s="227"/>
    </row>
  </sheetData>
  <mergeCells count="4">
    <mergeCell ref="B4:C4"/>
    <mergeCell ref="B7:C7"/>
    <mergeCell ref="B10:C10"/>
    <mergeCell ref="F4:K27"/>
  </mergeCells>
  <phoneticPr fontId="2"/>
  <dataValidations count="1">
    <dataValidation type="list" allowBlank="1" showInputMessage="1" showErrorMessage="1" sqref="D10">
      <formula1>"変位δ,軸力N,ねじりMt,曲げMy,曲げMz,せん断Qy,せん断Qz"</formula1>
    </dataValidation>
  </dataValidations>
  <pageMargins left="0.75" right="0.75" top="1" bottom="1" header="0.51200000000000001" footer="0.51200000000000001"/>
  <pageSetup paperSize="9" orientation="portrait" horizontalDpi="4294967294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065" r:id="rId4" name="Button 24465">
              <controlPr defaultSize="0" print="0" autoFill="0" autoPict="0" macro="[0]!変位図描画_Click">
                <anchor moveWithCells="1" siz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66" r:id="rId5" name="Button 24466">
              <controlPr defaultSize="0" print="0" autoFill="0" autoPict="0" macro="[0]!変位図消去_Click">
                <anchor moveWithCells="1" siz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20283C48-1A37-4442-9F55-B916947DA0B0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2B249D85-E24B-4ECE-A133-6561FA35BCB6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149</vt:i4>
      </vt:variant>
    </vt:vector>
  </HeadingPairs>
  <TitlesOfParts>
    <vt:vector size="167" baseType="lpstr">
      <vt:lpstr>ご利用方法</vt:lpstr>
      <vt:lpstr>格点</vt:lpstr>
      <vt:lpstr>支点</vt:lpstr>
      <vt:lpstr>部材</vt:lpstr>
      <vt:lpstr>材料</vt:lpstr>
      <vt:lpstr>結合</vt:lpstr>
      <vt:lpstr>着目点</vt:lpstr>
      <vt:lpstr>バネ</vt:lpstr>
      <vt:lpstr>荷重名称</vt:lpstr>
      <vt:lpstr>荷重強度</vt:lpstr>
      <vt:lpstr>荷重図</vt:lpstr>
      <vt:lpstr>DEFINE</vt:lpstr>
      <vt:lpstr>COMBINE</vt:lpstr>
      <vt:lpstr>PICKUP</vt:lpstr>
      <vt:lpstr>計算・出力</vt:lpstr>
      <vt:lpstr>PickUp・出力</vt:lpstr>
      <vt:lpstr>PickUp・変位</vt:lpstr>
      <vt:lpstr>応力図</vt:lpstr>
      <vt:lpstr>荷重図!_荷重倍率</vt:lpstr>
      <vt:lpstr>荷重図!_荷重描画</vt:lpstr>
      <vt:lpstr>応力図!_回転角X</vt:lpstr>
      <vt:lpstr>荷重図!_回転角X</vt:lpstr>
      <vt:lpstr>応力図!_回転角Y</vt:lpstr>
      <vt:lpstr>荷重図!_回転角Y</vt:lpstr>
      <vt:lpstr>応力図!_回転角Z</vt:lpstr>
      <vt:lpstr>荷重図!_回転角Z</vt:lpstr>
      <vt:lpstr>応力図!_節点番号フォント</vt:lpstr>
      <vt:lpstr>荷重図!_節点番号フォント</vt:lpstr>
      <vt:lpstr>応力図!_節点番号描画</vt:lpstr>
      <vt:lpstr>荷重図!_節点番号描画</vt:lpstr>
      <vt:lpstr>応力図!_節点描画</vt:lpstr>
      <vt:lpstr>荷重図!_節点描画</vt:lpstr>
      <vt:lpstr>応力図!_描画エリア</vt:lpstr>
      <vt:lpstr>荷重図!_描画エリア</vt:lpstr>
      <vt:lpstr>応力図!_変位描画</vt:lpstr>
      <vt:lpstr>応力図!_変位描画倍率</vt:lpstr>
      <vt:lpstr>応力図!_要素番号フォント</vt:lpstr>
      <vt:lpstr>荷重図!_要素番号フォント</vt:lpstr>
      <vt:lpstr>応力図!_要素番号描画</vt:lpstr>
      <vt:lpstr>荷重図!_要素番号描画</vt:lpstr>
      <vt:lpstr>応力図!_要素描画</vt:lpstr>
      <vt:lpstr>荷重図!_要素描画</vt:lpstr>
      <vt:lpstr>材料!header_A1</vt:lpstr>
      <vt:lpstr>材料!header_A2</vt:lpstr>
      <vt:lpstr>材料!header_A3</vt:lpstr>
      <vt:lpstr>COMBINE!header_Case</vt:lpstr>
      <vt:lpstr>DEFINE!header_Case</vt:lpstr>
      <vt:lpstr>PICKUP!header_Case</vt:lpstr>
      <vt:lpstr>材料!header_E1</vt:lpstr>
      <vt:lpstr>材料!header_E2</vt:lpstr>
      <vt:lpstr>材料!header_E3</vt:lpstr>
      <vt:lpstr>材料!header_G1</vt:lpstr>
      <vt:lpstr>材料!header_G2</vt:lpstr>
      <vt:lpstr>材料!header_G3</vt:lpstr>
      <vt:lpstr>材料!header_J1</vt:lpstr>
      <vt:lpstr>材料!header_J2</vt:lpstr>
      <vt:lpstr>材料!header_J3</vt:lpstr>
      <vt:lpstr>荷重強度!header_L1</vt:lpstr>
      <vt:lpstr>着目点!header_L1</vt:lpstr>
      <vt:lpstr>荷重強度!header_L2</vt:lpstr>
      <vt:lpstr>着目点!header_Length</vt:lpstr>
      <vt:lpstr>部材!header_Length</vt:lpstr>
      <vt:lpstr>荷重強度!header_MX</vt:lpstr>
      <vt:lpstr>荷重強度!header_MY</vt:lpstr>
      <vt:lpstr>荷重強度!header_MZ</vt:lpstr>
      <vt:lpstr>COMBINE!header_No</vt:lpstr>
      <vt:lpstr>DEFINE!header_No</vt:lpstr>
      <vt:lpstr>PICKUP!header_No</vt:lpstr>
      <vt:lpstr>バネ!header_No</vt:lpstr>
      <vt:lpstr>格点!header_No</vt:lpstr>
      <vt:lpstr>結合!header_No</vt:lpstr>
      <vt:lpstr>材料!header_No</vt:lpstr>
      <vt:lpstr>支点!header_No</vt:lpstr>
      <vt:lpstr>着目点!header_No</vt:lpstr>
      <vt:lpstr>部材!header_No</vt:lpstr>
      <vt:lpstr>荷重強度!header_P1</vt:lpstr>
      <vt:lpstr>荷重強度!header_P2</vt:lpstr>
      <vt:lpstr>着目点!header_points</vt:lpstr>
      <vt:lpstr>支点!header_RX1</vt:lpstr>
      <vt:lpstr>支点!header_RX2</vt:lpstr>
      <vt:lpstr>支点!header_RX3</vt:lpstr>
      <vt:lpstr>支点!header_RY1</vt:lpstr>
      <vt:lpstr>支点!header_RY2</vt:lpstr>
      <vt:lpstr>支点!header_RY3</vt:lpstr>
      <vt:lpstr>支点!header_RZ1</vt:lpstr>
      <vt:lpstr>支点!header_RZ2</vt:lpstr>
      <vt:lpstr>支点!header_RZ3</vt:lpstr>
      <vt:lpstr>バネ!header_TR1</vt:lpstr>
      <vt:lpstr>バネ!header_TR2</vt:lpstr>
      <vt:lpstr>バネ!header_TR3</vt:lpstr>
      <vt:lpstr>荷重強度!header_TX</vt:lpstr>
      <vt:lpstr>バネ!header_TX1</vt:lpstr>
      <vt:lpstr>支点!header_TX1</vt:lpstr>
      <vt:lpstr>バネ!header_TX2</vt:lpstr>
      <vt:lpstr>支点!header_TX2</vt:lpstr>
      <vt:lpstr>バネ!header_TX3</vt:lpstr>
      <vt:lpstr>支点!header_TX3</vt:lpstr>
      <vt:lpstr>荷重強度!header_TY</vt:lpstr>
      <vt:lpstr>バネ!header_TY1</vt:lpstr>
      <vt:lpstr>支点!header_TY1</vt:lpstr>
      <vt:lpstr>バネ!header_TY2</vt:lpstr>
      <vt:lpstr>支点!header_TY2</vt:lpstr>
      <vt:lpstr>バネ!header_TY3</vt:lpstr>
      <vt:lpstr>支点!header_TY3</vt:lpstr>
      <vt:lpstr>荷重強度!header_TZ</vt:lpstr>
      <vt:lpstr>バネ!header_TZ1</vt:lpstr>
      <vt:lpstr>支点!header_TZ1</vt:lpstr>
      <vt:lpstr>バネ!header_TZ2</vt:lpstr>
      <vt:lpstr>支点!header_TZ2</vt:lpstr>
      <vt:lpstr>バネ!header_TZ3</vt:lpstr>
      <vt:lpstr>支点!header_TZ3</vt:lpstr>
      <vt:lpstr>格点!header_x</vt:lpstr>
      <vt:lpstr>結合!header_X11</vt:lpstr>
      <vt:lpstr>結合!header_X12</vt:lpstr>
      <vt:lpstr>結合!header_X21</vt:lpstr>
      <vt:lpstr>結合!header_X22</vt:lpstr>
      <vt:lpstr>結合!header_X31</vt:lpstr>
      <vt:lpstr>結合!header_X32</vt:lpstr>
      <vt:lpstr>材料!header_xp1</vt:lpstr>
      <vt:lpstr>材料!header_xp2</vt:lpstr>
      <vt:lpstr>材料!header_xp3</vt:lpstr>
      <vt:lpstr>格点!header_y</vt:lpstr>
      <vt:lpstr>結合!header_Y11</vt:lpstr>
      <vt:lpstr>結合!header_Y12</vt:lpstr>
      <vt:lpstr>結合!header_Y21</vt:lpstr>
      <vt:lpstr>結合!header_Y22</vt:lpstr>
      <vt:lpstr>結合!header_Y31</vt:lpstr>
      <vt:lpstr>結合!header_Y32</vt:lpstr>
      <vt:lpstr>材料!header_yi1</vt:lpstr>
      <vt:lpstr>材料!header_yi2</vt:lpstr>
      <vt:lpstr>材料!header_yi3</vt:lpstr>
      <vt:lpstr>格点!header_z</vt:lpstr>
      <vt:lpstr>結合!header_Z11</vt:lpstr>
      <vt:lpstr>結合!header_Z12</vt:lpstr>
      <vt:lpstr>結合!header_Z21</vt:lpstr>
      <vt:lpstr>結合!header_Z22</vt:lpstr>
      <vt:lpstr>結合!header_Z31</vt:lpstr>
      <vt:lpstr>結合!header_Z32</vt:lpstr>
      <vt:lpstr>材料!header_zi1</vt:lpstr>
      <vt:lpstr>材料!header_zi2</vt:lpstr>
      <vt:lpstr>材料!header_zi3</vt:lpstr>
      <vt:lpstr>部材!header_ｺｰﾄﾞｱﾝｸﾞﾙ</vt:lpstr>
      <vt:lpstr>荷重強度!header_ﾏｰｸ</vt:lpstr>
      <vt:lpstr>荷重強度!header_荷重No</vt:lpstr>
      <vt:lpstr>部材!header_材料</vt:lpstr>
      <vt:lpstr>荷重強度!header_節点</vt:lpstr>
      <vt:lpstr>部材!header_節点1</vt:lpstr>
      <vt:lpstr>部材!header_節点2</vt:lpstr>
      <vt:lpstr>荷重強度!header_部材1</vt:lpstr>
      <vt:lpstr>荷重強度!header_部材2</vt:lpstr>
      <vt:lpstr>荷重強度!header_方向</vt:lpstr>
      <vt:lpstr>MODE</vt:lpstr>
      <vt:lpstr>ご利用方法!password</vt:lpstr>
      <vt:lpstr>荷重強度!Print_Area</vt:lpstr>
      <vt:lpstr>荷重名称!Print_Area</vt:lpstr>
      <vt:lpstr>荷重強度!Print_Titles</vt:lpstr>
      <vt:lpstr>ご利用方法!username</vt:lpstr>
      <vt:lpstr>荷重名称!バネ_header</vt:lpstr>
      <vt:lpstr>応力図!荷重No</vt:lpstr>
      <vt:lpstr>荷重図!荷重No</vt:lpstr>
      <vt:lpstr>荷重名称!荷重No_header</vt:lpstr>
      <vt:lpstr>荷重名称!割増係数_header</vt:lpstr>
      <vt:lpstr>荷重名称!記号_header</vt:lpstr>
      <vt:lpstr>荷重名称!結合_header</vt:lpstr>
      <vt:lpstr>荷重名称!支点_header</vt:lpstr>
      <vt:lpstr>荷重名称!断面_header</vt:lpstr>
      <vt:lpstr>荷重名称!名称_header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笹澤陽佑</cp:lastModifiedBy>
  <cp:lastPrinted>2018-06-06T01:31:45Z</cp:lastPrinted>
  <dcterms:created xsi:type="dcterms:W3CDTF">2014-11-11T12:34:56Z</dcterms:created>
  <dcterms:modified xsi:type="dcterms:W3CDTF">2018-06-19T02:42:52Z</dcterms:modified>
</cp:coreProperties>
</file>