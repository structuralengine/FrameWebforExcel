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FrameWebforExcel\"/>
    </mc:Choice>
  </mc:AlternateContent>
  <bookViews>
    <workbookView xWindow="0" yWindow="0" windowWidth="11775" windowHeight="7575" tabRatio="842" activeTab="14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応力図" sheetId="17" r:id="rId17"/>
  </sheets>
  <functionGroups builtInGroupCount="18"/>
  <externalReferences>
    <externalReference r:id="rId18"/>
    <externalReference r:id="rId19"/>
    <externalReference r:id="rId20"/>
  </externalReferences>
  <definedNames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hidden="1">#REF!</definedName>
    <definedName name="_13__123Graph_Bｸﾞﾗﾌ_1" hidden="1">#REF!</definedName>
    <definedName name="_14__123Graph_Bｸﾞﾗﾌ_2" hidden="1">#REF!</definedName>
    <definedName name="_15__123Graph_Bｸﾞﾗﾌ_3" hidden="1">#REF!</definedName>
    <definedName name="_16__123Graph_Bｸﾞﾗﾌ_4" localSheetId="15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6">応力図!$D$14</definedName>
    <definedName name="_回転角X" localSheetId="10">荷重図!$D$14</definedName>
    <definedName name="_回転角Y" localSheetId="16">応力図!$D$15</definedName>
    <definedName name="_回転角Y" localSheetId="10">荷重図!$D$15</definedName>
    <definedName name="_回転角Z" localSheetId="16">応力図!$D$16</definedName>
    <definedName name="_回転角Z" localSheetId="10">荷重図!$D$16</definedName>
    <definedName name="_節点番号フォント" localSheetId="16">応力図!$D$6</definedName>
    <definedName name="_節点番号フォント" localSheetId="10">荷重図!$D$6</definedName>
    <definedName name="_節点番号描画" localSheetId="16">応力図!$D$5</definedName>
    <definedName name="_節点番号描画" localSheetId="10">荷重図!$D$5</definedName>
    <definedName name="_節点描画" localSheetId="16">応力図!$D$4</definedName>
    <definedName name="_節点描画" localSheetId="10">荷重図!$D$4</definedName>
    <definedName name="_描画エリア" localSheetId="16">応力図!$F$4:$K$27</definedName>
    <definedName name="_描画エリア" localSheetId="10">荷重図!$I$9:$AK$32</definedName>
    <definedName name="_変位描画" localSheetId="16">応力図!$D$10</definedName>
    <definedName name="_変位描画倍率" localSheetId="16">応力図!$D$11</definedName>
    <definedName name="_要素番号フォント" localSheetId="16">応力図!$D$9</definedName>
    <definedName name="_要素番号フォント" localSheetId="10">荷重図!$D$9</definedName>
    <definedName name="_要素番号描画" localSheetId="16">応力図!$D$8</definedName>
    <definedName name="_要素番号描画" localSheetId="10">荷重図!$D$8</definedName>
    <definedName name="_要素描画" localSheetId="16">応力図!$D$7</definedName>
    <definedName name="_要素描画" localSheetId="10">荷重図!$D$7</definedName>
    <definedName name="anscount" hidden="1">1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計算・出力!$F$34</definedName>
    <definedName name="header_回転X10" localSheetId="14">計算・出力!$CR$34</definedName>
    <definedName name="header_回転X11" localSheetId="14">計算・出力!$DB$34</definedName>
    <definedName name="header_回転X12" localSheetId="14">計算・出力!$DL$34</definedName>
    <definedName name="header_回転X13" localSheetId="14">計算・出力!$DV$34</definedName>
    <definedName name="header_回転X14" localSheetId="14">計算・出力!$EF$34</definedName>
    <definedName name="header_回転X15" localSheetId="14">計算・出力!$EP$34</definedName>
    <definedName name="header_回転X16" localSheetId="14">計算・出力!$EZ$34</definedName>
    <definedName name="header_回転X17" localSheetId="14">計算・出力!$FJ$34</definedName>
    <definedName name="header_回転X18" localSheetId="14">計算・出力!$FT$34</definedName>
    <definedName name="header_回転X19" localSheetId="14">計算・出力!$GD$34</definedName>
    <definedName name="header_回転X2" localSheetId="14">計算・出力!$P$34</definedName>
    <definedName name="header_回転X20" localSheetId="14">計算・出力!$GN$34</definedName>
    <definedName name="header_回転X21" localSheetId="14">計算・出力!$GX$34</definedName>
    <definedName name="header_回転X3" localSheetId="14">計算・出力!$Z$34</definedName>
    <definedName name="header_回転X4" localSheetId="14">計算・出力!$AJ$34</definedName>
    <definedName name="header_回転X5" localSheetId="14">計算・出力!$AT$34</definedName>
    <definedName name="header_回転X6" localSheetId="14">計算・出力!$BD$34</definedName>
    <definedName name="header_回転X7" localSheetId="14">計算・出力!$BN$34</definedName>
    <definedName name="header_回転X8" localSheetId="14">計算・出力!$BX$34</definedName>
    <definedName name="header_回転X9" localSheetId="14">計算・出力!$CH$34</definedName>
    <definedName name="header_回転Y1" localSheetId="14">計算・出力!$G$34</definedName>
    <definedName name="header_回転Y10" localSheetId="14">計算・出力!$CS$34</definedName>
    <definedName name="header_回転Y11" localSheetId="14">計算・出力!$DC$34</definedName>
    <definedName name="header_回転Y12" localSheetId="14">計算・出力!$DM$34</definedName>
    <definedName name="header_回転Y13" localSheetId="14">計算・出力!$DW$34</definedName>
    <definedName name="header_回転Y14" localSheetId="14">計算・出力!$EG$34</definedName>
    <definedName name="header_回転Y15" localSheetId="14">計算・出力!$EQ$34</definedName>
    <definedName name="header_回転Y16" localSheetId="14">計算・出力!$FA$34</definedName>
    <definedName name="header_回転Y17" localSheetId="14">計算・出力!$FK$34</definedName>
    <definedName name="header_回転Y18" localSheetId="14">計算・出力!$FU$34</definedName>
    <definedName name="header_回転Y19" localSheetId="14">計算・出力!$GE$34</definedName>
    <definedName name="header_回転Y2" localSheetId="14">計算・出力!$Q$34</definedName>
    <definedName name="header_回転Y20" localSheetId="14">計算・出力!$GO$34</definedName>
    <definedName name="header_回転Y21" localSheetId="14">計算・出力!$GY$34</definedName>
    <definedName name="header_回転Y3" localSheetId="14">計算・出力!$AA$34</definedName>
    <definedName name="header_回転Y4" localSheetId="14">計算・出力!$AK$34</definedName>
    <definedName name="header_回転Y5" localSheetId="14">計算・出力!$AU$34</definedName>
    <definedName name="header_回転Y6" localSheetId="14">計算・出力!$BE$34</definedName>
    <definedName name="header_回転Y7" localSheetId="14">計算・出力!$BO$34</definedName>
    <definedName name="header_回転Y8" localSheetId="14">計算・出力!$BY$34</definedName>
    <definedName name="header_回転Y9" localSheetId="14">計算・出力!$CI$34</definedName>
    <definedName name="header_回転Z1" localSheetId="14">計算・出力!$H$34</definedName>
    <definedName name="header_回転Z10" localSheetId="14">計算・出力!$CT$34</definedName>
    <definedName name="header_回転Z11" localSheetId="14">計算・出力!$DD$34</definedName>
    <definedName name="header_回転Z12" localSheetId="14">計算・出力!$DN$34</definedName>
    <definedName name="header_回転Z13" localSheetId="14">計算・出力!$DX$34</definedName>
    <definedName name="header_回転Z14" localSheetId="14">計算・出力!$EH$34</definedName>
    <definedName name="header_回転Z15" localSheetId="14">計算・出力!$ER$34</definedName>
    <definedName name="header_回転Z16" localSheetId="14">計算・出力!$FB$34</definedName>
    <definedName name="header_回転Z17" localSheetId="14">計算・出力!$FL$34</definedName>
    <definedName name="header_回転Z18" localSheetId="14">計算・出力!$FV$34</definedName>
    <definedName name="header_回転Z19" localSheetId="14">計算・出力!$GF$34</definedName>
    <definedName name="header_回転Z2" localSheetId="14">計算・出力!$R$34</definedName>
    <definedName name="header_回転Z20" localSheetId="14">計算・出力!$GP$34</definedName>
    <definedName name="header_回転Z21" localSheetId="14">計算・出力!$GZ$34</definedName>
    <definedName name="header_回転Z3" localSheetId="14">計算・出力!$AB$34</definedName>
    <definedName name="header_回転Z4" localSheetId="14">計算・出力!$AL$34</definedName>
    <definedName name="header_回転Z5" localSheetId="14">計算・出力!$AV$34</definedName>
    <definedName name="header_回転Z6" localSheetId="14">計算・出力!$BF$34</definedName>
    <definedName name="header_回転Z7" localSheetId="14">計算・出力!$BP$34</definedName>
    <definedName name="header_回転Z8" localSheetId="14">計算・出力!$BZ$34</definedName>
    <definedName name="header_回転Z9" localSheetId="14">計算・出力!$CJ$34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10" localSheetId="14">計算・出力!$CO$12</definedName>
    <definedName name="header_節点X11" localSheetId="14">計算・出力!$CY$12</definedName>
    <definedName name="header_節点X12" localSheetId="14">計算・出力!$DI$12</definedName>
    <definedName name="header_節点X13" localSheetId="14">計算・出力!$DS$12</definedName>
    <definedName name="header_節点X14" localSheetId="14">計算・出力!$EC$12</definedName>
    <definedName name="header_節点X15" localSheetId="14">計算・出力!$EM$12</definedName>
    <definedName name="header_節点X16" localSheetId="14">計算・出力!$EW$12</definedName>
    <definedName name="header_節点X17" localSheetId="14">計算・出力!$FG$12</definedName>
    <definedName name="header_節点X18" localSheetId="14">計算・出力!$FQ$12</definedName>
    <definedName name="header_節点X19" localSheetId="14">計算・出力!$GA$12</definedName>
    <definedName name="header_節点X2" localSheetId="14">計算・出力!$M$12</definedName>
    <definedName name="header_節点X20" localSheetId="14">計算・出力!$GK$12</definedName>
    <definedName name="header_節点X21" localSheetId="14">計算・出力!$GU$12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X8" localSheetId="14">計算・出力!$BU$12</definedName>
    <definedName name="header_節点X9" localSheetId="14">計算・出力!$CE$12</definedName>
    <definedName name="header_節点Y1" localSheetId="14">計算・出力!$D$12</definedName>
    <definedName name="header_節点Y10" localSheetId="14">計算・出力!$CP$12</definedName>
    <definedName name="header_節点Y11" localSheetId="14">計算・出力!$CZ$12</definedName>
    <definedName name="header_節点Y12" localSheetId="14">計算・出力!$DJ$12</definedName>
    <definedName name="header_節点Y13" localSheetId="14">計算・出力!$DT$12</definedName>
    <definedName name="header_節点Y14" localSheetId="14">計算・出力!$ED$12</definedName>
    <definedName name="header_節点Y15" localSheetId="14">計算・出力!$EN$12</definedName>
    <definedName name="header_節点Y16" localSheetId="14">計算・出力!$EX$12</definedName>
    <definedName name="header_節点Y17" localSheetId="14">計算・出力!$FH$12</definedName>
    <definedName name="header_節点Y18" localSheetId="14">計算・出力!$FR$12</definedName>
    <definedName name="header_節点Y19" localSheetId="14">計算・出力!$GB$12</definedName>
    <definedName name="header_節点Y2" localSheetId="14">計算・出力!$N$12</definedName>
    <definedName name="header_節点Y20" localSheetId="14">計算・出力!$GL$12</definedName>
    <definedName name="header_節点Y21" localSheetId="14">計算・出力!$GV$12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Y8" localSheetId="14">計算・出力!$BV$12</definedName>
    <definedName name="header_節点Y9" localSheetId="14">計算・出力!$CF$12</definedName>
    <definedName name="header_節点Z1" localSheetId="14">計算・出力!$E$12</definedName>
    <definedName name="header_節点Z10" localSheetId="14">計算・出力!$CQ$12</definedName>
    <definedName name="header_節点Z11" localSheetId="14">計算・出力!$DA$12</definedName>
    <definedName name="header_節点Z12" localSheetId="14">計算・出力!$DK$12</definedName>
    <definedName name="header_節点Z13" localSheetId="14">計算・出力!$DU$12</definedName>
    <definedName name="header_節点Z14" localSheetId="14">計算・出力!$EE$12</definedName>
    <definedName name="header_節点Z15" localSheetId="14">計算・出力!$EO$12</definedName>
    <definedName name="header_節点Z16" localSheetId="14">計算・出力!$EY$12</definedName>
    <definedName name="header_節点Z17" localSheetId="14">計算・出力!$FI$12</definedName>
    <definedName name="header_節点Z18" localSheetId="14">計算・出力!$FS$12</definedName>
    <definedName name="header_節点Z19" localSheetId="14">計算・出力!$GC$12</definedName>
    <definedName name="header_節点Z2" localSheetId="14">計算・出力!$O$12</definedName>
    <definedName name="header_節点Z20" localSheetId="14">計算・出力!$GM$12</definedName>
    <definedName name="header_節点Z21" localSheetId="14">計算・出力!$GW$12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節点Z8" localSheetId="14">計算・出力!$BW$12</definedName>
    <definedName name="header_節点Z9" localSheetId="14">計算・出力!$CG$12</definedName>
    <definedName name="header_断面力FX1" localSheetId="14">計算・出力!$E$80</definedName>
    <definedName name="header_断面力FX10" localSheetId="14">計算・出力!$CQ$80</definedName>
    <definedName name="header_断面力FX11" localSheetId="14">計算・出力!$DA$80</definedName>
    <definedName name="header_断面力FX12" localSheetId="14">計算・出力!$DK$80</definedName>
    <definedName name="header_断面力FX13" localSheetId="14">計算・出力!$DU$80</definedName>
    <definedName name="header_断面力FX14" localSheetId="14">計算・出力!$EE$80</definedName>
    <definedName name="header_断面力FX15" localSheetId="14">計算・出力!$EO$80</definedName>
    <definedName name="header_断面力FX16" localSheetId="14">計算・出力!$EY$80</definedName>
    <definedName name="header_断面力FX17" localSheetId="14">計算・出力!$FI$80</definedName>
    <definedName name="header_断面力FX18" localSheetId="14">計算・出力!$FS$80</definedName>
    <definedName name="header_断面力FX19" localSheetId="14">計算・出力!$GC$80</definedName>
    <definedName name="header_断面力FX2" localSheetId="14">計算・出力!$O$80</definedName>
    <definedName name="header_断面力FX20" localSheetId="14">計算・出力!$GM$80</definedName>
    <definedName name="header_断面力FX21" localSheetId="14">計算・出力!$GW$80</definedName>
    <definedName name="header_断面力FX3" localSheetId="14">計算・出力!$Y$80</definedName>
    <definedName name="header_断面力FX4" localSheetId="14">計算・出力!$AI$80</definedName>
    <definedName name="header_断面力FX5" localSheetId="14">計算・出力!$AS$80</definedName>
    <definedName name="header_断面力FX6" localSheetId="14">計算・出力!$BC$80</definedName>
    <definedName name="header_断面力FX7" localSheetId="14">計算・出力!$BM$80</definedName>
    <definedName name="header_断面力FX8" localSheetId="14">計算・出力!$BW$80</definedName>
    <definedName name="header_断面力FX9" localSheetId="14">計算・出力!$CG$80</definedName>
    <definedName name="header_断面力FY1" localSheetId="14">計算・出力!$F$80</definedName>
    <definedName name="header_断面力FY10" localSheetId="14">計算・出力!$CR$80</definedName>
    <definedName name="header_断面力FY11" localSheetId="14">計算・出力!$DB$80</definedName>
    <definedName name="header_断面力FY12" localSheetId="14">計算・出力!$DL$80</definedName>
    <definedName name="header_断面力FY13" localSheetId="14">計算・出力!$DV$80</definedName>
    <definedName name="header_断面力FY14" localSheetId="14">計算・出力!$EF$80</definedName>
    <definedName name="header_断面力FY15" localSheetId="14">計算・出力!$EP$80</definedName>
    <definedName name="header_断面力FY16" localSheetId="14">計算・出力!$EZ$80</definedName>
    <definedName name="header_断面力FY17" localSheetId="14">計算・出力!$FJ$80</definedName>
    <definedName name="header_断面力FY18" localSheetId="14">計算・出力!$FT$80</definedName>
    <definedName name="header_断面力FY19" localSheetId="14">計算・出力!$GD$80</definedName>
    <definedName name="header_断面力FY2" localSheetId="14">計算・出力!$P$80</definedName>
    <definedName name="header_断面力FY20" localSheetId="14">計算・出力!$GN$80</definedName>
    <definedName name="header_断面力FY21" localSheetId="14">計算・出力!$GX$80</definedName>
    <definedName name="header_断面力FY3" localSheetId="14">計算・出力!$Z$80</definedName>
    <definedName name="header_断面力FY4" localSheetId="14">計算・出力!$AJ$80</definedName>
    <definedName name="header_断面力FY5" localSheetId="14">計算・出力!$AT$80</definedName>
    <definedName name="header_断面力FY6" localSheetId="14">計算・出力!$BD$80</definedName>
    <definedName name="header_断面力FY7" localSheetId="14">計算・出力!$BN$80</definedName>
    <definedName name="header_断面力FY8" localSheetId="14">計算・出力!$BX$80</definedName>
    <definedName name="header_断面力FY9" localSheetId="14">計算・出力!$CH$80</definedName>
    <definedName name="header_断面力FZ1" localSheetId="14">計算・出力!$G$80</definedName>
    <definedName name="header_断面力FZ10" localSheetId="14">計算・出力!$CS$80</definedName>
    <definedName name="header_断面力FZ11" localSheetId="14">計算・出力!$DC$80</definedName>
    <definedName name="header_断面力FZ12" localSheetId="14">計算・出力!$DM$80</definedName>
    <definedName name="header_断面力FZ13" localSheetId="14">計算・出力!$DW$80</definedName>
    <definedName name="header_断面力FZ14" localSheetId="14">計算・出力!$EG$80</definedName>
    <definedName name="header_断面力FZ15" localSheetId="14">計算・出力!$EQ$80</definedName>
    <definedName name="header_断面力FZ16" localSheetId="14">計算・出力!$FA$80</definedName>
    <definedName name="header_断面力FZ17" localSheetId="14">計算・出力!$FK$80</definedName>
    <definedName name="header_断面力FZ18" localSheetId="14">計算・出力!$FU$80</definedName>
    <definedName name="header_断面力FZ19" localSheetId="14">計算・出力!$GE$80</definedName>
    <definedName name="header_断面力FZ2" localSheetId="14">計算・出力!$Q$80</definedName>
    <definedName name="header_断面力FZ20" localSheetId="14">計算・出力!$GO$80</definedName>
    <definedName name="header_断面力FZ21" localSheetId="14">計算・出力!$GY$80</definedName>
    <definedName name="header_断面力FZ3" localSheetId="14">計算・出力!$AA$80</definedName>
    <definedName name="header_断面力FZ4" localSheetId="14">計算・出力!$AK$80</definedName>
    <definedName name="header_断面力FZ5" localSheetId="14">計算・出力!$AU$80</definedName>
    <definedName name="header_断面力FZ6" localSheetId="14">計算・出力!$BE$80</definedName>
    <definedName name="header_断面力FZ7" localSheetId="14">計算・出力!$BO$80</definedName>
    <definedName name="header_断面力FZ8" localSheetId="14">計算・出力!$BY$80</definedName>
    <definedName name="header_断面力FZ9" localSheetId="14">計算・出力!$CI$80</definedName>
    <definedName name="header_断面力MX1" localSheetId="14">計算・出力!$H$80</definedName>
    <definedName name="header_断面力MX10" localSheetId="14">計算・出力!$CT$80</definedName>
    <definedName name="header_断面力MX11" localSheetId="14">計算・出力!$DD$80</definedName>
    <definedName name="header_断面力MX12" localSheetId="14">計算・出力!$DN$80</definedName>
    <definedName name="header_断面力MX13" localSheetId="14">計算・出力!$DX$80</definedName>
    <definedName name="header_断面力MX14" localSheetId="14">計算・出力!$EH$80</definedName>
    <definedName name="header_断面力MX15" localSheetId="14">計算・出力!$ER$80</definedName>
    <definedName name="header_断面力MX16" localSheetId="14">計算・出力!$FB$80</definedName>
    <definedName name="header_断面力MX17" localSheetId="14">計算・出力!$FL$80</definedName>
    <definedName name="header_断面力MX18" localSheetId="14">計算・出力!$FV$80</definedName>
    <definedName name="header_断面力MX19" localSheetId="14">計算・出力!$GF$80</definedName>
    <definedName name="header_断面力MX2" localSheetId="14">計算・出力!$R$80</definedName>
    <definedName name="header_断面力MX20" localSheetId="14">計算・出力!$GP$80</definedName>
    <definedName name="header_断面力MX21" localSheetId="14">計算・出力!$GZ$80</definedName>
    <definedName name="header_断面力MX3" localSheetId="14">計算・出力!$AB$80</definedName>
    <definedName name="header_断面力MX4" localSheetId="14">計算・出力!$AL$80</definedName>
    <definedName name="header_断面力MX5" localSheetId="14">計算・出力!$AV$80</definedName>
    <definedName name="header_断面力MX6" localSheetId="14">計算・出力!$BF$80</definedName>
    <definedName name="header_断面力MX7" localSheetId="14">計算・出力!$BP$80</definedName>
    <definedName name="header_断面力MX8" localSheetId="14">計算・出力!$BZ$80</definedName>
    <definedName name="header_断面力MX9" localSheetId="14">計算・出力!$CJ$80</definedName>
    <definedName name="header_断面力MY1" localSheetId="14">計算・出力!$I$80</definedName>
    <definedName name="header_断面力MY10" localSheetId="14">計算・出力!$CU$80</definedName>
    <definedName name="header_断面力MY11" localSheetId="14">計算・出力!$DE$80</definedName>
    <definedName name="header_断面力MY12" localSheetId="14">計算・出力!$DO$80</definedName>
    <definedName name="header_断面力MY13" localSheetId="14">計算・出力!$DY$80</definedName>
    <definedName name="header_断面力MY14" localSheetId="14">計算・出力!$EI$80</definedName>
    <definedName name="header_断面力MY15" localSheetId="14">計算・出力!$ES$80</definedName>
    <definedName name="header_断面力MY16" localSheetId="14">計算・出力!$FC$80</definedName>
    <definedName name="header_断面力MY17" localSheetId="14">計算・出力!$FM$80</definedName>
    <definedName name="header_断面力MY18" localSheetId="14">計算・出力!$FW$80</definedName>
    <definedName name="header_断面力MY19" localSheetId="14">計算・出力!$GG$80</definedName>
    <definedName name="header_断面力MY2" localSheetId="14">計算・出力!$S$80</definedName>
    <definedName name="header_断面力MY20" localSheetId="14">計算・出力!$GQ$80</definedName>
    <definedName name="header_断面力MY21" localSheetId="14">計算・出力!$HA$80</definedName>
    <definedName name="header_断面力MY3" localSheetId="14">計算・出力!$AC$80</definedName>
    <definedName name="header_断面力MY4" localSheetId="14">計算・出力!$AM$80</definedName>
    <definedName name="header_断面力MY5" localSheetId="14">計算・出力!$AW$80</definedName>
    <definedName name="header_断面力MY6" localSheetId="14">計算・出力!$BG$80</definedName>
    <definedName name="header_断面力MY7" localSheetId="14">計算・出力!$BQ$80</definedName>
    <definedName name="header_断面力MY8" localSheetId="14">計算・出力!$CA$80</definedName>
    <definedName name="header_断面力MY9" localSheetId="14">計算・出力!$CK$80</definedName>
    <definedName name="header_断面力MZ1" localSheetId="14">計算・出力!$J$80</definedName>
    <definedName name="header_断面力MZ10" localSheetId="14">計算・出力!$CV$80</definedName>
    <definedName name="header_断面力MZ11" localSheetId="14">計算・出力!$DF$80</definedName>
    <definedName name="header_断面力MZ12" localSheetId="14">計算・出力!$DP$80</definedName>
    <definedName name="header_断面力MZ13" localSheetId="14">計算・出力!$DZ$80</definedName>
    <definedName name="header_断面力MZ14" localSheetId="14">計算・出力!$EJ$80</definedName>
    <definedName name="header_断面力MZ15" localSheetId="14">計算・出力!$ET$80</definedName>
    <definedName name="header_断面力MZ16" localSheetId="14">計算・出力!$FD$80</definedName>
    <definedName name="header_断面力MZ17" localSheetId="14">計算・出力!$FN$80</definedName>
    <definedName name="header_断面力MZ18" localSheetId="14">計算・出力!$FX$80</definedName>
    <definedName name="header_断面力MZ19" localSheetId="14">計算・出力!$GH$80</definedName>
    <definedName name="header_断面力MZ2" localSheetId="14">計算・出力!$T$80</definedName>
    <definedName name="header_断面力MZ20" localSheetId="14">計算・出力!$GR$80</definedName>
    <definedName name="header_断面力MZ21" localSheetId="14">計算・出力!$HB$80</definedName>
    <definedName name="header_断面力MZ3" localSheetId="14">計算・出力!$AD$80</definedName>
    <definedName name="header_断面力MZ4" localSheetId="14">計算・出力!$AN$80</definedName>
    <definedName name="header_断面力MZ5" localSheetId="14">計算・出力!$AX$80</definedName>
    <definedName name="header_断面力MZ6" localSheetId="14">計算・出力!$BH$80</definedName>
    <definedName name="header_断面力MZ7" localSheetId="14">計算・出力!$BR$80</definedName>
    <definedName name="header_断面力MZ8" localSheetId="14">計算・出力!$CB$80</definedName>
    <definedName name="header_断面力MZ9" localSheetId="14">計算・出力!$CL$80</definedName>
    <definedName name="header_断面力節点1" localSheetId="14">計算・出力!$C$80</definedName>
    <definedName name="header_断面力節点10" localSheetId="14">計算・出力!$CO$80</definedName>
    <definedName name="header_断面力節点11" localSheetId="14">計算・出力!$CY$80</definedName>
    <definedName name="header_断面力節点12" localSheetId="14">計算・出力!$DI$80</definedName>
    <definedName name="header_断面力節点13" localSheetId="14">計算・出力!$DS$80</definedName>
    <definedName name="header_断面力節点14" localSheetId="14">計算・出力!$EC$80</definedName>
    <definedName name="header_断面力節点15" localSheetId="14">計算・出力!$EM$80</definedName>
    <definedName name="header_断面力節点16" localSheetId="14">計算・出力!$EW$80</definedName>
    <definedName name="header_断面力節点17" localSheetId="14">計算・出力!$FG$80</definedName>
    <definedName name="header_断面力節点18" localSheetId="14">計算・出力!$FQ$80</definedName>
    <definedName name="header_断面力節点19" localSheetId="14">計算・出力!$GA$80</definedName>
    <definedName name="header_断面力節点2" localSheetId="14">計算・出力!$M$80</definedName>
    <definedName name="header_断面力節点20" localSheetId="14">計算・出力!$GK$80</definedName>
    <definedName name="header_断面力節点21" localSheetId="14">計算・出力!$GU$80</definedName>
    <definedName name="header_断面力節点3" localSheetId="14">計算・出力!$W$80</definedName>
    <definedName name="header_断面力節点4" localSheetId="14">計算・出力!$AG$80</definedName>
    <definedName name="header_断面力節点5" localSheetId="14">計算・出力!$AQ$80</definedName>
    <definedName name="header_断面力節点6" localSheetId="14">計算・出力!$BA$80</definedName>
    <definedName name="header_断面力節点7" localSheetId="14">計算・出力!$BK$80</definedName>
    <definedName name="header_断面力節点8" localSheetId="14">計算・出力!$BU$80</definedName>
    <definedName name="header_断面力節点9" localSheetId="14">計算・出力!$CE$80</definedName>
    <definedName name="header_着目点1" localSheetId="14">計算・出力!$D$80</definedName>
    <definedName name="header_着目点10" localSheetId="14">計算・出力!$CP$80</definedName>
    <definedName name="header_着目点11" localSheetId="14">計算・出力!$CZ$80</definedName>
    <definedName name="header_着目点12" localSheetId="14">計算・出力!$DJ$80</definedName>
    <definedName name="header_着目点13" localSheetId="14">計算・出力!$DT$80</definedName>
    <definedName name="header_着目点14" localSheetId="14">計算・出力!$ED$80</definedName>
    <definedName name="header_着目点15" localSheetId="14">計算・出力!$EN$80</definedName>
    <definedName name="header_着目点16" localSheetId="14">計算・出力!$EX$80</definedName>
    <definedName name="header_着目点17" localSheetId="14">計算・出力!$FH$80</definedName>
    <definedName name="header_着目点18" localSheetId="14">計算・出力!$FR$80</definedName>
    <definedName name="header_着目点19" localSheetId="14">計算・出力!$GB$80</definedName>
    <definedName name="header_着目点2" localSheetId="14">計算・出力!$N$80</definedName>
    <definedName name="header_着目点20" localSheetId="14">計算・出力!$GL$80</definedName>
    <definedName name="header_着目点21" localSheetId="14">計算・出力!$GV$80</definedName>
    <definedName name="header_着目点3" localSheetId="14">計算・出力!$X$80</definedName>
    <definedName name="header_着目点4" localSheetId="14">計算・出力!$AH$80</definedName>
    <definedName name="header_着目点5" localSheetId="14">計算・出力!$AR$80</definedName>
    <definedName name="header_着目点6" localSheetId="14">計算・出力!$BB$80</definedName>
    <definedName name="header_着目点7" localSheetId="14">計算・出力!$BL$80</definedName>
    <definedName name="header_着目点8" localSheetId="14">計算・出力!$BV$80</definedName>
    <definedName name="header_着目点9" localSheetId="14">計算・出力!$CF$80</definedName>
    <definedName name="header_反力MX1" localSheetId="14">計算・出力!$F$56</definedName>
    <definedName name="header_反力MX10" localSheetId="14">計算・出力!$CR$56</definedName>
    <definedName name="header_反力MX11" localSheetId="14">計算・出力!$DB$56</definedName>
    <definedName name="header_反力MX12" localSheetId="14">計算・出力!$DL$56</definedName>
    <definedName name="header_反力MX13" localSheetId="14">計算・出力!$DV$56</definedName>
    <definedName name="header_反力MX14" localSheetId="14">計算・出力!$EF$56</definedName>
    <definedName name="header_反力MX15" localSheetId="14">計算・出力!$EP$56</definedName>
    <definedName name="header_反力MX16" localSheetId="14">計算・出力!$EZ$56</definedName>
    <definedName name="header_反力MX17" localSheetId="14">計算・出力!$FJ$56</definedName>
    <definedName name="header_反力MX18" localSheetId="14">計算・出力!$FT$56</definedName>
    <definedName name="header_反力MX19" localSheetId="14">計算・出力!$GD$56</definedName>
    <definedName name="header_反力MX2" localSheetId="14">計算・出力!$P$56</definedName>
    <definedName name="header_反力MX20" localSheetId="14">計算・出力!$GN$56</definedName>
    <definedName name="header_反力MX21" localSheetId="14">計算・出力!$GX$56</definedName>
    <definedName name="header_反力MX3" localSheetId="14">計算・出力!$Z$56</definedName>
    <definedName name="header_反力MX4" localSheetId="14">計算・出力!$AJ$56</definedName>
    <definedName name="header_反力MX5" localSheetId="14">計算・出力!$AT$56</definedName>
    <definedName name="header_反力MX6" localSheetId="14">計算・出力!$BD$56</definedName>
    <definedName name="header_反力MX7" localSheetId="14">計算・出力!$BN$56</definedName>
    <definedName name="header_反力MX8" localSheetId="14">計算・出力!$BX$56</definedName>
    <definedName name="header_反力MX9" localSheetId="14">計算・出力!$CH$56</definedName>
    <definedName name="header_反力MY1" localSheetId="14">計算・出力!$G$56</definedName>
    <definedName name="header_反力MY10" localSheetId="14">計算・出力!$CS$56</definedName>
    <definedName name="header_反力MY11" localSheetId="14">計算・出力!$DC$56</definedName>
    <definedName name="header_反力MY12" localSheetId="14">計算・出力!$DM$56</definedName>
    <definedName name="header_反力MY13" localSheetId="14">計算・出力!$DW$56</definedName>
    <definedName name="header_反力MY14" localSheetId="14">計算・出力!$EG$56</definedName>
    <definedName name="header_反力MY15" localSheetId="14">計算・出力!$EQ$56</definedName>
    <definedName name="header_反力MY16" localSheetId="14">計算・出力!$FA$56</definedName>
    <definedName name="header_反力MY17" localSheetId="14">計算・出力!$FK$56</definedName>
    <definedName name="header_反力MY18" localSheetId="14">計算・出力!$FU$56</definedName>
    <definedName name="header_反力MY19" localSheetId="14">計算・出力!$GE$56</definedName>
    <definedName name="header_反力MY2" localSheetId="14">計算・出力!$Q$56</definedName>
    <definedName name="header_反力MY20" localSheetId="14">計算・出力!$GO$56</definedName>
    <definedName name="header_反力MY21" localSheetId="14">計算・出力!$GY$56</definedName>
    <definedName name="header_反力MY3" localSheetId="14">計算・出力!$AA$56</definedName>
    <definedName name="header_反力MY4" localSheetId="14">計算・出力!$AK$56</definedName>
    <definedName name="header_反力MY5" localSheetId="14">計算・出力!$AU$56</definedName>
    <definedName name="header_反力MY6" localSheetId="14">計算・出力!$BE$56</definedName>
    <definedName name="header_反力MY7" localSheetId="14">計算・出力!$BO$56</definedName>
    <definedName name="header_反力MY8" localSheetId="14">計算・出力!$BY$56</definedName>
    <definedName name="header_反力MY9" localSheetId="14">計算・出力!$CI$56</definedName>
    <definedName name="header_反力MZ1" localSheetId="14">計算・出力!$H$56</definedName>
    <definedName name="header_反力MZ10" localSheetId="14">計算・出力!$CT$56</definedName>
    <definedName name="header_反力MZ11" localSheetId="14">計算・出力!$DD$56</definedName>
    <definedName name="header_反力MZ12" localSheetId="14">計算・出力!$DN$56</definedName>
    <definedName name="header_反力MZ13" localSheetId="14">計算・出力!$DX$56</definedName>
    <definedName name="header_反力MZ14" localSheetId="14">計算・出力!$EH$56</definedName>
    <definedName name="header_反力MZ15" localSheetId="14">計算・出力!$ER$56</definedName>
    <definedName name="header_反力MZ16" localSheetId="14">計算・出力!$FB$56</definedName>
    <definedName name="header_反力MZ17" localSheetId="14">計算・出力!$FL$56</definedName>
    <definedName name="header_反力MZ18" localSheetId="14">計算・出力!$FV$56</definedName>
    <definedName name="header_反力MZ19" localSheetId="14">計算・出力!$GF$56</definedName>
    <definedName name="header_反力MZ2" localSheetId="14">計算・出力!$R$56</definedName>
    <definedName name="header_反力MZ20" localSheetId="14">計算・出力!$GP$56</definedName>
    <definedName name="header_反力MZ21" localSheetId="14">計算・出力!$GZ$56</definedName>
    <definedName name="header_反力MZ3" localSheetId="14">計算・出力!$AB$56</definedName>
    <definedName name="header_反力MZ4" localSheetId="14">計算・出力!$AL$56</definedName>
    <definedName name="header_反力MZ5" localSheetId="14">計算・出力!$AV$56</definedName>
    <definedName name="header_反力MZ6" localSheetId="14">計算・出力!$BF$56</definedName>
    <definedName name="header_反力MZ7" localSheetId="14">計算・出力!$BP$56</definedName>
    <definedName name="header_反力MZ8" localSheetId="14">計算・出力!$BZ$56</definedName>
    <definedName name="header_反力MZ9" localSheetId="14">計算・出力!$CJ$56</definedName>
    <definedName name="header_反力RX1" localSheetId="14">計算・出力!$C$56</definedName>
    <definedName name="header_反力RX10" localSheetId="14">計算・出力!$CO$56</definedName>
    <definedName name="header_反力RX11" localSheetId="14">計算・出力!$CY$56</definedName>
    <definedName name="header_反力RX12" localSheetId="14">計算・出力!$DI$56</definedName>
    <definedName name="header_反力RX13" localSheetId="14">計算・出力!$DS$56</definedName>
    <definedName name="header_反力RX14" localSheetId="14">計算・出力!$EC$56</definedName>
    <definedName name="header_反力RX15" localSheetId="14">計算・出力!$EM$56</definedName>
    <definedName name="header_反力RX16" localSheetId="14">計算・出力!$EW$56</definedName>
    <definedName name="header_反力RX17" localSheetId="14">計算・出力!$FG$56</definedName>
    <definedName name="header_反力RX18" localSheetId="14">計算・出力!$FQ$56</definedName>
    <definedName name="header_反力RX19" localSheetId="14">計算・出力!$GA$56</definedName>
    <definedName name="header_反力RX2" localSheetId="14">計算・出力!$M$56</definedName>
    <definedName name="header_反力RX20" localSheetId="14">計算・出力!$GK$56</definedName>
    <definedName name="header_反力RX21" localSheetId="14">計算・出力!$GU$56</definedName>
    <definedName name="header_反力RX3" localSheetId="14">計算・出力!$W$56</definedName>
    <definedName name="header_反力RX4" localSheetId="14">計算・出力!$AG$56</definedName>
    <definedName name="header_反力RX5" localSheetId="14">計算・出力!$AQ$56</definedName>
    <definedName name="header_反力RX6" localSheetId="14">計算・出力!$BA$56</definedName>
    <definedName name="header_反力RX7" localSheetId="14">計算・出力!$BK$56</definedName>
    <definedName name="header_反力RX8" localSheetId="14">計算・出力!$BU$56</definedName>
    <definedName name="header_反力RX9" localSheetId="14">計算・出力!$CE$56</definedName>
    <definedName name="header_反力RY1" localSheetId="14">計算・出力!$D$56</definedName>
    <definedName name="header_反力RY10" localSheetId="14">計算・出力!$CP$56</definedName>
    <definedName name="header_反力RY11" localSheetId="14">計算・出力!$CZ$56</definedName>
    <definedName name="header_反力RY12" localSheetId="14">計算・出力!$DJ$56</definedName>
    <definedName name="header_反力RY13" localSheetId="14">計算・出力!$DT$56</definedName>
    <definedName name="header_反力RY14" localSheetId="14">計算・出力!$ED$56</definedName>
    <definedName name="header_反力RY15" localSheetId="14">計算・出力!$EN$56</definedName>
    <definedName name="header_反力RY16" localSheetId="14">計算・出力!$EX$56</definedName>
    <definedName name="header_反力RY17" localSheetId="14">計算・出力!$FH$56</definedName>
    <definedName name="header_反力RY18" localSheetId="14">計算・出力!$FR$56</definedName>
    <definedName name="header_反力RY19" localSheetId="14">計算・出力!$GB$56</definedName>
    <definedName name="header_反力RY2" localSheetId="14">計算・出力!$N$56</definedName>
    <definedName name="header_反力RY20" localSheetId="14">計算・出力!$GL$56</definedName>
    <definedName name="header_反力RY21" localSheetId="14">計算・出力!$GV$56</definedName>
    <definedName name="header_反力RY3" localSheetId="14">計算・出力!$X$56</definedName>
    <definedName name="header_反力RY4" localSheetId="14">計算・出力!$AH$56</definedName>
    <definedName name="header_反力RY5" localSheetId="14">計算・出力!$AR$56</definedName>
    <definedName name="header_反力RY6" localSheetId="14">計算・出力!$BB$56</definedName>
    <definedName name="header_反力RY7" localSheetId="14">計算・出力!$BL$56</definedName>
    <definedName name="header_反力RY8" localSheetId="14">計算・出力!$BV$56</definedName>
    <definedName name="header_反力RY9" localSheetId="14">計算・出力!$CF$56</definedName>
    <definedName name="header_反力RZ1" localSheetId="14">計算・出力!$E$56</definedName>
    <definedName name="header_反力RZ10" localSheetId="14">計算・出力!$CQ$56</definedName>
    <definedName name="header_反力RZ11" localSheetId="14">計算・出力!$DA$56</definedName>
    <definedName name="header_反力RZ12" localSheetId="14">計算・出力!$DK$56</definedName>
    <definedName name="header_反力RZ13" localSheetId="14">計算・出力!$DU$56</definedName>
    <definedName name="header_反力RZ14" localSheetId="14">計算・出力!$EE$56</definedName>
    <definedName name="header_反力RZ15" localSheetId="14">計算・出力!$EO$56</definedName>
    <definedName name="header_反力RZ16" localSheetId="14">計算・出力!$EY$56</definedName>
    <definedName name="header_反力RZ17" localSheetId="14">計算・出力!$FI$56</definedName>
    <definedName name="header_反力RZ18" localSheetId="14">計算・出力!$FS$56</definedName>
    <definedName name="header_反力RZ19" localSheetId="14">計算・出力!$GC$56</definedName>
    <definedName name="header_反力RZ2" localSheetId="14">計算・出力!$O$56</definedName>
    <definedName name="header_反力RZ20" localSheetId="14">計算・出力!$GM$56</definedName>
    <definedName name="header_反力RZ21" localSheetId="14">計算・出力!$GW$56</definedName>
    <definedName name="header_反力RZ3" localSheetId="14">計算・出力!$Y$56</definedName>
    <definedName name="header_反力RZ4" localSheetId="14">計算・出力!$AI$56</definedName>
    <definedName name="header_反力RZ5" localSheetId="14">計算・出力!$AS$56</definedName>
    <definedName name="header_反力RZ6" localSheetId="14">計算・出力!$BC$56</definedName>
    <definedName name="header_反力RZ7" localSheetId="14">計算・出力!$BM$56</definedName>
    <definedName name="header_反力RZ8" localSheetId="14">計算・出力!$BW$56</definedName>
    <definedName name="header_反力RZ9" localSheetId="14">計算・出力!$CG$56</definedName>
    <definedName name="header_部材1" localSheetId="9">荷重強度!$B$5:$B$6</definedName>
    <definedName name="header_部材2" localSheetId="9">荷重強度!$C$5:$C$6</definedName>
    <definedName name="header_変位X1" localSheetId="14">計算・出力!$C$34</definedName>
    <definedName name="header_変位X10" localSheetId="14">計算・出力!$CO$34</definedName>
    <definedName name="header_変位X11" localSheetId="14">計算・出力!$CY$34</definedName>
    <definedName name="header_変位X12" localSheetId="14">計算・出力!$DI$34</definedName>
    <definedName name="header_変位X13" localSheetId="14">計算・出力!$DS$34</definedName>
    <definedName name="header_変位X14" localSheetId="14">計算・出力!$EC$34</definedName>
    <definedName name="header_変位X15" localSheetId="14">計算・出力!$EM$34</definedName>
    <definedName name="header_変位X16" localSheetId="14">計算・出力!$EW$34</definedName>
    <definedName name="header_変位X17" localSheetId="14">計算・出力!$FG$34</definedName>
    <definedName name="header_変位X18" localSheetId="14">計算・出力!$FQ$34</definedName>
    <definedName name="header_変位X19" localSheetId="14">計算・出力!$GA$34</definedName>
    <definedName name="header_変位X2" localSheetId="14">計算・出力!$M$34</definedName>
    <definedName name="header_変位X20" localSheetId="14">計算・出力!$GK$34</definedName>
    <definedName name="header_変位X21" localSheetId="14">計算・出力!$GU$34</definedName>
    <definedName name="header_変位X3" localSheetId="14">計算・出力!$W$34</definedName>
    <definedName name="header_変位X4" localSheetId="14">計算・出力!$AG$34</definedName>
    <definedName name="header_変位X5" localSheetId="14">計算・出力!$AQ$34</definedName>
    <definedName name="header_変位X6" localSheetId="14">計算・出力!$BA$34</definedName>
    <definedName name="header_変位X7" localSheetId="14">計算・出力!$BK$34</definedName>
    <definedName name="header_変位X8" localSheetId="14">計算・出力!$BU$34</definedName>
    <definedName name="header_変位X9" localSheetId="14">計算・出力!$CE$34</definedName>
    <definedName name="header_変位Y1" localSheetId="14">計算・出力!$D$34</definedName>
    <definedName name="header_変位Y10" localSheetId="14">計算・出力!$CP$34</definedName>
    <definedName name="header_変位Y11" localSheetId="14">計算・出力!$CZ$34</definedName>
    <definedName name="header_変位Y12" localSheetId="14">計算・出力!$DJ$34</definedName>
    <definedName name="header_変位Y13" localSheetId="14">計算・出力!$DT$34</definedName>
    <definedName name="header_変位Y14" localSheetId="14">計算・出力!$ED$34</definedName>
    <definedName name="header_変位Y15" localSheetId="14">計算・出力!$EN$34</definedName>
    <definedName name="header_変位Y16" localSheetId="14">計算・出力!$EX$34</definedName>
    <definedName name="header_変位Y17" localSheetId="14">計算・出力!$FH$34</definedName>
    <definedName name="header_変位Y18" localSheetId="14">計算・出力!$FR$34</definedName>
    <definedName name="header_変位Y19" localSheetId="14">計算・出力!$GB$34</definedName>
    <definedName name="header_変位Y2" localSheetId="14">計算・出力!$N$34</definedName>
    <definedName name="header_変位Y20" localSheetId="14">計算・出力!$GL$34</definedName>
    <definedName name="header_変位Y21" localSheetId="14">計算・出力!$GV$34</definedName>
    <definedName name="header_変位Y3" localSheetId="14">計算・出力!$X$34</definedName>
    <definedName name="header_変位Y4" localSheetId="14">計算・出力!$AH$34</definedName>
    <definedName name="header_変位Y5" localSheetId="14">計算・出力!$AR$34</definedName>
    <definedName name="header_変位Y6" localSheetId="14">計算・出力!$BB$34</definedName>
    <definedName name="header_変位Y7" localSheetId="14">計算・出力!$BL$34</definedName>
    <definedName name="header_変位Y8" localSheetId="14">計算・出力!$BV$34</definedName>
    <definedName name="header_変位Y9" localSheetId="14">計算・出力!$CF$34</definedName>
    <definedName name="header_変位Z1" localSheetId="14">計算・出力!$E$34</definedName>
    <definedName name="header_変位Z10" localSheetId="14">計算・出力!$CQ$34</definedName>
    <definedName name="header_変位Z11" localSheetId="14">計算・出力!$DA$34</definedName>
    <definedName name="header_変位Z12" localSheetId="14">計算・出力!$DK$34</definedName>
    <definedName name="header_変位Z13" localSheetId="14">計算・出力!$DU$34</definedName>
    <definedName name="header_変位Z14" localSheetId="14">計算・出力!$EE$34</definedName>
    <definedName name="header_変位Z15" localSheetId="14">計算・出力!$EO$34</definedName>
    <definedName name="header_変位Z16" localSheetId="14">計算・出力!$EY$34</definedName>
    <definedName name="header_変位Z17" localSheetId="14">計算・出力!$FI$34</definedName>
    <definedName name="header_変位Z18" localSheetId="14">計算・出力!$FS$34</definedName>
    <definedName name="header_変位Z19" localSheetId="14">計算・出力!$GC$34</definedName>
    <definedName name="header_変位Z2" localSheetId="14">計算・出力!$O$34</definedName>
    <definedName name="header_変位Z20" localSheetId="14">計算・出力!$GM$34</definedName>
    <definedName name="header_変位Z21" localSheetId="14">計算・出力!$GW$34</definedName>
    <definedName name="header_変位Z3" localSheetId="14">計算・出力!$Y$34</definedName>
    <definedName name="header_変位Z4" localSheetId="14">計算・出力!$AI$34</definedName>
    <definedName name="header_変位Z5" localSheetId="14">計算・出力!$AS$34</definedName>
    <definedName name="header_変位Z6" localSheetId="14">計算・出力!$BC$34</definedName>
    <definedName name="header_変位Z7" localSheetId="14">計算・出力!$BM$34</definedName>
    <definedName name="header_変位Z8" localSheetId="14">計算・出力!$BW$34</definedName>
    <definedName name="header_変位Z9" localSheetId="14">計算・出力!$CG$34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荷重強度!$A$1:$P$16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6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10" localSheetId="14">計算・出力!$CO$7</definedName>
    <definedName name="荷重No11" localSheetId="14">計算・出力!$CY$7</definedName>
    <definedName name="荷重No12" localSheetId="14">計算・出力!$DI$7</definedName>
    <definedName name="荷重No13" localSheetId="14">計算・出力!$DS$7</definedName>
    <definedName name="荷重No14" localSheetId="14">計算・出力!$EC$7</definedName>
    <definedName name="荷重No15" localSheetId="14">計算・出力!$EM$7</definedName>
    <definedName name="荷重No16" localSheetId="14">計算・出力!$EW$7</definedName>
    <definedName name="荷重No17" localSheetId="14">計算・出力!$FG$7</definedName>
    <definedName name="荷重No18" localSheetId="14">計算・出力!$FQ$7</definedName>
    <definedName name="荷重No19" localSheetId="14">計算・出力!$GA$7</definedName>
    <definedName name="荷重No2" localSheetId="14">計算・出力!$M$7</definedName>
    <definedName name="荷重No20" localSheetId="14">計算・出力!$GK$7</definedName>
    <definedName name="荷重No21" localSheetId="14">計算・出力!$GU$7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荷重No8" localSheetId="14">計算・出力!$BU$7</definedName>
    <definedName name="荷重No9" localSheetId="14">計算・出力!$CE$7</definedName>
    <definedName name="割増係数_header" localSheetId="8">荷重名称!$A$4:$A$5</definedName>
    <definedName name="割増係数1" localSheetId="14">計算・出力!$B$7</definedName>
    <definedName name="割増係数10" localSheetId="14">計算・出力!$CN$7</definedName>
    <definedName name="割増係数11" localSheetId="14">計算・出力!$CX$7</definedName>
    <definedName name="割増係数12" localSheetId="14">計算・出力!$DH$7</definedName>
    <definedName name="割増係数13" localSheetId="14">計算・出力!$DR$7</definedName>
    <definedName name="割増係数14" localSheetId="14">計算・出力!$EB$7</definedName>
    <definedName name="割増係数15" localSheetId="14">計算・出力!$EL$7</definedName>
    <definedName name="割増係数16" localSheetId="14">計算・出力!$EV$7</definedName>
    <definedName name="割増係数17" localSheetId="14">計算・出力!$FF$7</definedName>
    <definedName name="割増係数18" localSheetId="14">計算・出力!$FP$7</definedName>
    <definedName name="割増係数19" localSheetId="14">計算・出力!$FZ$7</definedName>
    <definedName name="割増係数2" localSheetId="14">計算・出力!$L$7</definedName>
    <definedName name="割増係数20" localSheetId="14">計算・出力!$GJ$7</definedName>
    <definedName name="割増係数21" localSheetId="14">計算・出力!$GT$7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割増係数8" localSheetId="14">計算・出力!$BT$7</definedName>
    <definedName name="割増係数9" localSheetId="14">計算・出力!$CD$7</definedName>
    <definedName name="記号_header" localSheetId="8">荷重名称!$C$4:$C$5</definedName>
    <definedName name="記号1" localSheetId="14">計算・出力!$D$7</definedName>
    <definedName name="記号10" localSheetId="14">計算・出力!$CP$7</definedName>
    <definedName name="記号11" localSheetId="14">計算・出力!$CZ$7</definedName>
    <definedName name="記号12" localSheetId="14">計算・出力!$DJ$7</definedName>
    <definedName name="記号13" localSheetId="14">計算・出力!$DT$7</definedName>
    <definedName name="記号14" localSheetId="14">計算・出力!$ED$7</definedName>
    <definedName name="記号15" localSheetId="14">計算・出力!$EN$7</definedName>
    <definedName name="記号16" localSheetId="14">計算・出力!$EX$7</definedName>
    <definedName name="記号17" localSheetId="14">計算・出力!$FH$7</definedName>
    <definedName name="記号18" localSheetId="14">計算・出力!$FR$7</definedName>
    <definedName name="記号19" localSheetId="14">計算・出力!$GB$7</definedName>
    <definedName name="記号2" localSheetId="14">計算・出力!$N$7</definedName>
    <definedName name="記号20" localSheetId="14">計算・出力!$GL$7</definedName>
    <definedName name="記号21" localSheetId="14">計算・出力!$GV$7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記号8" localSheetId="14">計算・出力!$BV$7</definedName>
    <definedName name="記号9" localSheetId="14">計算・出力!$CF$7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10" localSheetId="14">計算・出力!$CO$9</definedName>
    <definedName name="節点数11" localSheetId="14">計算・出力!$CY$9</definedName>
    <definedName name="節点数12" localSheetId="14">計算・出力!$DI$9</definedName>
    <definedName name="節点数13" localSheetId="14">計算・出力!$DS$9</definedName>
    <definedName name="節点数14" localSheetId="14">計算・出力!$EC$9</definedName>
    <definedName name="節点数15" localSheetId="14">計算・出力!$EM$9</definedName>
    <definedName name="節点数16" localSheetId="14">計算・出力!$EW$9</definedName>
    <definedName name="節点数17" localSheetId="14">計算・出力!$FG$9</definedName>
    <definedName name="節点数18" localSheetId="14">計算・出力!$FQ$9</definedName>
    <definedName name="節点数19" localSheetId="14">計算・出力!$GA$9</definedName>
    <definedName name="節点数2" localSheetId="14">計算・出力!$M$9</definedName>
    <definedName name="節点数20" localSheetId="14">計算・出力!$GK$9</definedName>
    <definedName name="節点数21" localSheetId="14">計算・出力!$GU$9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節点数8" localSheetId="14">計算・出力!$BU$9</definedName>
    <definedName name="節点数9" localSheetId="14">計算・出力!$CE$9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10" localSheetId="14">計算・出力!$CQ$7</definedName>
    <definedName name="名称11" localSheetId="14">計算・出力!$DA$7</definedName>
    <definedName name="名称12" localSheetId="14">計算・出力!$DK$7</definedName>
    <definedName name="名称13" localSheetId="14">計算・出力!$DU$7</definedName>
    <definedName name="名称14" localSheetId="14">計算・出力!$EE$7</definedName>
    <definedName name="名称15" localSheetId="14">計算・出力!$EO$7</definedName>
    <definedName name="名称16" localSheetId="14">計算・出力!$EY$7</definedName>
    <definedName name="名称17" localSheetId="14">計算・出力!$FI$7</definedName>
    <definedName name="名称18" localSheetId="14">計算・出力!$FS$7</definedName>
    <definedName name="名称19" localSheetId="14">計算・出力!$GC$7</definedName>
    <definedName name="名称2" localSheetId="14">計算・出力!$O$7</definedName>
    <definedName name="名称20" localSheetId="14">計算・出力!$GM$7</definedName>
    <definedName name="名称21" localSheetId="14">計算・出力!$GW$7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名称8" localSheetId="14">計算・出力!$BW$7</definedName>
    <definedName name="名称9" localSheetId="14">計算・出力!$CG$7</definedName>
    <definedName name="要素数1" localSheetId="14">計算・出力!$C$77</definedName>
    <definedName name="要素数10" localSheetId="14">計算・出力!$CO$77</definedName>
    <definedName name="要素数11" localSheetId="14">計算・出力!$CY$77</definedName>
    <definedName name="要素数12" localSheetId="14">計算・出力!$DI$77</definedName>
    <definedName name="要素数13" localSheetId="14">計算・出力!$DS$77</definedName>
    <definedName name="要素数14" localSheetId="14">計算・出力!$EC$77</definedName>
    <definedName name="要素数15" localSheetId="14">計算・出力!$EM$77</definedName>
    <definedName name="要素数16" localSheetId="14">計算・出力!$EW$77</definedName>
    <definedName name="要素数17" localSheetId="14">計算・出力!$FG$77</definedName>
    <definedName name="要素数18" localSheetId="14">計算・出力!$FQ$77</definedName>
    <definedName name="要素数19" localSheetId="14">計算・出力!$GA$77</definedName>
    <definedName name="要素数2" localSheetId="14">計算・出力!$M$77</definedName>
    <definedName name="要素数20" localSheetId="14">計算・出力!$GK$77</definedName>
    <definedName name="要素数21" localSheetId="14">計算・出力!$GU$77</definedName>
    <definedName name="要素数3" localSheetId="14">計算・出力!$W$77</definedName>
    <definedName name="要素数4" localSheetId="14">計算・出力!$AG$77</definedName>
    <definedName name="要素数5" localSheetId="14">計算・出力!$AQ$77</definedName>
    <definedName name="要素数6" localSheetId="14">計算・出力!$BA$77</definedName>
    <definedName name="要素数7" localSheetId="14">計算・出力!$BK$77</definedName>
    <definedName name="要素数8" localSheetId="14">計算・出力!$BU$77</definedName>
    <definedName name="要素数9" localSheetId="14">計算・出力!$CE$77</definedName>
  </definedNames>
  <calcPr calcId="152511"/>
</workbook>
</file>

<file path=xl/calcChain.xml><?xml version="1.0" encoding="utf-8"?>
<calcChain xmlns="http://schemas.openxmlformats.org/spreadsheetml/2006/main">
  <c r="F19" i="23" l="1"/>
  <c r="G18" i="23"/>
  <c r="F18" i="23"/>
  <c r="C18" i="23"/>
  <c r="B18" i="23"/>
  <c r="B19" i="23" s="1"/>
  <c r="G17" i="23"/>
  <c r="F17" i="23"/>
  <c r="C17" i="23"/>
  <c r="B17" i="23"/>
  <c r="G16" i="23"/>
  <c r="F16" i="23"/>
  <c r="C16" i="23"/>
  <c r="B16" i="23"/>
  <c r="G15" i="23"/>
  <c r="F15" i="23"/>
  <c r="C15" i="23"/>
  <c r="B15" i="23"/>
  <c r="G12" i="23"/>
  <c r="F12" i="23"/>
  <c r="F13" i="23" s="1"/>
  <c r="C12" i="23"/>
  <c r="B12" i="23"/>
  <c r="B13" i="23" s="1"/>
  <c r="G11" i="23"/>
  <c r="F11" i="23"/>
  <c r="C11" i="23"/>
  <c r="B11" i="23"/>
  <c r="G10" i="23"/>
  <c r="F10" i="23"/>
  <c r="C10" i="23"/>
  <c r="B10" i="23"/>
  <c r="G9" i="23"/>
  <c r="F9" i="23"/>
  <c r="C9" i="23"/>
  <c r="B9" i="23"/>
  <c r="H8" i="21"/>
  <c r="E8" i="21"/>
  <c r="I8" i="19"/>
  <c r="I9" i="19" s="1"/>
  <c r="C8" i="19"/>
  <c r="C9" i="19" s="1"/>
  <c r="B13" i="18"/>
  <c r="B15" i="18" s="1"/>
  <c r="B17" i="18" s="1"/>
  <c r="B19" i="18" s="1"/>
  <c r="B21" i="18" s="1"/>
  <c r="B23" i="18" s="1"/>
  <c r="C12" i="18"/>
  <c r="C14" i="18" s="1"/>
  <c r="B12" i="18"/>
  <c r="B14" i="18" s="1"/>
  <c r="B16" i="18" s="1"/>
  <c r="B18" i="18" s="1"/>
  <c r="B20" i="18" s="1"/>
  <c r="B22" i="18" s="1"/>
  <c r="C11" i="18"/>
  <c r="B11" i="18"/>
  <c r="C9" i="18"/>
  <c r="C8" i="18"/>
  <c r="C7" i="18"/>
  <c r="C6" i="18"/>
  <c r="C15" i="18" l="1"/>
  <c r="C16" i="18"/>
  <c r="C13" i="18"/>
  <c r="C18" i="18" l="1"/>
  <c r="C17" i="18"/>
  <c r="C19" i="18" l="1"/>
  <c r="C22" i="18"/>
  <c r="C23" i="18" l="1"/>
  <c r="C21" i="18" s="1"/>
  <c r="C20" i="18"/>
</calcChain>
</file>

<file path=xl/sharedStrings.xml><?xml version="1.0" encoding="utf-8"?>
<sst xmlns="http://schemas.openxmlformats.org/spreadsheetml/2006/main" count="1026" uniqueCount="231">
  <si>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</si>
  <si>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</si>
  <si>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</si>
  <si>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</si>
  <si>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</si>
  <si>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</si>
  <si>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</si>
  <si>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</si>
  <si>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</si>
  <si>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</si>
  <si>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</si>
  <si>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</si>
  <si>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</si>
  <si>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</si>
  <si>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</si>
  <si>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</si>
  <si>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</si>
  <si>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</si>
  <si>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</si>
  <si>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</si>
  <si>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</si>
  <si>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</si>
  <si>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</si>
  <si>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</si>
  <si>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</si>
  <si>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</si>
  <si>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</si>
  <si>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</si>
  <si>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</si>
  <si>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</si>
  <si>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</si>
  <si>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</si>
  <si>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</si>
  <si>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</si>
  <si>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</si>
  <si>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</si>
  <si>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</si>
  <si>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</si>
  <si>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</si>
  <si>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</si>
  <si>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</si>
  <si>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</si>
  <si>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</si>
  <si>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</si>
  <si>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</si>
  <si>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</si>
  <si>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</si>
  <si>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</si>
  <si>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</si>
  <si>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</si>
  <si>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</si>
  <si>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</si>
  <si>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</si>
  <si>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</si>
  <si>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</si>
  <si>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</si>
  <si>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</si>
  <si>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</si>
  <si>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</si>
  <si>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</si>
  <si>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</si>
  <si>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</si>
  <si>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</si>
  <si>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</si>
  <si>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</si>
  <si>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</si>
  <si>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</si>
  <si>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</si>
  <si>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</si>
  <si>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</si>
  <si>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</si>
  <si>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</si>
  <si>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</si>
  <si>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</si>
  <si>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</si>
  <si>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</si>
  <si>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</si>
  <si>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</si>
  <si>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</si>
  <si>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</si>
  <si>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</si>
  <si>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</si>
  <si>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</si>
  <si>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</si>
  <si>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</si>
  <si>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</si>
  <si>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</si>
  <si>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</si>
  <si>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</si>
  <si>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</si>
  <si>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</si>
  <si>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</si>
  <si>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</si>
  <si>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</si>
  <si>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</si>
  <si>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</si>
  <si>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</si>
  <si>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</si>
  <si>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</si>
  <si>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</si>
  <si>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</si>
  <si>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</si>
  <si>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</si>
  <si>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</si>
  <si>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</si>
  <si>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</si>
  <si>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</si>
  <si>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</si>
  <si>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</si>
  <si>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</si>
  <si>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</si>
  <si>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</si>
  <si>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http://structuralengine.jp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</si>
  <si>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</si>
  <si>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</si>
  <si>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</si>
  <si>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</si>
  <si>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</si>
  <si>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</si>
  <si>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</si>
  <si>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</si>
  <si>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</si>
  <si>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</si>
  <si>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</si>
  <si>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</si>
  <si>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</si>
  <si>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</si>
  <si>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</si>
  <si>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</si>
  <si>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</si>
  <si>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</si>
  <si>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</si>
  <si>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</si>
  <si>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</si>
  <si>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</si>
  <si>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</si>
  <si>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</si>
  <si>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</si>
  <si>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</si>
  <si>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</si>
  <si>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</si>
  <si>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</si>
  <si>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</si>
  <si>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</si>
  <si>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</si>
  <si>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D1</t>
  </si>
  <si>
    <t>D2</t>
  </si>
  <si>
    <t>no</t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</si>
  <si>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</si>
  <si>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</si>
  <si>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</si>
  <si>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</si>
  <si>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</si>
  <si>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</si>
  <si>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</si>
  <si>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</si>
  <si>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</si>
  <si>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</si>
  <si>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</si>
  <si>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</si>
  <si>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</si>
  <si>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</si>
  <si>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</si>
  <si>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</si>
  <si>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</si>
  <si>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</si>
  <si>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</si>
  <si>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</si>
  <si>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</si>
  <si>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</si>
  <si>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固定死荷重</t>
    <rPh sb="0" eb="2">
      <t>コテイ</t>
    </rPh>
    <rPh sb="2" eb="5">
      <t>シカジュウ</t>
    </rPh>
    <phoneticPr fontId="2"/>
  </si>
  <si>
    <t>付加死荷重</t>
    <rPh sb="0" eb="2">
      <t>フカ</t>
    </rPh>
    <rPh sb="2" eb="5">
      <t>シカジュウ</t>
    </rPh>
    <phoneticPr fontId="2"/>
  </si>
  <si>
    <t>WpM</t>
  </si>
  <si>
    <t>浮力[平水位]</t>
    <rPh sb="0" eb="2">
      <t>フリョク</t>
    </rPh>
    <rPh sb="3" eb="4">
      <t>ヘイ</t>
    </rPh>
    <rPh sb="4" eb="6">
      <t>スイイ</t>
    </rPh>
    <phoneticPr fontId="2"/>
  </si>
  <si>
    <t>WpH</t>
  </si>
  <si>
    <t>浮力[高水位]</t>
    <rPh sb="0" eb="2">
      <t>フリョク</t>
    </rPh>
    <rPh sb="3" eb="4">
      <t>タカ</t>
    </rPh>
    <rPh sb="4" eb="6">
      <t>スイイ</t>
    </rPh>
    <phoneticPr fontId="2"/>
  </si>
  <si>
    <t>L</t>
  </si>
  <si>
    <t>列車荷重</t>
    <rPh sb="0" eb="2">
      <t>レッシャ</t>
    </rPh>
    <rPh sb="2" eb="4">
      <t>カジュウ</t>
    </rPh>
    <phoneticPr fontId="2"/>
  </si>
  <si>
    <t>L+I(1)</t>
  </si>
  <si>
    <t>列車荷重＋衝撃[使用性]</t>
    <rPh sb="0" eb="2">
      <t>レッシャ</t>
    </rPh>
    <rPh sb="2" eb="4">
      <t>カジュウ</t>
    </rPh>
    <rPh sb="5" eb="7">
      <t>ショウゲキ</t>
    </rPh>
    <rPh sb="8" eb="10">
      <t>シヨウ</t>
    </rPh>
    <rPh sb="10" eb="11">
      <t>セイ</t>
    </rPh>
    <phoneticPr fontId="2"/>
  </si>
  <si>
    <t>L+I(2)</t>
  </si>
  <si>
    <t>列車荷重＋衝撃[低水位]</t>
    <rPh sb="0" eb="2">
      <t>レッシャ</t>
    </rPh>
    <rPh sb="2" eb="4">
      <t>カジュウ</t>
    </rPh>
    <rPh sb="5" eb="7">
      <t>ショウゲキ</t>
    </rPh>
    <rPh sb="8" eb="11">
      <t>テイスイイ</t>
    </rPh>
    <phoneticPr fontId="2"/>
  </si>
  <si>
    <t>L+I(3)</t>
  </si>
  <si>
    <t>列車荷重＋衝撃[平水位]</t>
    <rPh sb="0" eb="2">
      <t>レッシャ</t>
    </rPh>
    <rPh sb="2" eb="4">
      <t>カジュウ</t>
    </rPh>
    <rPh sb="5" eb="7">
      <t>ショウゲキ</t>
    </rPh>
    <rPh sb="8" eb="9">
      <t>ヘイ</t>
    </rPh>
    <rPh sb="9" eb="11">
      <t>スイイ</t>
    </rPh>
    <phoneticPr fontId="2"/>
  </si>
  <si>
    <t>L+I(4)</t>
  </si>
  <si>
    <t>列車荷重＋衝撃[高水位]</t>
    <rPh sb="0" eb="2">
      <t>レッシャ</t>
    </rPh>
    <rPh sb="2" eb="4">
      <t>カジュウ</t>
    </rPh>
    <rPh sb="5" eb="7">
      <t>ショウゲキ</t>
    </rPh>
    <rPh sb="8" eb="11">
      <t>コウスイイ</t>
    </rPh>
    <phoneticPr fontId="2"/>
  </si>
  <si>
    <t>0.8 LR</t>
  </si>
  <si>
    <t>ロングレール縦荷重 [使用性]</t>
  </si>
  <si>
    <t>1.0 LR</t>
  </si>
  <si>
    <t>1.0 B</t>
  </si>
  <si>
    <t>制動荷重 [終局限界]</t>
  </si>
  <si>
    <t>1.1 B</t>
  </si>
  <si>
    <t>LR+B(1)</t>
  </si>
  <si>
    <t>ﾛﾝｸﾞﾚｰﾙ縦荷重＋制動荷重</t>
  </si>
  <si>
    <t>LR+B(2)</t>
  </si>
  <si>
    <t>LR+B(3)</t>
  </si>
  <si>
    <t>LR+B(4)</t>
  </si>
  <si>
    <t>ﾛﾝｸﾞﾚｰﾙ縦荷重＋制動荷重[復旧性]</t>
    <rPh sb="16" eb="19">
      <t>フッキュウセイ</t>
    </rPh>
    <phoneticPr fontId="2"/>
  </si>
  <si>
    <t>ED(1)</t>
  </si>
  <si>
    <t>永久土圧[低水位]</t>
    <rPh sb="0" eb="2">
      <t>エイキュウ</t>
    </rPh>
    <rPh sb="2" eb="4">
      <t>ドアツ</t>
    </rPh>
    <rPh sb="5" eb="6">
      <t>テイ</t>
    </rPh>
    <rPh sb="6" eb="8">
      <t>スイイ</t>
    </rPh>
    <phoneticPr fontId="2"/>
  </si>
  <si>
    <t>ED(2)</t>
  </si>
  <si>
    <t>永久土圧[平水位]</t>
    <rPh sb="0" eb="2">
      <t>エイキュウ</t>
    </rPh>
    <rPh sb="2" eb="4">
      <t>ドアツ</t>
    </rPh>
    <rPh sb="5" eb="6">
      <t>ヘイ</t>
    </rPh>
    <rPh sb="6" eb="8">
      <t>スイイ</t>
    </rPh>
    <phoneticPr fontId="2"/>
  </si>
  <si>
    <t>ED(3)</t>
  </si>
  <si>
    <t>永久土圧[高水位]</t>
    <rPh sb="0" eb="2">
      <t>エイキュウ</t>
    </rPh>
    <rPh sb="2" eb="4">
      <t>ドアツ</t>
    </rPh>
    <rPh sb="5" eb="8">
      <t>コウスイイ</t>
    </rPh>
    <phoneticPr fontId="2"/>
  </si>
  <si>
    <t>EL</t>
  </si>
  <si>
    <t>変動荷重による土圧</t>
    <rPh sb="0" eb="2">
      <t>ヘンドウ</t>
    </rPh>
    <rPh sb="2" eb="4">
      <t>カジュウ</t>
    </rPh>
    <rPh sb="7" eb="9">
      <t>ドアツ</t>
    </rPh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</si>
  <si>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</si>
  <si>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</si>
  <si>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</si>
  <si>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</si>
  <si>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</si>
  <si>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</si>
  <si>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Comb
No</t>
    <phoneticPr fontId="2"/>
  </si>
  <si>
    <t>PickUpNo</t>
    <phoneticPr fontId="71"/>
  </si>
  <si>
    <t>固定死荷重</t>
  </si>
  <si>
    <t>付加死荷重</t>
  </si>
  <si>
    <t>浮力[平水位]</t>
  </si>
  <si>
    <t>浮力[高水位]</t>
  </si>
  <si>
    <t>列車荷重</t>
  </si>
  <si>
    <t>列車荷重＋衝撃[使用性]</t>
  </si>
  <si>
    <t>列車荷重＋衝撃[低水位]</t>
  </si>
  <si>
    <t>列車荷重＋衝撃[平水位]</t>
  </si>
  <si>
    <t>列車荷重＋衝撃[高水位]</t>
  </si>
  <si>
    <t>ﾛﾝｸﾞﾚｰﾙ縦荷重＋制動荷重[復旧性]</t>
  </si>
  <si>
    <t>永久土圧[低水位]</t>
  </si>
  <si>
    <t>永久土圧[平水位]</t>
  </si>
  <si>
    <t>永久土圧[高水位]</t>
  </si>
  <si>
    <t>変動荷重による土圧</t>
  </si>
  <si>
    <t>DEFINEケース</t>
    <phoneticPr fontId="71"/>
  </si>
  <si>
    <t>E:\Documents\Visual Studio 2017\Projects\username</t>
    <phoneticPr fontId="2"/>
  </si>
  <si>
    <t>E:\Documents\Visual Studio 2017\Projects\password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</si>
</sst>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08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0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183" fontId="43" fillId="0" borderId="14" xfId="374" applyNumberFormat="1" applyFont="1" applyFill="1" applyBorder="1" applyProtection="1">
      <alignment vertical="center"/>
      <protection locked="0"/>
    </xf>
    <xf numFmtId="183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Border="1" applyAlignment="1">
      <alignment horizontal="center" vertical="center" shrinkToFit="1"/>
    </xf>
    <xf numFmtId="2" fontId="53" fillId="0" borderId="14" xfId="0" applyNumberFormat="1" applyFont="1" applyFill="1" applyBorder="1" applyAlignment="1">
      <alignment horizontal="center" vertical="center"/>
    </xf>
    <xf numFmtId="2" fontId="53" fillId="0" borderId="14" xfId="0" applyNumberFormat="1" applyFont="1" applyBorder="1" applyAlignment="1">
      <alignment horizontal="center" vertical="center"/>
    </xf>
    <xf numFmtId="2" fontId="53" fillId="29" borderId="14" xfId="0" applyNumberFormat="1" applyFont="1" applyFill="1" applyBorder="1" applyAlignment="1">
      <alignment horizontal="center" vertical="center"/>
    </xf>
    <xf numFmtId="184" fontId="53" fillId="29" borderId="14" xfId="0" applyNumberFormat="1" applyFont="1" applyFill="1" applyBorder="1" applyAlignment="1">
      <alignment horizontal="right" vertical="center"/>
    </xf>
    <xf numFmtId="2" fontId="53" fillId="29" borderId="14" xfId="0" applyNumberFormat="1" applyFont="1" applyFill="1" applyBorder="1" applyAlignment="1">
      <alignment horizontal="center" vertical="center" shrinkToFit="1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217488</xdr:colOff>
      <xdr:row>8</xdr:row>
      <xdr:rowOff>101600</xdr:rowOff>
    </xdr:from>
    <xdr:to>
      <xdr:col>23</xdr:col>
      <xdr:colOff>49213</xdr:colOff>
      <xdr:row>8</xdr:row>
      <xdr:rowOff>152400</xdr:rowOff>
    </xdr:to>
    <xdr:sp macro="" textlink="">
      <xdr:nvSpPr>
        <xdr:cNvPr id="26" name="円/楕円 25"/>
        <xdr:cNvSpPr/>
      </xdr:nvSpPr>
      <xdr:spPr bwMode="auto">
        <a:xfrm>
          <a:off x="6827838" y="15494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9</xdr:row>
      <xdr:rowOff>98425</xdr:rowOff>
    </xdr:from>
    <xdr:to>
      <xdr:col>20</xdr:col>
      <xdr:colOff>173038</xdr:colOff>
      <xdr:row>9</xdr:row>
      <xdr:rowOff>149225</xdr:rowOff>
    </xdr:to>
    <xdr:sp macro="" textlink="">
      <xdr:nvSpPr>
        <xdr:cNvPr id="27" name="円/楕円 26"/>
        <xdr:cNvSpPr/>
      </xdr:nvSpPr>
      <xdr:spPr bwMode="auto">
        <a:xfrm>
          <a:off x="6294438" y="1727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217488</xdr:colOff>
      <xdr:row>9</xdr:row>
      <xdr:rowOff>98425</xdr:rowOff>
    </xdr:from>
    <xdr:to>
      <xdr:col>23</xdr:col>
      <xdr:colOff>49213</xdr:colOff>
      <xdr:row>9</xdr:row>
      <xdr:rowOff>149225</xdr:rowOff>
    </xdr:to>
    <xdr:sp macro="" textlink="">
      <xdr:nvSpPr>
        <xdr:cNvPr id="28" name="円/楕円 27"/>
        <xdr:cNvSpPr/>
      </xdr:nvSpPr>
      <xdr:spPr bwMode="auto">
        <a:xfrm>
          <a:off x="6827838" y="1727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9</xdr:row>
      <xdr:rowOff>98425</xdr:rowOff>
    </xdr:from>
    <xdr:to>
      <xdr:col>24</xdr:col>
      <xdr:colOff>96838</xdr:colOff>
      <xdr:row>9</xdr:row>
      <xdr:rowOff>149225</xdr:rowOff>
    </xdr:to>
    <xdr:sp macro="" textlink="">
      <xdr:nvSpPr>
        <xdr:cNvPr id="29" name="円/楕円 28"/>
        <xdr:cNvSpPr/>
      </xdr:nvSpPr>
      <xdr:spPr bwMode="auto">
        <a:xfrm>
          <a:off x="7094538" y="1727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10</xdr:row>
      <xdr:rowOff>95250</xdr:rowOff>
    </xdr:from>
    <xdr:to>
      <xdr:col>20</xdr:col>
      <xdr:colOff>173038</xdr:colOff>
      <xdr:row>10</xdr:row>
      <xdr:rowOff>146050</xdr:rowOff>
    </xdr:to>
    <xdr:sp macro="" textlink="">
      <xdr:nvSpPr>
        <xdr:cNvPr id="30" name="円/楕円 29"/>
        <xdr:cNvSpPr/>
      </xdr:nvSpPr>
      <xdr:spPr bwMode="auto">
        <a:xfrm>
          <a:off x="6294438" y="19050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10</xdr:row>
      <xdr:rowOff>95250</xdr:rowOff>
    </xdr:from>
    <xdr:to>
      <xdr:col>24</xdr:col>
      <xdr:colOff>96838</xdr:colOff>
      <xdr:row>10</xdr:row>
      <xdr:rowOff>146050</xdr:rowOff>
    </xdr:to>
    <xdr:sp macro="" textlink="">
      <xdr:nvSpPr>
        <xdr:cNvPr id="31" name="円/楕円 30"/>
        <xdr:cNvSpPr/>
      </xdr:nvSpPr>
      <xdr:spPr bwMode="auto">
        <a:xfrm>
          <a:off x="7094538" y="19050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12</xdr:row>
      <xdr:rowOff>131572</xdr:rowOff>
    </xdr:from>
    <xdr:to>
      <xdr:col>20</xdr:col>
      <xdr:colOff>173038</xdr:colOff>
      <xdr:row>13</xdr:row>
      <xdr:rowOff>1397</xdr:rowOff>
    </xdr:to>
    <xdr:sp macro="" textlink="">
      <xdr:nvSpPr>
        <xdr:cNvPr id="67680" name="円/楕円 67679"/>
        <xdr:cNvSpPr/>
      </xdr:nvSpPr>
      <xdr:spPr bwMode="auto">
        <a:xfrm>
          <a:off x="6294438" y="230327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12</xdr:row>
      <xdr:rowOff>131572</xdr:rowOff>
    </xdr:from>
    <xdr:to>
      <xdr:col>24</xdr:col>
      <xdr:colOff>96838</xdr:colOff>
      <xdr:row>13</xdr:row>
      <xdr:rowOff>1397</xdr:rowOff>
    </xdr:to>
    <xdr:sp macro="" textlink="">
      <xdr:nvSpPr>
        <xdr:cNvPr id="67681" name="円/楕円 67680"/>
        <xdr:cNvSpPr/>
      </xdr:nvSpPr>
      <xdr:spPr bwMode="auto">
        <a:xfrm>
          <a:off x="7094538" y="230327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16</xdr:row>
      <xdr:rowOff>47752</xdr:rowOff>
    </xdr:from>
    <xdr:to>
      <xdr:col>20</xdr:col>
      <xdr:colOff>173038</xdr:colOff>
      <xdr:row>16</xdr:row>
      <xdr:rowOff>98552</xdr:rowOff>
    </xdr:to>
    <xdr:sp macro="" textlink="">
      <xdr:nvSpPr>
        <xdr:cNvPr id="67682" name="円/楕円 67681"/>
        <xdr:cNvSpPr/>
      </xdr:nvSpPr>
      <xdr:spPr bwMode="auto">
        <a:xfrm>
          <a:off x="6294438" y="29433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16</xdr:row>
      <xdr:rowOff>47752</xdr:rowOff>
    </xdr:from>
    <xdr:to>
      <xdr:col>24</xdr:col>
      <xdr:colOff>96838</xdr:colOff>
      <xdr:row>16</xdr:row>
      <xdr:rowOff>98552</xdr:rowOff>
    </xdr:to>
    <xdr:sp macro="" textlink="">
      <xdr:nvSpPr>
        <xdr:cNvPr id="67683" name="円/楕円 67682"/>
        <xdr:cNvSpPr/>
      </xdr:nvSpPr>
      <xdr:spPr bwMode="auto">
        <a:xfrm>
          <a:off x="7094538" y="29433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18</xdr:row>
      <xdr:rowOff>165862</xdr:rowOff>
    </xdr:from>
    <xdr:to>
      <xdr:col>20</xdr:col>
      <xdr:colOff>173038</xdr:colOff>
      <xdr:row>19</xdr:row>
      <xdr:rowOff>35687</xdr:rowOff>
    </xdr:to>
    <xdr:sp macro="" textlink="">
      <xdr:nvSpPr>
        <xdr:cNvPr id="67684" name="円/楕円 67683"/>
        <xdr:cNvSpPr/>
      </xdr:nvSpPr>
      <xdr:spPr bwMode="auto">
        <a:xfrm>
          <a:off x="6294438" y="342341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18</xdr:row>
      <xdr:rowOff>165862</xdr:rowOff>
    </xdr:from>
    <xdr:to>
      <xdr:col>24</xdr:col>
      <xdr:colOff>96838</xdr:colOff>
      <xdr:row>19</xdr:row>
      <xdr:rowOff>35687</xdr:rowOff>
    </xdr:to>
    <xdr:sp macro="" textlink="">
      <xdr:nvSpPr>
        <xdr:cNvPr id="67685" name="円/楕円 67684"/>
        <xdr:cNvSpPr/>
      </xdr:nvSpPr>
      <xdr:spPr bwMode="auto">
        <a:xfrm>
          <a:off x="7094538" y="342341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21</xdr:row>
      <xdr:rowOff>120777</xdr:rowOff>
    </xdr:from>
    <xdr:to>
      <xdr:col>20</xdr:col>
      <xdr:colOff>173038</xdr:colOff>
      <xdr:row>21</xdr:row>
      <xdr:rowOff>171577</xdr:rowOff>
    </xdr:to>
    <xdr:sp macro="" textlink="">
      <xdr:nvSpPr>
        <xdr:cNvPr id="67686" name="円/楕円 67685"/>
        <xdr:cNvSpPr/>
      </xdr:nvSpPr>
      <xdr:spPr bwMode="auto">
        <a:xfrm>
          <a:off x="6294438" y="39212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21</xdr:row>
      <xdr:rowOff>120777</xdr:rowOff>
    </xdr:from>
    <xdr:to>
      <xdr:col>24</xdr:col>
      <xdr:colOff>96838</xdr:colOff>
      <xdr:row>21</xdr:row>
      <xdr:rowOff>171577</xdr:rowOff>
    </xdr:to>
    <xdr:sp macro="" textlink="">
      <xdr:nvSpPr>
        <xdr:cNvPr id="67687" name="円/楕円 67686"/>
        <xdr:cNvSpPr/>
      </xdr:nvSpPr>
      <xdr:spPr bwMode="auto">
        <a:xfrm>
          <a:off x="7094538" y="39212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29</xdr:row>
      <xdr:rowOff>123825</xdr:rowOff>
    </xdr:from>
    <xdr:to>
      <xdr:col>20</xdr:col>
      <xdr:colOff>173038</xdr:colOff>
      <xdr:row>29</xdr:row>
      <xdr:rowOff>174625</xdr:rowOff>
    </xdr:to>
    <xdr:sp macro="" textlink="">
      <xdr:nvSpPr>
        <xdr:cNvPr id="67688" name="円/楕円 67687"/>
        <xdr:cNvSpPr/>
      </xdr:nvSpPr>
      <xdr:spPr bwMode="auto">
        <a:xfrm>
          <a:off x="6294438" y="5372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29</xdr:row>
      <xdr:rowOff>123825</xdr:rowOff>
    </xdr:from>
    <xdr:to>
      <xdr:col>24</xdr:col>
      <xdr:colOff>96838</xdr:colOff>
      <xdr:row>29</xdr:row>
      <xdr:rowOff>174625</xdr:rowOff>
    </xdr:to>
    <xdr:sp macro="" textlink="">
      <xdr:nvSpPr>
        <xdr:cNvPr id="67689" name="円/楕円 67688"/>
        <xdr:cNvSpPr/>
      </xdr:nvSpPr>
      <xdr:spPr bwMode="auto">
        <a:xfrm>
          <a:off x="7094538" y="5372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31</xdr:row>
      <xdr:rowOff>28575</xdr:rowOff>
    </xdr:from>
    <xdr:to>
      <xdr:col>20</xdr:col>
      <xdr:colOff>173038</xdr:colOff>
      <xdr:row>31</xdr:row>
      <xdr:rowOff>79375</xdr:rowOff>
    </xdr:to>
    <xdr:sp macro="" textlink="">
      <xdr:nvSpPr>
        <xdr:cNvPr id="67690" name="円/楕円 67689"/>
        <xdr:cNvSpPr/>
      </xdr:nvSpPr>
      <xdr:spPr bwMode="auto">
        <a:xfrm>
          <a:off x="6294438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31</xdr:row>
      <xdr:rowOff>28575</xdr:rowOff>
    </xdr:from>
    <xdr:to>
      <xdr:col>24</xdr:col>
      <xdr:colOff>96838</xdr:colOff>
      <xdr:row>31</xdr:row>
      <xdr:rowOff>79375</xdr:rowOff>
    </xdr:to>
    <xdr:sp macro="" textlink="">
      <xdr:nvSpPr>
        <xdr:cNvPr id="67691" name="円/楕円 67690"/>
        <xdr:cNvSpPr/>
      </xdr:nvSpPr>
      <xdr:spPr bwMode="auto">
        <a:xfrm>
          <a:off x="7094538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23813</xdr:colOff>
      <xdr:row>8</xdr:row>
      <xdr:rowOff>127000</xdr:rowOff>
    </xdr:from>
    <xdr:to>
      <xdr:col>23</xdr:col>
      <xdr:colOff>23813</xdr:colOff>
      <xdr:row>9</xdr:row>
      <xdr:rowOff>123825</xdr:rowOff>
    </xdr:to>
    <xdr:cxnSp macro="">
      <xdr:nvCxnSpPr>
        <xdr:cNvPr id="67692" name="直線コネクタ 67691"/>
        <xdr:cNvCxnSpPr/>
      </xdr:nvCxnSpPr>
      <xdr:spPr bwMode="auto">
        <a:xfrm>
          <a:off x="6853238" y="1574800"/>
          <a:ext cx="0" cy="177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9</xdr:row>
      <xdr:rowOff>123825</xdr:rowOff>
    </xdr:from>
    <xdr:to>
      <xdr:col>23</xdr:col>
      <xdr:colOff>23813</xdr:colOff>
      <xdr:row>9</xdr:row>
      <xdr:rowOff>123825</xdr:rowOff>
    </xdr:to>
    <xdr:cxnSp macro="">
      <xdr:nvCxnSpPr>
        <xdr:cNvPr id="67693" name="直線コネクタ 67692"/>
        <xdr:cNvCxnSpPr/>
      </xdr:nvCxnSpPr>
      <xdr:spPr bwMode="auto">
        <a:xfrm>
          <a:off x="6319838" y="1752600"/>
          <a:ext cx="5334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23813</xdr:colOff>
      <xdr:row>9</xdr:row>
      <xdr:rowOff>123825</xdr:rowOff>
    </xdr:from>
    <xdr:to>
      <xdr:col>24</xdr:col>
      <xdr:colOff>71438</xdr:colOff>
      <xdr:row>9</xdr:row>
      <xdr:rowOff>123825</xdr:rowOff>
    </xdr:to>
    <xdr:cxnSp macro="">
      <xdr:nvCxnSpPr>
        <xdr:cNvPr id="67694" name="直線コネクタ 67693"/>
        <xdr:cNvCxnSpPr/>
      </xdr:nvCxnSpPr>
      <xdr:spPr bwMode="auto">
        <a:xfrm>
          <a:off x="6853238" y="175260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9</xdr:row>
      <xdr:rowOff>123825</xdr:rowOff>
    </xdr:from>
    <xdr:to>
      <xdr:col>20</xdr:col>
      <xdr:colOff>147638</xdr:colOff>
      <xdr:row>10</xdr:row>
      <xdr:rowOff>120650</xdr:rowOff>
    </xdr:to>
    <xdr:cxnSp macro="">
      <xdr:nvCxnSpPr>
        <xdr:cNvPr id="67695" name="直線コネクタ 67694"/>
        <xdr:cNvCxnSpPr/>
      </xdr:nvCxnSpPr>
      <xdr:spPr bwMode="auto">
        <a:xfrm>
          <a:off x="6319838" y="1752600"/>
          <a:ext cx="0" cy="177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10</xdr:row>
      <xdr:rowOff>120650</xdr:rowOff>
    </xdr:from>
    <xdr:to>
      <xdr:col>20</xdr:col>
      <xdr:colOff>147638</xdr:colOff>
      <xdr:row>12</xdr:row>
      <xdr:rowOff>156972</xdr:rowOff>
    </xdr:to>
    <xdr:cxnSp macro="">
      <xdr:nvCxnSpPr>
        <xdr:cNvPr id="67696" name="直線コネクタ 67695"/>
        <xdr:cNvCxnSpPr/>
      </xdr:nvCxnSpPr>
      <xdr:spPr bwMode="auto">
        <a:xfrm>
          <a:off x="6319838" y="1930400"/>
          <a:ext cx="0" cy="3982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12</xdr:row>
      <xdr:rowOff>156972</xdr:rowOff>
    </xdr:from>
    <xdr:to>
      <xdr:col>20</xdr:col>
      <xdr:colOff>147638</xdr:colOff>
      <xdr:row>16</xdr:row>
      <xdr:rowOff>73152</xdr:rowOff>
    </xdr:to>
    <xdr:cxnSp macro="">
      <xdr:nvCxnSpPr>
        <xdr:cNvPr id="67697" name="直線コネクタ 67696"/>
        <xdr:cNvCxnSpPr/>
      </xdr:nvCxnSpPr>
      <xdr:spPr bwMode="auto">
        <a:xfrm>
          <a:off x="6319838" y="2328672"/>
          <a:ext cx="0" cy="6400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16</xdr:row>
      <xdr:rowOff>73152</xdr:rowOff>
    </xdr:from>
    <xdr:to>
      <xdr:col>20</xdr:col>
      <xdr:colOff>147638</xdr:colOff>
      <xdr:row>19</xdr:row>
      <xdr:rowOff>10287</xdr:rowOff>
    </xdr:to>
    <xdr:cxnSp macro="">
      <xdr:nvCxnSpPr>
        <xdr:cNvPr id="67698" name="直線コネクタ 67697"/>
        <xdr:cNvCxnSpPr/>
      </xdr:nvCxnSpPr>
      <xdr:spPr bwMode="auto">
        <a:xfrm>
          <a:off x="6319838" y="2968752"/>
          <a:ext cx="0" cy="4800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19</xdr:row>
      <xdr:rowOff>10287</xdr:rowOff>
    </xdr:from>
    <xdr:to>
      <xdr:col>20</xdr:col>
      <xdr:colOff>147638</xdr:colOff>
      <xdr:row>21</xdr:row>
      <xdr:rowOff>146177</xdr:rowOff>
    </xdr:to>
    <xdr:cxnSp macro="">
      <xdr:nvCxnSpPr>
        <xdr:cNvPr id="67699" name="直線コネクタ 67698"/>
        <xdr:cNvCxnSpPr/>
      </xdr:nvCxnSpPr>
      <xdr:spPr bwMode="auto">
        <a:xfrm>
          <a:off x="6319838" y="3448812"/>
          <a:ext cx="0" cy="4978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21</xdr:row>
      <xdr:rowOff>146177</xdr:rowOff>
    </xdr:from>
    <xdr:to>
      <xdr:col>20</xdr:col>
      <xdr:colOff>147638</xdr:colOff>
      <xdr:row>29</xdr:row>
      <xdr:rowOff>149225</xdr:rowOff>
    </xdr:to>
    <xdr:cxnSp macro="">
      <xdr:nvCxnSpPr>
        <xdr:cNvPr id="67700" name="直線コネクタ 67699"/>
        <xdr:cNvCxnSpPr/>
      </xdr:nvCxnSpPr>
      <xdr:spPr bwMode="auto">
        <a:xfrm>
          <a:off x="6319838" y="3946652"/>
          <a:ext cx="0" cy="14508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29</xdr:row>
      <xdr:rowOff>149225</xdr:rowOff>
    </xdr:from>
    <xdr:to>
      <xdr:col>20</xdr:col>
      <xdr:colOff>147638</xdr:colOff>
      <xdr:row>31</xdr:row>
      <xdr:rowOff>53975</xdr:rowOff>
    </xdr:to>
    <xdr:cxnSp macro="">
      <xdr:nvCxnSpPr>
        <xdr:cNvPr id="67701" name="直線コネクタ 67700"/>
        <xdr:cNvCxnSpPr/>
      </xdr:nvCxnSpPr>
      <xdr:spPr bwMode="auto">
        <a:xfrm>
          <a:off x="6319838" y="5397500"/>
          <a:ext cx="0" cy="2667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9</xdr:row>
      <xdr:rowOff>123825</xdr:rowOff>
    </xdr:from>
    <xdr:to>
      <xdr:col>24</xdr:col>
      <xdr:colOff>71438</xdr:colOff>
      <xdr:row>10</xdr:row>
      <xdr:rowOff>120650</xdr:rowOff>
    </xdr:to>
    <xdr:cxnSp macro="">
      <xdr:nvCxnSpPr>
        <xdr:cNvPr id="67704" name="直線コネクタ 67703"/>
        <xdr:cNvCxnSpPr/>
      </xdr:nvCxnSpPr>
      <xdr:spPr bwMode="auto">
        <a:xfrm>
          <a:off x="7119938" y="1752600"/>
          <a:ext cx="0" cy="177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10</xdr:row>
      <xdr:rowOff>120650</xdr:rowOff>
    </xdr:from>
    <xdr:to>
      <xdr:col>24</xdr:col>
      <xdr:colOff>71438</xdr:colOff>
      <xdr:row>12</xdr:row>
      <xdr:rowOff>156972</xdr:rowOff>
    </xdr:to>
    <xdr:cxnSp macro="">
      <xdr:nvCxnSpPr>
        <xdr:cNvPr id="67705" name="直線コネクタ 67704"/>
        <xdr:cNvCxnSpPr/>
      </xdr:nvCxnSpPr>
      <xdr:spPr bwMode="auto">
        <a:xfrm>
          <a:off x="7119938" y="1930400"/>
          <a:ext cx="0" cy="3982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12</xdr:row>
      <xdr:rowOff>156972</xdr:rowOff>
    </xdr:from>
    <xdr:to>
      <xdr:col>24</xdr:col>
      <xdr:colOff>71438</xdr:colOff>
      <xdr:row>16</xdr:row>
      <xdr:rowOff>73152</xdr:rowOff>
    </xdr:to>
    <xdr:cxnSp macro="">
      <xdr:nvCxnSpPr>
        <xdr:cNvPr id="67706" name="直線コネクタ 67705"/>
        <xdr:cNvCxnSpPr/>
      </xdr:nvCxnSpPr>
      <xdr:spPr bwMode="auto">
        <a:xfrm>
          <a:off x="7119938" y="2328672"/>
          <a:ext cx="0" cy="6400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16</xdr:row>
      <xdr:rowOff>73152</xdr:rowOff>
    </xdr:from>
    <xdr:to>
      <xdr:col>24</xdr:col>
      <xdr:colOff>71438</xdr:colOff>
      <xdr:row>19</xdr:row>
      <xdr:rowOff>10287</xdr:rowOff>
    </xdr:to>
    <xdr:cxnSp macro="">
      <xdr:nvCxnSpPr>
        <xdr:cNvPr id="67707" name="直線コネクタ 67706"/>
        <xdr:cNvCxnSpPr/>
      </xdr:nvCxnSpPr>
      <xdr:spPr bwMode="auto">
        <a:xfrm>
          <a:off x="7119938" y="2968752"/>
          <a:ext cx="0" cy="4800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19</xdr:row>
      <xdr:rowOff>10287</xdr:rowOff>
    </xdr:from>
    <xdr:to>
      <xdr:col>24</xdr:col>
      <xdr:colOff>71438</xdr:colOff>
      <xdr:row>21</xdr:row>
      <xdr:rowOff>146177</xdr:rowOff>
    </xdr:to>
    <xdr:cxnSp macro="">
      <xdr:nvCxnSpPr>
        <xdr:cNvPr id="67708" name="直線コネクタ 67707"/>
        <xdr:cNvCxnSpPr/>
      </xdr:nvCxnSpPr>
      <xdr:spPr bwMode="auto">
        <a:xfrm>
          <a:off x="7119938" y="3448812"/>
          <a:ext cx="0" cy="4978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21</xdr:row>
      <xdr:rowOff>146177</xdr:rowOff>
    </xdr:from>
    <xdr:to>
      <xdr:col>24</xdr:col>
      <xdr:colOff>71438</xdr:colOff>
      <xdr:row>29</xdr:row>
      <xdr:rowOff>149225</xdr:rowOff>
    </xdr:to>
    <xdr:cxnSp macro="">
      <xdr:nvCxnSpPr>
        <xdr:cNvPr id="67709" name="直線コネクタ 67708"/>
        <xdr:cNvCxnSpPr/>
      </xdr:nvCxnSpPr>
      <xdr:spPr bwMode="auto">
        <a:xfrm>
          <a:off x="7119938" y="3946652"/>
          <a:ext cx="0" cy="14508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29</xdr:row>
      <xdr:rowOff>149225</xdr:rowOff>
    </xdr:from>
    <xdr:to>
      <xdr:col>24</xdr:col>
      <xdr:colOff>71438</xdr:colOff>
      <xdr:row>31</xdr:row>
      <xdr:rowOff>53975</xdr:rowOff>
    </xdr:to>
    <xdr:cxnSp macro="">
      <xdr:nvCxnSpPr>
        <xdr:cNvPr id="67710" name="直線コネクタ 67709"/>
        <xdr:cNvCxnSpPr/>
      </xdr:nvCxnSpPr>
      <xdr:spPr bwMode="auto">
        <a:xfrm>
          <a:off x="7119938" y="5397500"/>
          <a:ext cx="0" cy="2667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23813</xdr:colOff>
      <xdr:row>7</xdr:row>
      <xdr:rowOff>105156</xdr:rowOff>
    </xdr:from>
    <xdr:to>
      <xdr:col>23</xdr:col>
      <xdr:colOff>23813</xdr:colOff>
      <xdr:row>9</xdr:row>
      <xdr:rowOff>123825</xdr:rowOff>
    </xdr:to>
    <xdr:cxnSp macro="">
      <xdr:nvCxnSpPr>
        <xdr:cNvPr id="67711" name="直線コネクタ 67710"/>
        <xdr:cNvCxnSpPr/>
      </xdr:nvCxnSpPr>
      <xdr:spPr bwMode="auto">
        <a:xfrm flipV="1">
          <a:off x="6853238" y="1371981"/>
          <a:ext cx="0" cy="3806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150095</xdr:colOff>
      <xdr:row>9</xdr:row>
      <xdr:rowOff>30960</xdr:rowOff>
    </xdr:from>
    <xdr:to>
      <xdr:col>23</xdr:col>
      <xdr:colOff>116685</xdr:colOff>
      <xdr:row>10</xdr:row>
      <xdr:rowOff>35683</xdr:rowOff>
    </xdr:to>
    <xdr:grpSp>
      <xdr:nvGrpSpPr>
        <xdr:cNvPr id="67759" name="グループ化 67758"/>
        <xdr:cNvGrpSpPr/>
      </xdr:nvGrpSpPr>
      <xdr:grpSpPr>
        <a:xfrm>
          <a:off x="6760445" y="1659735"/>
          <a:ext cx="185665" cy="185698"/>
          <a:chOff x="6760445" y="1659735"/>
          <a:chExt cx="185665" cy="185698"/>
        </a:xfrm>
      </xdr:grpSpPr>
      <xdr:cxnSp macro="">
        <xdr:nvCxnSpPr>
          <xdr:cNvPr id="67712" name="直線コネクタ 67711"/>
          <xdr:cNvCxnSpPr/>
        </xdr:nvCxnSpPr>
        <xdr:spPr bwMode="auto">
          <a:xfrm flipH="1">
            <a:off x="6945646" y="1752600"/>
            <a:ext cx="464" cy="927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3" name="直線コネクタ 67712"/>
          <xdr:cNvCxnSpPr/>
        </xdr:nvCxnSpPr>
        <xdr:spPr bwMode="auto">
          <a:xfrm flipH="1">
            <a:off x="6944259" y="1761872"/>
            <a:ext cx="1387" cy="917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4" name="直線コネクタ 67713"/>
          <xdr:cNvCxnSpPr/>
        </xdr:nvCxnSpPr>
        <xdr:spPr bwMode="auto">
          <a:xfrm flipH="1">
            <a:off x="6941962" y="1771051"/>
            <a:ext cx="2297" cy="8995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5" name="直線コネクタ 67714"/>
          <xdr:cNvCxnSpPr/>
        </xdr:nvCxnSpPr>
        <xdr:spPr bwMode="auto">
          <a:xfrm flipH="1">
            <a:off x="6938779" y="1780046"/>
            <a:ext cx="3183" cy="872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6" name="直線コネクタ 67715"/>
          <xdr:cNvCxnSpPr/>
        </xdr:nvCxnSpPr>
        <xdr:spPr bwMode="auto">
          <a:xfrm flipH="1">
            <a:off x="6934741" y="1788766"/>
            <a:ext cx="4038" cy="836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7" name="直線コネクタ 67716"/>
          <xdr:cNvCxnSpPr/>
        </xdr:nvCxnSpPr>
        <xdr:spPr bwMode="auto">
          <a:xfrm flipH="1">
            <a:off x="6929889" y="1797126"/>
            <a:ext cx="4852" cy="791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8" name="直線コネクタ 67717"/>
          <xdr:cNvCxnSpPr/>
        </xdr:nvCxnSpPr>
        <xdr:spPr bwMode="auto">
          <a:xfrm flipH="1">
            <a:off x="6924270" y="1805040"/>
            <a:ext cx="5619" cy="739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9" name="直線コネクタ 67718"/>
          <xdr:cNvCxnSpPr/>
        </xdr:nvCxnSpPr>
        <xdr:spPr bwMode="auto">
          <a:xfrm flipH="1">
            <a:off x="6917943" y="1812430"/>
            <a:ext cx="6327" cy="679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0" name="直線コネクタ 67719"/>
          <xdr:cNvCxnSpPr/>
        </xdr:nvCxnSpPr>
        <xdr:spPr bwMode="auto">
          <a:xfrm flipH="1">
            <a:off x="6910968" y="1819223"/>
            <a:ext cx="6975" cy="6127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1" name="直線コネクタ 67720"/>
          <xdr:cNvCxnSpPr/>
        </xdr:nvCxnSpPr>
        <xdr:spPr bwMode="auto">
          <a:xfrm flipH="1">
            <a:off x="6903417" y="1825350"/>
            <a:ext cx="7551" cy="540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2" name="直線コネクタ 67721"/>
          <xdr:cNvCxnSpPr/>
        </xdr:nvCxnSpPr>
        <xdr:spPr bwMode="auto">
          <a:xfrm flipH="1">
            <a:off x="6895364" y="1830750"/>
            <a:ext cx="8053" cy="461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3" name="直線コネクタ 67722"/>
          <xdr:cNvCxnSpPr/>
        </xdr:nvCxnSpPr>
        <xdr:spPr bwMode="auto">
          <a:xfrm flipH="1">
            <a:off x="6886890" y="1835369"/>
            <a:ext cx="8474" cy="379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4" name="直線コネクタ 67723"/>
          <xdr:cNvCxnSpPr/>
        </xdr:nvCxnSpPr>
        <xdr:spPr bwMode="auto">
          <a:xfrm flipH="1">
            <a:off x="6878081" y="1839161"/>
            <a:ext cx="8809" cy="2927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5" name="直線コネクタ 67724"/>
          <xdr:cNvCxnSpPr/>
        </xdr:nvCxnSpPr>
        <xdr:spPr bwMode="auto">
          <a:xfrm flipH="1">
            <a:off x="6869023" y="1842088"/>
            <a:ext cx="9058" cy="203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6" name="直線コネクタ 67725"/>
          <xdr:cNvCxnSpPr/>
        </xdr:nvCxnSpPr>
        <xdr:spPr bwMode="auto">
          <a:xfrm flipH="1">
            <a:off x="6859807" y="1844121"/>
            <a:ext cx="9216" cy="111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7" name="直線コネクタ 67726"/>
          <xdr:cNvCxnSpPr/>
        </xdr:nvCxnSpPr>
        <xdr:spPr bwMode="auto">
          <a:xfrm flipH="1">
            <a:off x="6850525" y="1845240"/>
            <a:ext cx="9282" cy="19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8" name="直線コネクタ 67727"/>
          <xdr:cNvCxnSpPr/>
        </xdr:nvCxnSpPr>
        <xdr:spPr bwMode="auto">
          <a:xfrm flipH="1" flipV="1">
            <a:off x="6841272" y="1844699"/>
            <a:ext cx="9253" cy="73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9" name="直線コネクタ 67728"/>
          <xdr:cNvCxnSpPr/>
        </xdr:nvCxnSpPr>
        <xdr:spPr bwMode="auto">
          <a:xfrm flipH="1" flipV="1">
            <a:off x="6832136" y="1843044"/>
            <a:ext cx="9136" cy="1655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0" name="直線コネクタ 67729"/>
          <xdr:cNvCxnSpPr/>
        </xdr:nvCxnSpPr>
        <xdr:spPr bwMode="auto">
          <a:xfrm flipH="1" flipV="1">
            <a:off x="6823213" y="1840485"/>
            <a:ext cx="8923" cy="255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1" name="直線コネクタ 67730"/>
          <xdr:cNvCxnSpPr/>
        </xdr:nvCxnSpPr>
        <xdr:spPr bwMode="auto">
          <a:xfrm flipH="1" flipV="1">
            <a:off x="6814589" y="1837049"/>
            <a:ext cx="8624" cy="3436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2" name="直線コネクタ 67731"/>
          <xdr:cNvCxnSpPr/>
        </xdr:nvCxnSpPr>
        <xdr:spPr bwMode="auto">
          <a:xfrm flipH="1" flipV="1">
            <a:off x="6806351" y="1832769"/>
            <a:ext cx="8238" cy="428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3" name="直線コネクタ 67732"/>
          <xdr:cNvCxnSpPr/>
        </xdr:nvCxnSpPr>
        <xdr:spPr bwMode="auto">
          <a:xfrm flipH="1" flipV="1">
            <a:off x="6798582" y="1827687"/>
            <a:ext cx="7769" cy="508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4" name="直線コネクタ 67733"/>
          <xdr:cNvCxnSpPr/>
        </xdr:nvCxnSpPr>
        <xdr:spPr bwMode="auto">
          <a:xfrm flipH="1" flipV="1">
            <a:off x="6791358" y="1821856"/>
            <a:ext cx="7224" cy="583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5" name="直線コネクタ 67734"/>
          <xdr:cNvCxnSpPr/>
        </xdr:nvCxnSpPr>
        <xdr:spPr bwMode="auto">
          <a:xfrm flipH="1" flipV="1">
            <a:off x="6784754" y="1815332"/>
            <a:ext cx="6604" cy="652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6" name="直線コネクタ 67735"/>
          <xdr:cNvCxnSpPr/>
        </xdr:nvCxnSpPr>
        <xdr:spPr bwMode="auto">
          <a:xfrm flipH="1" flipV="1">
            <a:off x="6778834" y="1808182"/>
            <a:ext cx="5920" cy="715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7" name="直線コネクタ 67736"/>
          <xdr:cNvCxnSpPr/>
        </xdr:nvCxnSpPr>
        <xdr:spPr bwMode="auto">
          <a:xfrm flipH="1" flipV="1">
            <a:off x="6773656" y="1800476"/>
            <a:ext cx="5178" cy="7706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8" name="直線コネクタ 67737"/>
          <xdr:cNvCxnSpPr/>
        </xdr:nvCxnSpPr>
        <xdr:spPr bwMode="auto">
          <a:xfrm flipH="1" flipV="1">
            <a:off x="6769274" y="1792292"/>
            <a:ext cx="4382" cy="818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9" name="直線コネクタ 67738"/>
          <xdr:cNvCxnSpPr/>
        </xdr:nvCxnSpPr>
        <xdr:spPr bwMode="auto">
          <a:xfrm flipH="1" flipV="1">
            <a:off x="6765730" y="1783711"/>
            <a:ext cx="3544" cy="858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0" name="直線コネクタ 67739"/>
          <xdr:cNvCxnSpPr/>
        </xdr:nvCxnSpPr>
        <xdr:spPr bwMode="auto">
          <a:xfrm flipH="1" flipV="1">
            <a:off x="6763062" y="1774820"/>
            <a:ext cx="2668" cy="889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1" name="直線コネクタ 67740"/>
          <xdr:cNvCxnSpPr/>
        </xdr:nvCxnSpPr>
        <xdr:spPr bwMode="auto">
          <a:xfrm flipH="1" flipV="1">
            <a:off x="6761294" y="1765706"/>
            <a:ext cx="1768" cy="911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2" name="直線コネクタ 67741"/>
          <xdr:cNvCxnSpPr/>
        </xdr:nvCxnSpPr>
        <xdr:spPr bwMode="auto">
          <a:xfrm flipH="1" flipV="1">
            <a:off x="6760445" y="1756462"/>
            <a:ext cx="849" cy="924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3" name="直線コネクタ 67742"/>
          <xdr:cNvCxnSpPr/>
        </xdr:nvCxnSpPr>
        <xdr:spPr bwMode="auto">
          <a:xfrm flipV="1">
            <a:off x="6760445" y="1747179"/>
            <a:ext cx="78" cy="928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4" name="直線コネクタ 67743"/>
          <xdr:cNvCxnSpPr/>
        </xdr:nvCxnSpPr>
        <xdr:spPr bwMode="auto">
          <a:xfrm flipV="1">
            <a:off x="6760523" y="1737950"/>
            <a:ext cx="1005" cy="922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5" name="直線コネクタ 67744"/>
          <xdr:cNvCxnSpPr/>
        </xdr:nvCxnSpPr>
        <xdr:spPr bwMode="auto">
          <a:xfrm flipV="1">
            <a:off x="6761528" y="1728867"/>
            <a:ext cx="1920" cy="908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6" name="直線コネクタ 67745"/>
          <xdr:cNvCxnSpPr/>
        </xdr:nvCxnSpPr>
        <xdr:spPr bwMode="auto">
          <a:xfrm flipV="1">
            <a:off x="6763448" y="1720022"/>
            <a:ext cx="2818" cy="8845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7" name="直線コネクタ 67746"/>
          <xdr:cNvCxnSpPr/>
        </xdr:nvCxnSpPr>
        <xdr:spPr bwMode="auto">
          <a:xfrm flipV="1">
            <a:off x="6766266" y="1711502"/>
            <a:ext cx="3687" cy="852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8" name="直線コネクタ 67747"/>
          <xdr:cNvCxnSpPr/>
        </xdr:nvCxnSpPr>
        <xdr:spPr bwMode="auto">
          <a:xfrm flipV="1">
            <a:off x="6769953" y="1703393"/>
            <a:ext cx="4520" cy="810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9" name="直線コネクタ 67748"/>
          <xdr:cNvCxnSpPr/>
        </xdr:nvCxnSpPr>
        <xdr:spPr bwMode="auto">
          <a:xfrm flipV="1">
            <a:off x="6774473" y="1695775"/>
            <a:ext cx="5305" cy="7618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0" name="直線コネクタ 67749"/>
          <xdr:cNvCxnSpPr/>
        </xdr:nvCxnSpPr>
        <xdr:spPr bwMode="auto">
          <a:xfrm flipV="1">
            <a:off x="6779778" y="1688725"/>
            <a:ext cx="6040" cy="705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1" name="直線コネクタ 67750"/>
          <xdr:cNvCxnSpPr/>
        </xdr:nvCxnSpPr>
        <xdr:spPr bwMode="auto">
          <a:xfrm flipV="1">
            <a:off x="6785818" y="1682314"/>
            <a:ext cx="6714" cy="641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2" name="直線コネクタ 67751"/>
          <xdr:cNvCxnSpPr/>
        </xdr:nvCxnSpPr>
        <xdr:spPr bwMode="auto">
          <a:xfrm flipV="1">
            <a:off x="6792532" y="1676604"/>
            <a:ext cx="7320" cy="571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3" name="直線コネクタ 67752"/>
          <xdr:cNvCxnSpPr/>
        </xdr:nvCxnSpPr>
        <xdr:spPr bwMode="auto">
          <a:xfrm flipV="1">
            <a:off x="6799852" y="1671654"/>
            <a:ext cx="7853" cy="495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4" name="直線コネクタ 67753"/>
          <xdr:cNvCxnSpPr/>
        </xdr:nvCxnSpPr>
        <xdr:spPr bwMode="auto">
          <a:xfrm flipV="1">
            <a:off x="6807705" y="1667513"/>
            <a:ext cx="8309" cy="414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5" name="直線コネクタ 67754"/>
          <xdr:cNvCxnSpPr/>
        </xdr:nvCxnSpPr>
        <xdr:spPr bwMode="auto">
          <a:xfrm flipV="1">
            <a:off x="6816014" y="1664222"/>
            <a:ext cx="8680" cy="329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6" name="直線コネクタ 67755"/>
          <xdr:cNvCxnSpPr/>
        </xdr:nvCxnSpPr>
        <xdr:spPr bwMode="auto">
          <a:xfrm flipV="1">
            <a:off x="6824694" y="1661814"/>
            <a:ext cx="8966" cy="2408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7" name="直線コネクタ 67756"/>
          <xdr:cNvCxnSpPr/>
        </xdr:nvCxnSpPr>
        <xdr:spPr bwMode="auto">
          <a:xfrm flipV="1">
            <a:off x="6833660" y="1660313"/>
            <a:ext cx="9162" cy="150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8" name="直線コネクタ 67757"/>
          <xdr:cNvCxnSpPr/>
        </xdr:nvCxnSpPr>
        <xdr:spPr bwMode="auto">
          <a:xfrm flipV="1">
            <a:off x="6842822" y="1659735"/>
            <a:ext cx="9265" cy="578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67760" name="テキスト ボックス 67759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67761" name="直線コネクタ 67760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67762" name="テキスト ボックス 67761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67763" name="直線コネクタ 67762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167882</xdr:colOff>
      <xdr:row>3</xdr:row>
      <xdr:rowOff>101600</xdr:rowOff>
    </xdr:from>
    <xdr:to>
      <xdr:col>8</xdr:col>
      <xdr:colOff>218682</xdr:colOff>
      <xdr:row>3</xdr:row>
      <xdr:rowOff>152400</xdr:rowOff>
    </xdr:to>
    <xdr:sp macro="" textlink="">
      <xdr:nvSpPr>
        <xdr:cNvPr id="283374" name="円/楕円 283373"/>
        <xdr:cNvSpPr/>
      </xdr:nvSpPr>
      <xdr:spPr bwMode="auto">
        <a:xfrm>
          <a:off x="5625707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4</xdr:row>
      <xdr:rowOff>119440</xdr:rowOff>
    </xdr:from>
    <xdr:to>
      <xdr:col>7</xdr:col>
      <xdr:colOff>190046</xdr:colOff>
      <xdr:row>4</xdr:row>
      <xdr:rowOff>170240</xdr:rowOff>
    </xdr:to>
    <xdr:sp macro="" textlink="">
      <xdr:nvSpPr>
        <xdr:cNvPr id="283375" name="円/楕円 283374"/>
        <xdr:cNvSpPr/>
      </xdr:nvSpPr>
      <xdr:spPr bwMode="auto">
        <a:xfrm>
          <a:off x="4920796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167882</xdr:colOff>
      <xdr:row>4</xdr:row>
      <xdr:rowOff>119440</xdr:rowOff>
    </xdr:from>
    <xdr:to>
      <xdr:col>8</xdr:col>
      <xdr:colOff>218682</xdr:colOff>
      <xdr:row>4</xdr:row>
      <xdr:rowOff>170240</xdr:rowOff>
    </xdr:to>
    <xdr:sp macro="" textlink="">
      <xdr:nvSpPr>
        <xdr:cNvPr id="283376" name="円/楕円 283375"/>
        <xdr:cNvSpPr/>
      </xdr:nvSpPr>
      <xdr:spPr bwMode="auto">
        <a:xfrm>
          <a:off x="5625707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4</xdr:row>
      <xdr:rowOff>119440</xdr:rowOff>
    </xdr:from>
    <xdr:to>
      <xdr:col>8</xdr:col>
      <xdr:colOff>537028</xdr:colOff>
      <xdr:row>4</xdr:row>
      <xdr:rowOff>170240</xdr:rowOff>
    </xdr:to>
    <xdr:sp macro="" textlink="">
      <xdr:nvSpPr>
        <xdr:cNvPr id="283377" name="円/楕円 283376"/>
        <xdr:cNvSpPr/>
      </xdr:nvSpPr>
      <xdr:spPr bwMode="auto">
        <a:xfrm>
          <a:off x="5944053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5</xdr:row>
      <xdr:rowOff>137281</xdr:rowOff>
    </xdr:from>
    <xdr:to>
      <xdr:col>7</xdr:col>
      <xdr:colOff>190046</xdr:colOff>
      <xdr:row>5</xdr:row>
      <xdr:rowOff>188081</xdr:rowOff>
    </xdr:to>
    <xdr:sp macro="" textlink="">
      <xdr:nvSpPr>
        <xdr:cNvPr id="283378" name="円/楕円 283377"/>
        <xdr:cNvSpPr/>
      </xdr:nvSpPr>
      <xdr:spPr bwMode="auto">
        <a:xfrm>
          <a:off x="4920796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5</xdr:row>
      <xdr:rowOff>137281</xdr:rowOff>
    </xdr:from>
    <xdr:to>
      <xdr:col>8</xdr:col>
      <xdr:colOff>537028</xdr:colOff>
      <xdr:row>5</xdr:row>
      <xdr:rowOff>188081</xdr:rowOff>
    </xdr:to>
    <xdr:sp macro="" textlink="">
      <xdr:nvSpPr>
        <xdr:cNvPr id="283379" name="円/楕円 283378"/>
        <xdr:cNvSpPr/>
      </xdr:nvSpPr>
      <xdr:spPr bwMode="auto">
        <a:xfrm>
          <a:off x="5944053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8</xdr:row>
      <xdr:rowOff>17986</xdr:rowOff>
    </xdr:from>
    <xdr:to>
      <xdr:col>7</xdr:col>
      <xdr:colOff>190046</xdr:colOff>
      <xdr:row>8</xdr:row>
      <xdr:rowOff>68786</xdr:rowOff>
    </xdr:to>
    <xdr:sp macro="" textlink="">
      <xdr:nvSpPr>
        <xdr:cNvPr id="283380" name="円/楕円 283379"/>
        <xdr:cNvSpPr/>
      </xdr:nvSpPr>
      <xdr:spPr bwMode="auto">
        <a:xfrm>
          <a:off x="4920796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8</xdr:row>
      <xdr:rowOff>17986</xdr:rowOff>
    </xdr:from>
    <xdr:to>
      <xdr:col>8</xdr:col>
      <xdr:colOff>537028</xdr:colOff>
      <xdr:row>8</xdr:row>
      <xdr:rowOff>68786</xdr:rowOff>
    </xdr:to>
    <xdr:sp macro="" textlink="">
      <xdr:nvSpPr>
        <xdr:cNvPr id="283381" name="円/楕円 283380"/>
        <xdr:cNvSpPr/>
      </xdr:nvSpPr>
      <xdr:spPr bwMode="auto">
        <a:xfrm>
          <a:off x="5944053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11</xdr:row>
      <xdr:rowOff>207941</xdr:rowOff>
    </xdr:from>
    <xdr:to>
      <xdr:col>7</xdr:col>
      <xdr:colOff>190046</xdr:colOff>
      <xdr:row>12</xdr:row>
      <xdr:rowOff>49191</xdr:rowOff>
    </xdr:to>
    <xdr:sp macro="" textlink="">
      <xdr:nvSpPr>
        <xdr:cNvPr id="283382" name="円/楕円 283381"/>
        <xdr:cNvSpPr/>
      </xdr:nvSpPr>
      <xdr:spPr bwMode="auto">
        <a:xfrm>
          <a:off x="4920796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11</xdr:row>
      <xdr:rowOff>207941</xdr:rowOff>
    </xdr:from>
    <xdr:to>
      <xdr:col>8</xdr:col>
      <xdr:colOff>537028</xdr:colOff>
      <xdr:row>12</xdr:row>
      <xdr:rowOff>49191</xdr:rowOff>
    </xdr:to>
    <xdr:sp macro="" textlink="">
      <xdr:nvSpPr>
        <xdr:cNvPr id="283383" name="円/楕円 283382"/>
        <xdr:cNvSpPr/>
      </xdr:nvSpPr>
      <xdr:spPr bwMode="auto">
        <a:xfrm>
          <a:off x="5944053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14</xdr:row>
      <xdr:rowOff>193246</xdr:rowOff>
    </xdr:from>
    <xdr:to>
      <xdr:col>7</xdr:col>
      <xdr:colOff>190046</xdr:colOff>
      <xdr:row>15</xdr:row>
      <xdr:rowOff>34496</xdr:rowOff>
    </xdr:to>
    <xdr:sp macro="" textlink="">
      <xdr:nvSpPr>
        <xdr:cNvPr id="283384" name="円/楕円 283383"/>
        <xdr:cNvSpPr/>
      </xdr:nvSpPr>
      <xdr:spPr bwMode="auto">
        <a:xfrm>
          <a:off x="4920796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14</xdr:row>
      <xdr:rowOff>193246</xdr:rowOff>
    </xdr:from>
    <xdr:to>
      <xdr:col>8</xdr:col>
      <xdr:colOff>537028</xdr:colOff>
      <xdr:row>15</xdr:row>
      <xdr:rowOff>34496</xdr:rowOff>
    </xdr:to>
    <xdr:sp macro="" textlink="">
      <xdr:nvSpPr>
        <xdr:cNvPr id="283385" name="円/楕円 283384"/>
        <xdr:cNvSpPr/>
      </xdr:nvSpPr>
      <xdr:spPr bwMode="auto">
        <a:xfrm>
          <a:off x="5944053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17</xdr:row>
      <xdr:rowOff>201289</xdr:rowOff>
    </xdr:from>
    <xdr:to>
      <xdr:col>7</xdr:col>
      <xdr:colOff>190046</xdr:colOff>
      <xdr:row>18</xdr:row>
      <xdr:rowOff>42539</xdr:rowOff>
    </xdr:to>
    <xdr:sp macro="" textlink="">
      <xdr:nvSpPr>
        <xdr:cNvPr id="283386" name="円/楕円 283385"/>
        <xdr:cNvSpPr/>
      </xdr:nvSpPr>
      <xdr:spPr bwMode="auto">
        <a:xfrm>
          <a:off x="4920796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17</xdr:row>
      <xdr:rowOff>201289</xdr:rowOff>
    </xdr:from>
    <xdr:to>
      <xdr:col>8</xdr:col>
      <xdr:colOff>537028</xdr:colOff>
      <xdr:row>18</xdr:row>
      <xdr:rowOff>42539</xdr:rowOff>
    </xdr:to>
    <xdr:sp macro="" textlink="">
      <xdr:nvSpPr>
        <xdr:cNvPr id="283387" name="円/楕円 283386"/>
        <xdr:cNvSpPr/>
      </xdr:nvSpPr>
      <xdr:spPr bwMode="auto">
        <a:xfrm>
          <a:off x="5944053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24</xdr:row>
      <xdr:rowOff>135164</xdr:rowOff>
    </xdr:from>
    <xdr:to>
      <xdr:col>7</xdr:col>
      <xdr:colOff>190046</xdr:colOff>
      <xdr:row>24</xdr:row>
      <xdr:rowOff>185964</xdr:rowOff>
    </xdr:to>
    <xdr:sp macro="" textlink="">
      <xdr:nvSpPr>
        <xdr:cNvPr id="283388" name="円/楕円 283387"/>
        <xdr:cNvSpPr/>
      </xdr:nvSpPr>
      <xdr:spPr bwMode="auto">
        <a:xfrm>
          <a:off x="4920796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24</xdr:row>
      <xdr:rowOff>135164</xdr:rowOff>
    </xdr:from>
    <xdr:to>
      <xdr:col>8</xdr:col>
      <xdr:colOff>537028</xdr:colOff>
      <xdr:row>24</xdr:row>
      <xdr:rowOff>185964</xdr:rowOff>
    </xdr:to>
    <xdr:sp macro="" textlink="">
      <xdr:nvSpPr>
        <xdr:cNvPr id="283389" name="円/楕円 283388"/>
        <xdr:cNvSpPr/>
      </xdr:nvSpPr>
      <xdr:spPr bwMode="auto">
        <a:xfrm>
          <a:off x="5944053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26</xdr:row>
      <xdr:rowOff>57150</xdr:rowOff>
    </xdr:from>
    <xdr:to>
      <xdr:col>7</xdr:col>
      <xdr:colOff>190046</xdr:colOff>
      <xdr:row>26</xdr:row>
      <xdr:rowOff>107950</xdr:rowOff>
    </xdr:to>
    <xdr:sp macro="" textlink="">
      <xdr:nvSpPr>
        <xdr:cNvPr id="283390" name="円/楕円 283389"/>
        <xdr:cNvSpPr/>
      </xdr:nvSpPr>
      <xdr:spPr bwMode="auto">
        <a:xfrm>
          <a:off x="4920796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26</xdr:row>
      <xdr:rowOff>57150</xdr:rowOff>
    </xdr:from>
    <xdr:to>
      <xdr:col>8</xdr:col>
      <xdr:colOff>537028</xdr:colOff>
      <xdr:row>26</xdr:row>
      <xdr:rowOff>107950</xdr:rowOff>
    </xdr:to>
    <xdr:sp macro="" textlink="">
      <xdr:nvSpPr>
        <xdr:cNvPr id="283391" name="円/楕円 283390"/>
        <xdr:cNvSpPr/>
      </xdr:nvSpPr>
      <xdr:spPr bwMode="auto">
        <a:xfrm>
          <a:off x="5944053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</xdr:col>
      <xdr:colOff>193282</xdr:colOff>
      <xdr:row>3</xdr:row>
      <xdr:rowOff>127000</xdr:rowOff>
    </xdr:from>
    <xdr:ext cx="229550" cy="209032"/>
    <xdr:sp macro="" textlink="">
      <xdr:nvSpPr>
        <xdr:cNvPr id="283136" name="テキスト ボックス 283135"/>
        <xdr:cNvSpPr txBox="1"/>
      </xdr:nvSpPr>
      <xdr:spPr>
        <a:xfrm>
          <a:off x="5651107" y="7556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4</xdr:row>
      <xdr:rowOff>144840</xdr:rowOff>
    </xdr:from>
    <xdr:ext cx="229550" cy="209032"/>
    <xdr:sp macro="" textlink="">
      <xdr:nvSpPr>
        <xdr:cNvPr id="283137" name="テキスト ボックス 283136"/>
        <xdr:cNvSpPr txBox="1"/>
      </xdr:nvSpPr>
      <xdr:spPr>
        <a:xfrm>
          <a:off x="4946196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193282</xdr:colOff>
      <xdr:row>4</xdr:row>
      <xdr:rowOff>144840</xdr:rowOff>
    </xdr:from>
    <xdr:ext cx="229550" cy="209032"/>
    <xdr:sp macro="" textlink="">
      <xdr:nvSpPr>
        <xdr:cNvPr id="283138" name="テキスト ボックス 283137"/>
        <xdr:cNvSpPr txBox="1"/>
      </xdr:nvSpPr>
      <xdr:spPr>
        <a:xfrm>
          <a:off x="5651107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4</xdr:row>
      <xdr:rowOff>144840</xdr:rowOff>
    </xdr:from>
    <xdr:ext cx="229550" cy="209032"/>
    <xdr:sp macro="" textlink="">
      <xdr:nvSpPr>
        <xdr:cNvPr id="283139" name="テキスト ボックス 283138"/>
        <xdr:cNvSpPr txBox="1"/>
      </xdr:nvSpPr>
      <xdr:spPr>
        <a:xfrm>
          <a:off x="5969453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5</xdr:row>
      <xdr:rowOff>162681</xdr:rowOff>
    </xdr:from>
    <xdr:ext cx="229550" cy="209032"/>
    <xdr:sp macro="" textlink="">
      <xdr:nvSpPr>
        <xdr:cNvPr id="283140" name="テキスト ボックス 283139"/>
        <xdr:cNvSpPr txBox="1"/>
      </xdr:nvSpPr>
      <xdr:spPr>
        <a:xfrm>
          <a:off x="4946196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5</xdr:row>
      <xdr:rowOff>162681</xdr:rowOff>
    </xdr:from>
    <xdr:ext cx="229550" cy="209032"/>
    <xdr:sp macro="" textlink="">
      <xdr:nvSpPr>
        <xdr:cNvPr id="283148" name="テキスト ボックス 283147"/>
        <xdr:cNvSpPr txBox="1"/>
      </xdr:nvSpPr>
      <xdr:spPr>
        <a:xfrm>
          <a:off x="5969453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8</xdr:row>
      <xdr:rowOff>43386</xdr:rowOff>
    </xdr:from>
    <xdr:ext cx="229550" cy="209032"/>
    <xdr:sp macro="" textlink="">
      <xdr:nvSpPr>
        <xdr:cNvPr id="283149" name="テキスト ボックス 283148"/>
        <xdr:cNvSpPr txBox="1"/>
      </xdr:nvSpPr>
      <xdr:spPr>
        <a:xfrm>
          <a:off x="4946196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8</xdr:row>
      <xdr:rowOff>43386</xdr:rowOff>
    </xdr:from>
    <xdr:ext cx="229550" cy="209032"/>
    <xdr:sp macro="" textlink="">
      <xdr:nvSpPr>
        <xdr:cNvPr id="283150" name="テキスト ボックス 283149"/>
        <xdr:cNvSpPr txBox="1"/>
      </xdr:nvSpPr>
      <xdr:spPr>
        <a:xfrm>
          <a:off x="5969453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12</xdr:row>
      <xdr:rowOff>23791</xdr:rowOff>
    </xdr:from>
    <xdr:ext cx="229550" cy="209032"/>
    <xdr:sp macro="" textlink="">
      <xdr:nvSpPr>
        <xdr:cNvPr id="283151" name="テキスト ボックス 283150"/>
        <xdr:cNvSpPr txBox="1"/>
      </xdr:nvSpPr>
      <xdr:spPr>
        <a:xfrm>
          <a:off x="4946196" y="253839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12</xdr:row>
      <xdr:rowOff>23791</xdr:rowOff>
    </xdr:from>
    <xdr:ext cx="274434" cy="209032"/>
    <xdr:sp macro="" textlink="">
      <xdr:nvSpPr>
        <xdr:cNvPr id="283152" name="テキスト ボックス 283151"/>
        <xdr:cNvSpPr txBox="1"/>
      </xdr:nvSpPr>
      <xdr:spPr>
        <a:xfrm>
          <a:off x="5969453" y="253839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15</xdr:row>
      <xdr:rowOff>9096</xdr:rowOff>
    </xdr:from>
    <xdr:ext cx="274434" cy="209032"/>
    <xdr:sp macro="" textlink="">
      <xdr:nvSpPr>
        <xdr:cNvPr id="283153" name="テキスト ボックス 283152"/>
        <xdr:cNvSpPr txBox="1"/>
      </xdr:nvSpPr>
      <xdr:spPr>
        <a:xfrm>
          <a:off x="4946196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15</xdr:row>
      <xdr:rowOff>9096</xdr:rowOff>
    </xdr:from>
    <xdr:ext cx="274434" cy="209032"/>
    <xdr:sp macro="" textlink="">
      <xdr:nvSpPr>
        <xdr:cNvPr id="283154" name="テキスト ボックス 283153"/>
        <xdr:cNvSpPr txBox="1"/>
      </xdr:nvSpPr>
      <xdr:spPr>
        <a:xfrm>
          <a:off x="5969453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18</xdr:row>
      <xdr:rowOff>17139</xdr:rowOff>
    </xdr:from>
    <xdr:ext cx="274434" cy="209032"/>
    <xdr:sp macro="" textlink="">
      <xdr:nvSpPr>
        <xdr:cNvPr id="283155" name="テキスト ボックス 283154"/>
        <xdr:cNvSpPr txBox="1"/>
      </xdr:nvSpPr>
      <xdr:spPr>
        <a:xfrm>
          <a:off x="4946196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18</xdr:row>
      <xdr:rowOff>17139</xdr:rowOff>
    </xdr:from>
    <xdr:ext cx="274434" cy="209032"/>
    <xdr:sp macro="" textlink="">
      <xdr:nvSpPr>
        <xdr:cNvPr id="283156" name="テキスト ボックス 283155"/>
        <xdr:cNvSpPr txBox="1"/>
      </xdr:nvSpPr>
      <xdr:spPr>
        <a:xfrm>
          <a:off x="5969453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24</xdr:row>
      <xdr:rowOff>160564</xdr:rowOff>
    </xdr:from>
    <xdr:ext cx="274434" cy="209032"/>
    <xdr:sp macro="" textlink="">
      <xdr:nvSpPr>
        <xdr:cNvPr id="283157" name="テキスト ボックス 283156"/>
        <xdr:cNvSpPr txBox="1"/>
      </xdr:nvSpPr>
      <xdr:spPr>
        <a:xfrm>
          <a:off x="4946196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24</xdr:row>
      <xdr:rowOff>160564</xdr:rowOff>
    </xdr:from>
    <xdr:ext cx="274434" cy="209032"/>
    <xdr:sp macro="" textlink="">
      <xdr:nvSpPr>
        <xdr:cNvPr id="283158" name="テキスト ボックス 283157"/>
        <xdr:cNvSpPr txBox="1"/>
      </xdr:nvSpPr>
      <xdr:spPr>
        <a:xfrm>
          <a:off x="5969453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26</xdr:row>
      <xdr:rowOff>82550</xdr:rowOff>
    </xdr:from>
    <xdr:ext cx="274434" cy="209032"/>
    <xdr:sp macro="" textlink="">
      <xdr:nvSpPr>
        <xdr:cNvPr id="283159" name="テキスト ボックス 283158"/>
        <xdr:cNvSpPr txBox="1"/>
      </xdr:nvSpPr>
      <xdr:spPr>
        <a:xfrm>
          <a:off x="4946196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26</xdr:row>
      <xdr:rowOff>82550</xdr:rowOff>
    </xdr:from>
    <xdr:ext cx="274434" cy="209032"/>
    <xdr:sp macro="" textlink="">
      <xdr:nvSpPr>
        <xdr:cNvPr id="283161" name="テキスト ボックス 283160"/>
        <xdr:cNvSpPr txBox="1"/>
      </xdr:nvSpPr>
      <xdr:spPr>
        <a:xfrm>
          <a:off x="5969453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8</xdr:col>
      <xdr:colOff>193282</xdr:colOff>
      <xdr:row>3</xdr:row>
      <xdr:rowOff>127000</xdr:rowOff>
    </xdr:from>
    <xdr:to>
      <xdr:col>8</xdr:col>
      <xdr:colOff>193282</xdr:colOff>
      <xdr:row>4</xdr:row>
      <xdr:rowOff>144840</xdr:rowOff>
    </xdr:to>
    <xdr:cxnSp macro="">
      <xdr:nvCxnSpPr>
        <xdr:cNvPr id="283163" name="直線コネクタ 283162"/>
        <xdr:cNvCxnSpPr/>
      </xdr:nvCxnSpPr>
      <xdr:spPr bwMode="auto">
        <a:xfrm>
          <a:off x="5651107" y="755650"/>
          <a:ext cx="0" cy="2273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8</xdr:col>
      <xdr:colOff>193282</xdr:colOff>
      <xdr:row>4</xdr:row>
      <xdr:rowOff>144840</xdr:rowOff>
    </xdr:to>
    <xdr:cxnSp macro="">
      <xdr:nvCxnSpPr>
        <xdr:cNvPr id="278051" name="直線コネクタ 278050"/>
        <xdr:cNvCxnSpPr/>
      </xdr:nvCxnSpPr>
      <xdr:spPr bwMode="auto">
        <a:xfrm>
          <a:off x="4946196" y="983040"/>
          <a:ext cx="7049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193282</xdr:colOff>
      <xdr:row>4</xdr:row>
      <xdr:rowOff>144840</xdr:rowOff>
    </xdr:from>
    <xdr:to>
      <xdr:col>8</xdr:col>
      <xdr:colOff>511628</xdr:colOff>
      <xdr:row>4</xdr:row>
      <xdr:rowOff>144840</xdr:rowOff>
    </xdr:to>
    <xdr:cxnSp macro="">
      <xdr:nvCxnSpPr>
        <xdr:cNvPr id="278052" name="直線コネクタ 278051"/>
        <xdr:cNvCxnSpPr/>
      </xdr:nvCxnSpPr>
      <xdr:spPr bwMode="auto">
        <a:xfrm>
          <a:off x="5651107" y="983040"/>
          <a:ext cx="3183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7</xdr:col>
      <xdr:colOff>164646</xdr:colOff>
      <xdr:row>5</xdr:row>
      <xdr:rowOff>162681</xdr:rowOff>
    </xdr:to>
    <xdr:cxnSp macro="">
      <xdr:nvCxnSpPr>
        <xdr:cNvPr id="278053" name="直線コネクタ 278052"/>
        <xdr:cNvCxnSpPr/>
      </xdr:nvCxnSpPr>
      <xdr:spPr bwMode="auto">
        <a:xfrm>
          <a:off x="4946196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5</xdr:row>
      <xdr:rowOff>162681</xdr:rowOff>
    </xdr:from>
    <xdr:to>
      <xdr:col>7</xdr:col>
      <xdr:colOff>164646</xdr:colOff>
      <xdr:row>8</xdr:row>
      <xdr:rowOff>43386</xdr:rowOff>
    </xdr:to>
    <xdr:cxnSp macro="">
      <xdr:nvCxnSpPr>
        <xdr:cNvPr id="278054" name="直線コネクタ 278053"/>
        <xdr:cNvCxnSpPr/>
      </xdr:nvCxnSpPr>
      <xdr:spPr bwMode="auto">
        <a:xfrm>
          <a:off x="4946196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8</xdr:row>
      <xdr:rowOff>43386</xdr:rowOff>
    </xdr:from>
    <xdr:to>
      <xdr:col>7</xdr:col>
      <xdr:colOff>164646</xdr:colOff>
      <xdr:row>12</xdr:row>
      <xdr:rowOff>23791</xdr:rowOff>
    </xdr:to>
    <xdr:cxnSp macro="">
      <xdr:nvCxnSpPr>
        <xdr:cNvPr id="278055" name="直線コネクタ 278054"/>
        <xdr:cNvCxnSpPr/>
      </xdr:nvCxnSpPr>
      <xdr:spPr bwMode="auto">
        <a:xfrm>
          <a:off x="4946196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12</xdr:row>
      <xdr:rowOff>23791</xdr:rowOff>
    </xdr:from>
    <xdr:to>
      <xdr:col>7</xdr:col>
      <xdr:colOff>164646</xdr:colOff>
      <xdr:row>15</xdr:row>
      <xdr:rowOff>9096</xdr:rowOff>
    </xdr:to>
    <xdr:cxnSp macro="">
      <xdr:nvCxnSpPr>
        <xdr:cNvPr id="278056" name="直線コネクタ 278055"/>
        <xdr:cNvCxnSpPr/>
      </xdr:nvCxnSpPr>
      <xdr:spPr bwMode="auto">
        <a:xfrm>
          <a:off x="4946196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15</xdr:row>
      <xdr:rowOff>9096</xdr:rowOff>
    </xdr:from>
    <xdr:to>
      <xdr:col>7</xdr:col>
      <xdr:colOff>164646</xdr:colOff>
      <xdr:row>18</xdr:row>
      <xdr:rowOff>17139</xdr:rowOff>
    </xdr:to>
    <xdr:cxnSp macro="">
      <xdr:nvCxnSpPr>
        <xdr:cNvPr id="278057" name="直線コネクタ 278056"/>
        <xdr:cNvCxnSpPr/>
      </xdr:nvCxnSpPr>
      <xdr:spPr bwMode="auto">
        <a:xfrm>
          <a:off x="4946196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18</xdr:row>
      <xdr:rowOff>17139</xdr:rowOff>
    </xdr:from>
    <xdr:to>
      <xdr:col>7</xdr:col>
      <xdr:colOff>164646</xdr:colOff>
      <xdr:row>24</xdr:row>
      <xdr:rowOff>160564</xdr:rowOff>
    </xdr:to>
    <xdr:cxnSp macro="">
      <xdr:nvCxnSpPr>
        <xdr:cNvPr id="278070" name="直線コネクタ 278069"/>
        <xdr:cNvCxnSpPr/>
      </xdr:nvCxnSpPr>
      <xdr:spPr bwMode="auto">
        <a:xfrm>
          <a:off x="4946196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24</xdr:row>
      <xdr:rowOff>160564</xdr:rowOff>
    </xdr:from>
    <xdr:to>
      <xdr:col>7</xdr:col>
      <xdr:colOff>164646</xdr:colOff>
      <xdr:row>26</xdr:row>
      <xdr:rowOff>82550</xdr:rowOff>
    </xdr:to>
    <xdr:cxnSp macro="">
      <xdr:nvCxnSpPr>
        <xdr:cNvPr id="278072" name="直線コネクタ 278071"/>
        <xdr:cNvCxnSpPr/>
      </xdr:nvCxnSpPr>
      <xdr:spPr bwMode="auto">
        <a:xfrm>
          <a:off x="4946196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4</xdr:row>
      <xdr:rowOff>144840</xdr:rowOff>
    </xdr:from>
    <xdr:to>
      <xdr:col>8</xdr:col>
      <xdr:colOff>511628</xdr:colOff>
      <xdr:row>5</xdr:row>
      <xdr:rowOff>162681</xdr:rowOff>
    </xdr:to>
    <xdr:cxnSp macro="">
      <xdr:nvCxnSpPr>
        <xdr:cNvPr id="283134" name="直線コネクタ 283133"/>
        <xdr:cNvCxnSpPr/>
      </xdr:nvCxnSpPr>
      <xdr:spPr bwMode="auto">
        <a:xfrm>
          <a:off x="5969453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5</xdr:row>
      <xdr:rowOff>162681</xdr:rowOff>
    </xdr:from>
    <xdr:to>
      <xdr:col>8</xdr:col>
      <xdr:colOff>511628</xdr:colOff>
      <xdr:row>8</xdr:row>
      <xdr:rowOff>43386</xdr:rowOff>
    </xdr:to>
    <xdr:cxnSp macro="">
      <xdr:nvCxnSpPr>
        <xdr:cNvPr id="283135" name="直線コネクタ 283134"/>
        <xdr:cNvCxnSpPr/>
      </xdr:nvCxnSpPr>
      <xdr:spPr bwMode="auto">
        <a:xfrm>
          <a:off x="5969453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8</xdr:row>
      <xdr:rowOff>43386</xdr:rowOff>
    </xdr:from>
    <xdr:to>
      <xdr:col>8</xdr:col>
      <xdr:colOff>511628</xdr:colOff>
      <xdr:row>12</xdr:row>
      <xdr:rowOff>23791</xdr:rowOff>
    </xdr:to>
    <xdr:cxnSp macro="">
      <xdr:nvCxnSpPr>
        <xdr:cNvPr id="283392" name="直線コネクタ 283391"/>
        <xdr:cNvCxnSpPr/>
      </xdr:nvCxnSpPr>
      <xdr:spPr bwMode="auto">
        <a:xfrm>
          <a:off x="5969453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12</xdr:row>
      <xdr:rowOff>23791</xdr:rowOff>
    </xdr:from>
    <xdr:to>
      <xdr:col>8</xdr:col>
      <xdr:colOff>511628</xdr:colOff>
      <xdr:row>15</xdr:row>
      <xdr:rowOff>9096</xdr:rowOff>
    </xdr:to>
    <xdr:cxnSp macro="">
      <xdr:nvCxnSpPr>
        <xdr:cNvPr id="283393" name="直線コネクタ 283392"/>
        <xdr:cNvCxnSpPr/>
      </xdr:nvCxnSpPr>
      <xdr:spPr bwMode="auto">
        <a:xfrm>
          <a:off x="5969453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15</xdr:row>
      <xdr:rowOff>9096</xdr:rowOff>
    </xdr:from>
    <xdr:to>
      <xdr:col>8</xdr:col>
      <xdr:colOff>511628</xdr:colOff>
      <xdr:row>18</xdr:row>
      <xdr:rowOff>17139</xdr:rowOff>
    </xdr:to>
    <xdr:cxnSp macro="">
      <xdr:nvCxnSpPr>
        <xdr:cNvPr id="283394" name="直線コネクタ 283393"/>
        <xdr:cNvCxnSpPr/>
      </xdr:nvCxnSpPr>
      <xdr:spPr bwMode="auto">
        <a:xfrm>
          <a:off x="5969453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18</xdr:row>
      <xdr:rowOff>17139</xdr:rowOff>
    </xdr:from>
    <xdr:to>
      <xdr:col>8</xdr:col>
      <xdr:colOff>511628</xdr:colOff>
      <xdr:row>24</xdr:row>
      <xdr:rowOff>160564</xdr:rowOff>
    </xdr:to>
    <xdr:cxnSp macro="">
      <xdr:nvCxnSpPr>
        <xdr:cNvPr id="283395" name="直線コネクタ 283394"/>
        <xdr:cNvCxnSpPr/>
      </xdr:nvCxnSpPr>
      <xdr:spPr bwMode="auto">
        <a:xfrm>
          <a:off x="5969453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24</xdr:row>
      <xdr:rowOff>160564</xdr:rowOff>
    </xdr:from>
    <xdr:to>
      <xdr:col>8</xdr:col>
      <xdr:colOff>511628</xdr:colOff>
      <xdr:row>26</xdr:row>
      <xdr:rowOff>82550</xdr:rowOff>
    </xdr:to>
    <xdr:cxnSp macro="">
      <xdr:nvCxnSpPr>
        <xdr:cNvPr id="283396" name="直線コネクタ 283395"/>
        <xdr:cNvCxnSpPr/>
      </xdr:nvCxnSpPr>
      <xdr:spPr bwMode="auto">
        <a:xfrm>
          <a:off x="5969453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4</xdr:row>
      <xdr:rowOff>147960</xdr:rowOff>
    </xdr:from>
    <xdr:to>
      <xdr:col>8</xdr:col>
      <xdr:colOff>298699</xdr:colOff>
      <xdr:row>5</xdr:row>
      <xdr:rowOff>165801</xdr:rowOff>
    </xdr:to>
    <xdr:cxnSp macro="">
      <xdr:nvCxnSpPr>
        <xdr:cNvPr id="283397" name="直線コネクタ 283396"/>
        <xdr:cNvCxnSpPr/>
      </xdr:nvCxnSpPr>
      <xdr:spPr bwMode="auto">
        <a:xfrm flipH="1">
          <a:off x="5739919" y="986160"/>
          <a:ext cx="16605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253458</xdr:colOff>
      <xdr:row>5</xdr:row>
      <xdr:rowOff>114244</xdr:rowOff>
    </xdr:from>
    <xdr:to>
      <xdr:col>8</xdr:col>
      <xdr:colOff>282094</xdr:colOff>
      <xdr:row>5</xdr:row>
      <xdr:rowOff>165801</xdr:rowOff>
    </xdr:to>
    <xdr:cxnSp macro="">
      <xdr:nvCxnSpPr>
        <xdr:cNvPr id="283398" name="直線コネクタ 283397"/>
        <xdr:cNvCxnSpPr/>
      </xdr:nvCxnSpPr>
      <xdr:spPr bwMode="auto">
        <a:xfrm>
          <a:off x="5035008" y="1161994"/>
          <a:ext cx="704911" cy="515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5</xdr:row>
      <xdr:rowOff>165801</xdr:rowOff>
    </xdr:from>
    <xdr:to>
      <xdr:col>8</xdr:col>
      <xdr:colOff>600440</xdr:colOff>
      <xdr:row>5</xdr:row>
      <xdr:rowOff>189037</xdr:rowOff>
    </xdr:to>
    <xdr:cxnSp macro="">
      <xdr:nvCxnSpPr>
        <xdr:cNvPr id="283399" name="直線コネクタ 283398"/>
        <xdr:cNvCxnSpPr/>
      </xdr:nvCxnSpPr>
      <xdr:spPr bwMode="auto">
        <a:xfrm>
          <a:off x="5739919" y="1213551"/>
          <a:ext cx="318346" cy="232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236815</xdr:colOff>
      <xdr:row>5</xdr:row>
      <xdr:rowOff>114244</xdr:rowOff>
    </xdr:from>
    <xdr:to>
      <xdr:col>7</xdr:col>
      <xdr:colOff>253458</xdr:colOff>
      <xdr:row>6</xdr:row>
      <xdr:rowOff>132076</xdr:rowOff>
    </xdr:to>
    <xdr:cxnSp macro="">
      <xdr:nvCxnSpPr>
        <xdr:cNvPr id="283400" name="直線コネクタ 283399"/>
        <xdr:cNvCxnSpPr/>
      </xdr:nvCxnSpPr>
      <xdr:spPr bwMode="auto">
        <a:xfrm flipH="1">
          <a:off x="5018365" y="1161994"/>
          <a:ext cx="16643" cy="2273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204557</xdr:colOff>
      <xdr:row>6</xdr:row>
      <xdr:rowOff>132076</xdr:rowOff>
    </xdr:from>
    <xdr:to>
      <xdr:col>7</xdr:col>
      <xdr:colOff>236815</xdr:colOff>
      <xdr:row>9</xdr:row>
      <xdr:rowOff>6803</xdr:rowOff>
    </xdr:to>
    <xdr:cxnSp macro="">
      <xdr:nvCxnSpPr>
        <xdr:cNvPr id="283401" name="直線コネクタ 283400"/>
        <xdr:cNvCxnSpPr/>
      </xdr:nvCxnSpPr>
      <xdr:spPr bwMode="auto">
        <a:xfrm flipH="1">
          <a:off x="4986107" y="1389376"/>
          <a:ext cx="32258" cy="5033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173154</xdr:colOff>
      <xdr:row>9</xdr:row>
      <xdr:rowOff>6803</xdr:rowOff>
    </xdr:from>
    <xdr:to>
      <xdr:col>7</xdr:col>
      <xdr:colOff>204557</xdr:colOff>
      <xdr:row>12</xdr:row>
      <xdr:rowOff>187693</xdr:rowOff>
    </xdr:to>
    <xdr:cxnSp macro="">
      <xdr:nvCxnSpPr>
        <xdr:cNvPr id="283402" name="直線コネクタ 283401"/>
        <xdr:cNvCxnSpPr/>
      </xdr:nvCxnSpPr>
      <xdr:spPr bwMode="auto">
        <a:xfrm flipH="1">
          <a:off x="4954704" y="1892753"/>
          <a:ext cx="31403" cy="8095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163061</xdr:colOff>
      <xdr:row>12</xdr:row>
      <xdr:rowOff>187693</xdr:rowOff>
    </xdr:from>
    <xdr:to>
      <xdr:col>7</xdr:col>
      <xdr:colOff>173154</xdr:colOff>
      <xdr:row>15</xdr:row>
      <xdr:rowOff>166671</xdr:rowOff>
    </xdr:to>
    <xdr:cxnSp macro="">
      <xdr:nvCxnSpPr>
        <xdr:cNvPr id="283403" name="直線コネクタ 283402"/>
        <xdr:cNvCxnSpPr/>
      </xdr:nvCxnSpPr>
      <xdr:spPr bwMode="auto">
        <a:xfrm flipH="1">
          <a:off x="4944611" y="2702293"/>
          <a:ext cx="10093" cy="60762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15</xdr:row>
      <xdr:rowOff>166671</xdr:rowOff>
    </xdr:from>
    <xdr:to>
      <xdr:col>7</xdr:col>
      <xdr:colOff>163061</xdr:colOff>
      <xdr:row>18</xdr:row>
      <xdr:rowOff>168732</xdr:rowOff>
    </xdr:to>
    <xdr:cxnSp macro="">
      <xdr:nvCxnSpPr>
        <xdr:cNvPr id="283404" name="直線コネクタ 283403"/>
        <xdr:cNvCxnSpPr/>
      </xdr:nvCxnSpPr>
      <xdr:spPr bwMode="auto">
        <a:xfrm flipH="1">
          <a:off x="4941667" y="3309921"/>
          <a:ext cx="2944" cy="6307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18</xdr:row>
      <xdr:rowOff>168732</xdr:rowOff>
    </xdr:from>
    <xdr:to>
      <xdr:col>7</xdr:col>
      <xdr:colOff>162828</xdr:colOff>
      <xdr:row>25</xdr:row>
      <xdr:rowOff>94699</xdr:rowOff>
    </xdr:to>
    <xdr:cxnSp macro="">
      <xdr:nvCxnSpPr>
        <xdr:cNvPr id="283405" name="直線コネクタ 283404"/>
        <xdr:cNvCxnSpPr/>
      </xdr:nvCxnSpPr>
      <xdr:spPr bwMode="auto">
        <a:xfrm>
          <a:off x="4941667" y="3940632"/>
          <a:ext cx="2711" cy="1392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162828</xdr:colOff>
      <xdr:row>25</xdr:row>
      <xdr:rowOff>94699</xdr:rowOff>
    </xdr:from>
    <xdr:to>
      <xdr:col>7</xdr:col>
      <xdr:colOff>163779</xdr:colOff>
      <xdr:row>27</xdr:row>
      <xdr:rowOff>15997</xdr:rowOff>
    </xdr:to>
    <xdr:cxnSp macro="">
      <xdr:nvCxnSpPr>
        <xdr:cNvPr id="283406" name="直線コネクタ 283405"/>
        <xdr:cNvCxnSpPr/>
      </xdr:nvCxnSpPr>
      <xdr:spPr bwMode="auto">
        <a:xfrm>
          <a:off x="4944378" y="5333449"/>
          <a:ext cx="951" cy="3403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583848</xdr:colOff>
      <xdr:row>5</xdr:row>
      <xdr:rowOff>189037</xdr:rowOff>
    </xdr:from>
    <xdr:to>
      <xdr:col>8</xdr:col>
      <xdr:colOff>600440</xdr:colOff>
      <xdr:row>6</xdr:row>
      <xdr:rowOff>206865</xdr:rowOff>
    </xdr:to>
    <xdr:cxnSp macro="">
      <xdr:nvCxnSpPr>
        <xdr:cNvPr id="283407" name="直線コネクタ 283406"/>
        <xdr:cNvCxnSpPr/>
      </xdr:nvCxnSpPr>
      <xdr:spPr bwMode="auto">
        <a:xfrm flipH="1">
          <a:off x="6041673" y="1236787"/>
          <a:ext cx="16592" cy="2273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551664</xdr:colOff>
      <xdr:row>6</xdr:row>
      <xdr:rowOff>206865</xdr:rowOff>
    </xdr:from>
    <xdr:to>
      <xdr:col>8</xdr:col>
      <xdr:colOff>583848</xdr:colOff>
      <xdr:row>9</xdr:row>
      <xdr:rowOff>79095</xdr:rowOff>
    </xdr:to>
    <xdr:cxnSp macro="">
      <xdr:nvCxnSpPr>
        <xdr:cNvPr id="283408" name="直線コネクタ 283407"/>
        <xdr:cNvCxnSpPr/>
      </xdr:nvCxnSpPr>
      <xdr:spPr bwMode="auto">
        <a:xfrm flipH="1">
          <a:off x="6009489" y="1464165"/>
          <a:ext cx="32184" cy="500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520269</xdr:colOff>
      <xdr:row>9</xdr:row>
      <xdr:rowOff>79095</xdr:rowOff>
    </xdr:from>
    <xdr:to>
      <xdr:col>8</xdr:col>
      <xdr:colOff>551664</xdr:colOff>
      <xdr:row>13</xdr:row>
      <xdr:rowOff>46644</xdr:rowOff>
    </xdr:to>
    <xdr:cxnSp macro="">
      <xdr:nvCxnSpPr>
        <xdr:cNvPr id="283409" name="直線コネクタ 283408"/>
        <xdr:cNvCxnSpPr/>
      </xdr:nvCxnSpPr>
      <xdr:spPr bwMode="auto">
        <a:xfrm flipH="1">
          <a:off x="5978094" y="1965045"/>
          <a:ext cx="31395" cy="8057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510140</xdr:colOff>
      <xdr:row>13</xdr:row>
      <xdr:rowOff>46644</xdr:rowOff>
    </xdr:from>
    <xdr:to>
      <xdr:col>8</xdr:col>
      <xdr:colOff>520269</xdr:colOff>
      <xdr:row>16</xdr:row>
      <xdr:rowOff>22979</xdr:rowOff>
    </xdr:to>
    <xdr:cxnSp macro="">
      <xdr:nvCxnSpPr>
        <xdr:cNvPr id="283410" name="直線コネクタ 283409"/>
        <xdr:cNvCxnSpPr/>
      </xdr:nvCxnSpPr>
      <xdr:spPr bwMode="auto">
        <a:xfrm flipH="1">
          <a:off x="5967965" y="2770794"/>
          <a:ext cx="10129" cy="60498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16</xdr:row>
      <xdr:rowOff>22979</xdr:rowOff>
    </xdr:from>
    <xdr:to>
      <xdr:col>8</xdr:col>
      <xdr:colOff>510140</xdr:colOff>
      <xdr:row>19</xdr:row>
      <xdr:rowOff>22539</xdr:rowOff>
    </xdr:to>
    <xdr:cxnSp macro="">
      <xdr:nvCxnSpPr>
        <xdr:cNvPr id="283411" name="直線コネクタ 283410"/>
        <xdr:cNvCxnSpPr/>
      </xdr:nvCxnSpPr>
      <xdr:spPr bwMode="auto">
        <a:xfrm flipH="1">
          <a:off x="5964974" y="3375779"/>
          <a:ext cx="2991" cy="6282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19</xdr:row>
      <xdr:rowOff>22539</xdr:rowOff>
    </xdr:from>
    <xdr:to>
      <xdr:col>8</xdr:col>
      <xdr:colOff>509779</xdr:colOff>
      <xdr:row>25</xdr:row>
      <xdr:rowOff>154752</xdr:rowOff>
    </xdr:to>
    <xdr:cxnSp macro="">
      <xdr:nvCxnSpPr>
        <xdr:cNvPr id="283412" name="直線コネクタ 283411"/>
        <xdr:cNvCxnSpPr/>
      </xdr:nvCxnSpPr>
      <xdr:spPr bwMode="auto">
        <a:xfrm>
          <a:off x="5964974" y="4003989"/>
          <a:ext cx="2630" cy="13895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509779</xdr:colOff>
      <xdr:row>25</xdr:row>
      <xdr:rowOff>154752</xdr:rowOff>
    </xdr:from>
    <xdr:to>
      <xdr:col>8</xdr:col>
      <xdr:colOff>510711</xdr:colOff>
      <xdr:row>27</xdr:row>
      <xdr:rowOff>75762</xdr:rowOff>
    </xdr:to>
    <xdr:cxnSp macro="">
      <xdr:nvCxnSpPr>
        <xdr:cNvPr id="283413" name="直線コネクタ 283412"/>
        <xdr:cNvCxnSpPr/>
      </xdr:nvCxnSpPr>
      <xdr:spPr bwMode="auto">
        <a:xfrm>
          <a:off x="5967604" y="5393502"/>
          <a:ext cx="932" cy="3401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3414" name="テキスト ボックス 283413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3415" name="直線コネクタ 283414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3416" name="テキスト ボックス 283415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3417" name="直線コネクタ 283416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jp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49" zoomScaleNormal="100" workbookViewId="0">
      <selection activeCell="L64" sqref="L64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54" t="s">
        <v>229</v>
      </c>
      <c r="C13" s="154"/>
      <c r="D13" s="154"/>
      <c r="E13" s="154"/>
      <c r="F13" s="154"/>
      <c r="G13" s="154"/>
      <c r="H13" s="154"/>
      <c r="I13" s="154"/>
      <c r="J13" s="154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54" t="s">
        <v>230</v>
      </c>
      <c r="C15" s="154"/>
      <c r="D15" s="154"/>
      <c r="E15" s="154"/>
      <c r="F15" s="154"/>
      <c r="G15" s="154"/>
      <c r="H15" s="154"/>
      <c r="I15" s="154"/>
      <c r="J15" s="154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55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55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112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3" r:id="rId7" name="TextBox1">
          <controlPr defaultSize="0" autoLine="0" r:id="rId8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7" name="TextBox1"/>
      </mc:Fallback>
    </mc:AlternateContent>
    <mc:AlternateContent xmlns:mc="http://schemas.openxmlformats.org/markup-compatibility/2006">
      <mc:Choice Requires="x14">
        <control shapeId="231584" r:id="rId9" name="TextBox2">
          <controlPr defaultSize="0" autoLine="0" r:id="rId10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9" name="TextBox2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zoomScale="40" zoomScaleNormal="40" workbookViewId="0">
      <selection activeCell="M54" sqref="M54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148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44"/>
      <c r="B4" s="21"/>
      <c r="C4" s="21"/>
      <c r="D4" s="21"/>
    </row>
    <row r="5" spans="1:4" ht="13.5" customHeight="1">
      <c r="A5" s="22" t="s">
        <v>149</v>
      </c>
      <c r="B5" s="22" t="s">
        <v>150</v>
      </c>
      <c r="C5" s="22" t="s">
        <v>152</v>
      </c>
      <c r="D5" s="23" t="s">
        <v>154</v>
      </c>
    </row>
    <row r="6" spans="1:4" ht="13.5" customHeight="1">
      <c r="A6" s="22">
        <v>1</v>
      </c>
      <c r="B6" s="41">
        <v>3</v>
      </c>
      <c r="C6" s="41">
        <f>C7-1</f>
        <v>-2</v>
      </c>
      <c r="D6" s="41">
        <v>0</v>
      </c>
    </row>
    <row r="7" spans="1:4" ht="13.5" customHeight="1">
      <c r="A7" s="22">
        <v>2</v>
      </c>
      <c r="B7" s="41">
        <v>0</v>
      </c>
      <c r="C7" s="41">
        <f>C8</f>
        <v>-1</v>
      </c>
      <c r="D7" s="41">
        <v>0</v>
      </c>
    </row>
    <row r="8" spans="1:4" ht="13.5" customHeight="1">
      <c r="A8" s="22">
        <v>3</v>
      </c>
      <c r="B8" s="41">
        <v>3</v>
      </c>
      <c r="C8" s="41">
        <f>C9</f>
        <v>-1</v>
      </c>
      <c r="D8" s="41">
        <v>0</v>
      </c>
    </row>
    <row r="9" spans="1:4" ht="13.5" customHeight="1">
      <c r="A9" s="22">
        <v>4</v>
      </c>
      <c r="B9" s="41">
        <v>4.5</v>
      </c>
      <c r="C9" s="41">
        <f>C10-1</f>
        <v>-1</v>
      </c>
      <c r="D9" s="41">
        <v>0</v>
      </c>
    </row>
    <row r="10" spans="1:4" ht="13.5" customHeight="1">
      <c r="A10" s="22">
        <v>5</v>
      </c>
      <c r="B10" s="41">
        <v>0</v>
      </c>
      <c r="C10" s="41">
        <v>0</v>
      </c>
      <c r="D10" s="41">
        <v>0</v>
      </c>
    </row>
    <row r="11" spans="1:4" ht="13.5" customHeight="1">
      <c r="A11" s="22">
        <v>6</v>
      </c>
      <c r="B11" s="41">
        <f>B9</f>
        <v>4.5</v>
      </c>
      <c r="C11" s="41">
        <f>C10</f>
        <v>0</v>
      </c>
      <c r="D11" s="41">
        <v>0</v>
      </c>
    </row>
    <row r="12" spans="1:4" ht="13.5" customHeight="1">
      <c r="A12" s="22">
        <v>7</v>
      </c>
      <c r="B12" s="41">
        <f>B10</f>
        <v>0</v>
      </c>
      <c r="C12" s="41">
        <f>C10+2.24</f>
        <v>2.2400000000000002</v>
      </c>
      <c r="D12" s="41">
        <v>0</v>
      </c>
    </row>
    <row r="13" spans="1:4" ht="13.5" customHeight="1">
      <c r="A13" s="22">
        <v>8</v>
      </c>
      <c r="B13" s="41">
        <f t="shared" ref="B13:B19" si="0">B11</f>
        <v>4.5</v>
      </c>
      <c r="C13" s="41">
        <f>C12</f>
        <v>2.2400000000000002</v>
      </c>
      <c r="D13" s="41"/>
    </row>
    <row r="14" spans="1:4" ht="13.5" customHeight="1">
      <c r="A14" s="22">
        <v>9</v>
      </c>
      <c r="B14" s="41">
        <f t="shared" si="0"/>
        <v>0</v>
      </c>
      <c r="C14" s="41">
        <f>C12+3.6</f>
        <v>5.84</v>
      </c>
      <c r="D14" s="41"/>
    </row>
    <row r="15" spans="1:4" ht="13.5" customHeight="1">
      <c r="A15" s="22">
        <v>10</v>
      </c>
      <c r="B15" s="41">
        <f t="shared" si="0"/>
        <v>4.5</v>
      </c>
      <c r="C15" s="41">
        <f>C14</f>
        <v>5.84</v>
      </c>
      <c r="D15" s="41"/>
    </row>
    <row r="16" spans="1:4" ht="13.5" customHeight="1">
      <c r="A16" s="22">
        <v>11</v>
      </c>
      <c r="B16" s="41">
        <f t="shared" si="0"/>
        <v>0</v>
      </c>
      <c r="C16" s="41">
        <f>C14+2.7</f>
        <v>8.5399999999999991</v>
      </c>
      <c r="D16" s="41"/>
    </row>
    <row r="17" spans="1:4" ht="13.5" customHeight="1">
      <c r="A17" s="22">
        <v>12</v>
      </c>
      <c r="B17" s="41">
        <f t="shared" si="0"/>
        <v>4.5</v>
      </c>
      <c r="C17" s="41">
        <f>C16</f>
        <v>8.5399999999999991</v>
      </c>
      <c r="D17" s="41"/>
    </row>
    <row r="18" spans="1:4" ht="13.5" customHeight="1">
      <c r="A18" s="22">
        <v>13</v>
      </c>
      <c r="B18" s="41">
        <f t="shared" si="0"/>
        <v>0</v>
      </c>
      <c r="C18" s="41">
        <f>C16+2.8</f>
        <v>11.34</v>
      </c>
      <c r="D18" s="41"/>
    </row>
    <row r="19" spans="1:4" ht="13.5" customHeight="1">
      <c r="A19" s="22">
        <v>14</v>
      </c>
      <c r="B19" s="41">
        <f t="shared" si="0"/>
        <v>4.5</v>
      </c>
      <c r="C19" s="41">
        <f>C18</f>
        <v>11.34</v>
      </c>
    </row>
    <row r="20" spans="1:4" ht="13.5" customHeight="1">
      <c r="A20" s="22">
        <v>15</v>
      </c>
      <c r="B20" s="41">
        <f>B18</f>
        <v>0</v>
      </c>
      <c r="C20" s="125">
        <f>C22-1.5</f>
        <v>19.5</v>
      </c>
    </row>
    <row r="21" spans="1:4" ht="13.5" customHeight="1">
      <c r="A21" s="22">
        <v>16</v>
      </c>
      <c r="B21" s="41">
        <f>B19</f>
        <v>4.5</v>
      </c>
      <c r="C21" s="125">
        <f>C23-1.5</f>
        <v>19.5</v>
      </c>
    </row>
    <row r="22" spans="1:4" ht="13.5" customHeight="1">
      <c r="A22" s="22">
        <v>17</v>
      </c>
      <c r="B22" s="41">
        <f>B20</f>
        <v>0</v>
      </c>
      <c r="C22" s="41">
        <f>C18+9.66</f>
        <v>21</v>
      </c>
    </row>
    <row r="23" spans="1:4" ht="13.5" customHeight="1">
      <c r="A23" s="22">
        <v>18</v>
      </c>
      <c r="B23" s="41">
        <f>B21</f>
        <v>4.5</v>
      </c>
      <c r="C23" s="41">
        <f>C22</f>
        <v>21</v>
      </c>
    </row>
    <row r="24" spans="1:4" ht="13.5" customHeight="1">
      <c r="B24" s="41"/>
      <c r="C24" s="41"/>
    </row>
    <row r="25" spans="1:4" ht="13.5" customHeight="1">
      <c r="B25" s="41"/>
      <c r="C25" s="41"/>
    </row>
    <row r="26" spans="1:4" ht="13.5" customHeight="1">
      <c r="B26" s="41"/>
      <c r="C26" s="41"/>
    </row>
    <row r="27" spans="1:4" ht="13.5" customHeight="1">
      <c r="B27" s="41"/>
      <c r="C27" s="41"/>
    </row>
    <row r="28" spans="1:4" ht="13.5" customHeight="1">
      <c r="B28" s="41"/>
      <c r="C28" s="41"/>
    </row>
    <row r="29" spans="1:4" ht="13.5" customHeight="1">
      <c r="B29" s="41"/>
      <c r="C29" s="41"/>
    </row>
    <row r="30" spans="1:4" ht="13.5" customHeight="1">
      <c r="B30" s="41"/>
      <c r="C30" s="41"/>
    </row>
    <row r="31" spans="1:4" ht="13.5" customHeight="1">
      <c r="B31" s="41"/>
      <c r="C31" s="41"/>
    </row>
    <row r="32" spans="1:4" ht="13.5" customHeight="1">
      <c r="B32" s="41"/>
      <c r="C32" s="41"/>
    </row>
    <row r="33" spans="2:3" ht="13.5" customHeight="1">
      <c r="B33" s="41"/>
      <c r="C33" s="41"/>
    </row>
    <row r="34" spans="2:3" ht="13.5" customHeight="1">
      <c r="B34" s="41"/>
      <c r="C34" s="41"/>
    </row>
    <row r="35" spans="2:3" ht="13.5" customHeight="1">
      <c r="B35" s="41"/>
      <c r="C35" s="41"/>
    </row>
    <row r="36" spans="2:3" ht="13.5" customHeight="1">
      <c r="B36" s="41"/>
      <c r="C36" s="41"/>
    </row>
    <row r="37" spans="2:3" ht="13.5" customHeight="1">
      <c r="B37" s="41"/>
      <c r="C37" s="41"/>
    </row>
    <row r="38" spans="2:3" ht="13.5" customHeight="1">
      <c r="B38" s="41"/>
      <c r="C38" s="41"/>
    </row>
    <row r="39" spans="2:3" ht="13.5" customHeight="1">
      <c r="B39" s="41"/>
      <c r="C39" s="41"/>
    </row>
    <row r="40" spans="2:3" ht="13.5" customHeight="1">
      <c r="B40" s="41"/>
      <c r="C40" s="41"/>
    </row>
    <row r="41" spans="2:3" ht="13.5" customHeight="1">
      <c r="B41" s="41"/>
      <c r="C41" s="41"/>
    </row>
    <row r="42" spans="2:3" ht="13.5" customHeight="1">
      <c r="B42" s="41"/>
      <c r="C42" s="41"/>
    </row>
    <row r="43" spans="2:3" ht="13.5" customHeight="1">
      <c r="B43" s="41"/>
      <c r="C43" s="41"/>
    </row>
    <row r="44" spans="2:3" ht="13.5" customHeight="1">
      <c r="B44" s="41"/>
      <c r="C44" s="41"/>
    </row>
    <row r="45" spans="2:3" ht="13.5" customHeight="1">
      <c r="B45" s="41"/>
      <c r="C45" s="41"/>
    </row>
    <row r="46" spans="2:3" ht="13.5" customHeight="1">
      <c r="B46" s="41"/>
      <c r="C46" s="41"/>
    </row>
    <row r="47" spans="2:3" ht="13.5" customHeight="1">
      <c r="B47" s="41"/>
      <c r="C47" s="41"/>
    </row>
    <row r="48" spans="2:3" ht="13.5" customHeight="1">
      <c r="B48" s="41"/>
      <c r="C48" s="41"/>
    </row>
    <row r="49" spans="2:3" ht="13.5" customHeight="1">
      <c r="B49" s="41"/>
      <c r="C49" s="41"/>
    </row>
    <row r="50" spans="2:3" ht="13.5" customHeight="1">
      <c r="B50" s="41"/>
      <c r="C50" s="41"/>
    </row>
    <row r="51" spans="2:3" ht="13.5" customHeight="1">
      <c r="B51" s="125"/>
      <c r="C51" s="41"/>
    </row>
    <row r="52" spans="2:3" ht="13.5" customHeight="1">
      <c r="B52" s="125"/>
      <c r="C52" s="41"/>
    </row>
    <row r="53" spans="2:3" ht="13.5" customHeight="1">
      <c r="B53" s="125"/>
      <c r="C53" s="41"/>
    </row>
    <row r="54" spans="2:3" ht="13.5" customHeight="1">
      <c r="B54" s="125"/>
      <c r="C54" s="41"/>
    </row>
    <row r="55" spans="2:3" ht="13.5" customHeight="1">
      <c r="B55" s="125"/>
      <c r="C55" s="41"/>
    </row>
    <row r="56" spans="2:3" ht="13.5" customHeight="1">
      <c r="B56" s="41"/>
      <c r="C56" s="41"/>
    </row>
    <row r="57" spans="2:3" ht="13.5" customHeight="1">
      <c r="B57" s="125"/>
      <c r="C57" s="41"/>
    </row>
    <row r="58" spans="2:3" ht="13.5" customHeight="1">
      <c r="B58" s="125"/>
      <c r="C58" s="41"/>
    </row>
    <row r="59" spans="2:3" ht="13.5" customHeight="1">
      <c r="B59" s="125"/>
      <c r="C59" s="41"/>
    </row>
    <row r="60" spans="2:3" ht="13.5" customHeight="1">
      <c r="B60" s="125"/>
      <c r="C60" s="41"/>
    </row>
    <row r="61" spans="2:3" ht="13.5" customHeight="1">
      <c r="B61" s="125"/>
      <c r="C61" s="41"/>
    </row>
    <row r="62" spans="2:3" ht="13.5" customHeight="1">
      <c r="B62" s="125"/>
      <c r="C62" s="41"/>
    </row>
    <row r="63" spans="2:3" ht="13.5" customHeight="1">
      <c r="B63" s="125"/>
      <c r="C63" s="41"/>
    </row>
    <row r="64" spans="2:3" ht="13.5" customHeight="1">
      <c r="B64" s="125"/>
      <c r="C64" s="41"/>
    </row>
    <row r="65" spans="2:3" ht="13.5" customHeight="1">
      <c r="B65" s="125"/>
      <c r="C65" s="41"/>
    </row>
    <row r="66" spans="2:3" ht="13.5" customHeight="1">
      <c r="B66" s="125"/>
      <c r="C66" s="41"/>
    </row>
    <row r="67" spans="2:3" ht="13.5" customHeight="1">
      <c r="B67" s="125"/>
      <c r="C67" s="41"/>
    </row>
    <row r="68" spans="2:3" ht="13.5" customHeight="1">
      <c r="B68" s="125"/>
      <c r="C68" s="41"/>
    </row>
    <row r="69" spans="2:3" ht="13.5" customHeight="1">
      <c r="B69" s="125"/>
      <c r="C69" s="41"/>
    </row>
    <row r="70" spans="2:3" ht="13.5" customHeight="1">
      <c r="B70" s="125"/>
      <c r="C70" s="41"/>
    </row>
    <row r="71" spans="2:3" ht="13.5" customHeight="1">
      <c r="B71" s="125"/>
      <c r="C71" s="41"/>
    </row>
    <row r="72" spans="2:3" ht="13.5" customHeight="1">
      <c r="B72" s="125"/>
      <c r="C72" s="41"/>
    </row>
    <row r="73" spans="2:3" ht="13.5" customHeight="1">
      <c r="B73" s="125"/>
      <c r="C73" s="41"/>
    </row>
    <row r="74" spans="2:3" ht="13.5" customHeight="1">
      <c r="B74" s="125"/>
      <c r="C74" s="41"/>
    </row>
    <row r="75" spans="2:3" ht="13.5" customHeight="1">
      <c r="B75" s="125"/>
      <c r="C75" s="41"/>
    </row>
    <row r="76" spans="2:3" ht="13.5" customHeight="1">
      <c r="B76" s="125"/>
      <c r="C76" s="41"/>
    </row>
    <row r="77" spans="2:3" ht="13.5" customHeight="1">
      <c r="B77" s="125"/>
      <c r="C77" s="41"/>
    </row>
    <row r="78" spans="2:3" ht="13.5" customHeight="1">
      <c r="B78" s="125"/>
      <c r="C78" s="41"/>
    </row>
    <row r="79" spans="2:3" ht="13.5" customHeight="1">
      <c r="B79" s="125"/>
      <c r="C79" s="41"/>
    </row>
    <row r="80" spans="2:3" ht="13.5" customHeight="1">
      <c r="B80" s="125"/>
      <c r="C80" s="41"/>
    </row>
    <row r="81" spans="2:3" ht="13.5" customHeight="1">
      <c r="B81" s="125"/>
      <c r="C81" s="41"/>
    </row>
    <row r="82" spans="2:3" ht="13.5" customHeight="1">
      <c r="B82" s="125"/>
      <c r="C82" s="41"/>
    </row>
    <row r="83" spans="2:3" ht="13.5" customHeight="1">
      <c r="B83" s="125"/>
      <c r="C83" s="41"/>
    </row>
    <row r="84" spans="2:3" ht="13.5" customHeight="1">
      <c r="B84" s="125"/>
      <c r="C84" s="41"/>
    </row>
    <row r="85" spans="2:3" ht="13.5" customHeight="1">
      <c r="B85" s="125"/>
      <c r="C85" s="41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85" zoomScaleNormal="85" workbookViewId="0">
      <selection sqref="A1:XFD1048576"/>
    </sheetView>
  </sheetViews>
  <sheetFormatPr defaultColWidth="13.625" defaultRowHeight="13.5" customHeight="1"/>
  <cols>
    <col min="1" max="1" width="8.875" style="43" customWidth="1"/>
    <col min="2" max="3" width="13.625" style="40" customWidth="1"/>
    <col min="4" max="4" width="13.625" style="40" hidden="1" customWidth="1"/>
    <col min="5" max="5" width="13.625" style="40" hidden="1" customWidth="1" collapsed="1"/>
    <col min="6" max="6" width="13.625" style="40" hidden="1" customWidth="1"/>
    <col min="7" max="9" width="13.625" style="40" customWidth="1"/>
    <col min="10" max="12" width="13.625" style="40" hidden="1" customWidth="1"/>
    <col min="13" max="15" width="13.625" style="40" customWidth="1"/>
    <col min="16" max="18" width="13.625" style="40" hidden="1" customWidth="1"/>
    <col min="19" max="19" width="13.625" style="40" customWidth="1"/>
    <col min="20" max="16384" width="13.625" style="19"/>
  </cols>
  <sheetData>
    <row r="1" spans="1:19" ht="13.5" customHeight="1">
      <c r="A1" s="29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</row>
    <row r="2" spans="1:19" ht="13.5" customHeight="1">
      <c r="A2" s="31" t="s">
        <v>48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</row>
    <row r="3" spans="1:19" ht="13.5" customHeight="1">
      <c r="A3" s="29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</row>
    <row r="4" spans="1:19" ht="13.5" customHeight="1">
      <c r="A4" s="29"/>
      <c r="B4" s="38" t="s">
        <v>109</v>
      </c>
      <c r="C4" s="39"/>
      <c r="D4" s="39"/>
      <c r="E4" s="39"/>
      <c r="F4" s="39"/>
      <c r="G4" s="39"/>
      <c r="H4" s="39"/>
      <c r="I4" s="39"/>
      <c r="J4" s="39"/>
      <c r="K4" s="38"/>
      <c r="L4" s="39"/>
      <c r="M4" s="39"/>
      <c r="N4" s="39"/>
      <c r="O4" s="39"/>
      <c r="P4" s="39"/>
      <c r="Q4" s="38"/>
      <c r="R4" s="39"/>
      <c r="S4" s="39"/>
    </row>
    <row r="5" spans="1:19" ht="13.5" customHeight="1">
      <c r="A5" s="158" t="s">
        <v>37</v>
      </c>
      <c r="B5" s="160" t="s">
        <v>155</v>
      </c>
      <c r="C5" s="160"/>
      <c r="D5" s="160"/>
      <c r="E5" s="160"/>
      <c r="F5" s="160"/>
      <c r="G5" s="160"/>
      <c r="H5" s="161" t="s">
        <v>50</v>
      </c>
      <c r="I5" s="161"/>
      <c r="J5" s="161"/>
      <c r="K5" s="161"/>
      <c r="L5" s="161"/>
      <c r="M5" s="161"/>
      <c r="N5" s="156" t="s">
        <v>156</v>
      </c>
      <c r="O5" s="156"/>
      <c r="P5" s="156"/>
      <c r="Q5" s="156"/>
      <c r="R5" s="156"/>
      <c r="S5" s="156"/>
    </row>
    <row r="6" spans="1:19" ht="13.5" customHeight="1">
      <c r="A6" s="158"/>
      <c r="B6" s="159" t="s">
        <v>33</v>
      </c>
      <c r="C6" s="159"/>
      <c r="D6" s="159"/>
      <c r="E6" s="159" t="s">
        <v>34</v>
      </c>
      <c r="F6" s="159"/>
      <c r="G6" s="159"/>
      <c r="H6" s="162" t="s">
        <v>33</v>
      </c>
      <c r="I6" s="162"/>
      <c r="J6" s="162"/>
      <c r="K6" s="162" t="s">
        <v>34</v>
      </c>
      <c r="L6" s="162"/>
      <c r="M6" s="162"/>
      <c r="N6" s="157" t="s">
        <v>33</v>
      </c>
      <c r="O6" s="157"/>
      <c r="P6" s="157"/>
      <c r="Q6" s="157" t="s">
        <v>34</v>
      </c>
      <c r="R6" s="157"/>
      <c r="S6" s="157"/>
    </row>
    <row r="7" spans="1:19" ht="13.5" customHeight="1">
      <c r="A7" s="158"/>
      <c r="B7" s="117" t="s">
        <v>150</v>
      </c>
      <c r="C7" s="117" t="s">
        <v>151</v>
      </c>
      <c r="D7" s="117" t="s">
        <v>153</v>
      </c>
      <c r="E7" s="117" t="s">
        <v>150</v>
      </c>
      <c r="F7" s="117" t="s">
        <v>151</v>
      </c>
      <c r="G7" s="117" t="s">
        <v>153</v>
      </c>
      <c r="H7" s="118" t="s">
        <v>150</v>
      </c>
      <c r="I7" s="118" t="s">
        <v>151</v>
      </c>
      <c r="J7" s="118" t="s">
        <v>153</v>
      </c>
      <c r="K7" s="118" t="s">
        <v>150</v>
      </c>
      <c r="L7" s="118" t="s">
        <v>151</v>
      </c>
      <c r="M7" s="118" t="s">
        <v>153</v>
      </c>
      <c r="N7" s="116" t="s">
        <v>150</v>
      </c>
      <c r="O7" s="116" t="s">
        <v>151</v>
      </c>
      <c r="P7" s="116" t="s">
        <v>153</v>
      </c>
      <c r="Q7" s="116" t="s">
        <v>150</v>
      </c>
      <c r="R7" s="116" t="s">
        <v>151</v>
      </c>
      <c r="S7" s="116" t="s">
        <v>153</v>
      </c>
    </row>
    <row r="8" spans="1:19" ht="13.5" customHeight="1">
      <c r="A8" s="42">
        <v>17</v>
      </c>
      <c r="C8" s="40">
        <f>2*82862</f>
        <v>165724</v>
      </c>
      <c r="D8" s="40">
        <v>0</v>
      </c>
      <c r="I8" s="40">
        <f>165723*2</f>
        <v>331446</v>
      </c>
    </row>
    <row r="9" spans="1:19" ht="13.5" customHeight="1">
      <c r="A9" s="42">
        <v>18</v>
      </c>
      <c r="C9" s="40">
        <f>C8</f>
        <v>165724</v>
      </c>
      <c r="D9" s="40">
        <v>0</v>
      </c>
      <c r="I9" s="40">
        <f>I8</f>
        <v>331446</v>
      </c>
    </row>
    <row r="10" spans="1:19" ht="13.5" customHeight="1">
      <c r="A10" s="42"/>
    </row>
    <row r="11" spans="1:19" ht="13.5" customHeight="1">
      <c r="A11" s="42"/>
    </row>
    <row r="12" spans="1:19" ht="13.5" customHeight="1">
      <c r="A12" s="42"/>
    </row>
    <row r="13" spans="1:19" ht="13.5" customHeight="1">
      <c r="A13" s="42"/>
    </row>
    <row r="14" spans="1:19" ht="13.5" customHeight="1">
      <c r="A14" s="42"/>
    </row>
    <row r="15" spans="1:19" ht="13.5" customHeight="1">
      <c r="A15" s="42"/>
      <c r="D15" s="40">
        <v>2</v>
      </c>
    </row>
    <row r="16" spans="1:19" ht="13.5" customHeight="1">
      <c r="A16" s="42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22"/>
  <sheetViews>
    <sheetView zoomScale="85" zoomScaleNormal="85" workbookViewId="0">
      <selection sqref="A1:XFD1048576"/>
    </sheetView>
  </sheetViews>
  <sheetFormatPr defaultColWidth="10.875" defaultRowHeight="13.5" customHeight="1"/>
  <cols>
    <col min="1" max="1" width="10.875" style="22" customWidth="1"/>
    <col min="2" max="3" width="10.875" style="115" customWidth="1"/>
    <col min="4" max="4" width="10.875" style="35" customWidth="1"/>
    <col min="5" max="5" width="10.875" style="45" customWidth="1"/>
    <col min="6" max="6" width="10.875" style="36" hidden="1" customWidth="1"/>
    <col min="7" max="7" width="10.875" style="46" customWidth="1"/>
    <col min="8" max="16384" width="10.875" style="19"/>
  </cols>
  <sheetData>
    <row r="1" spans="1:7" ht="13.5" customHeight="1">
      <c r="A1" s="29"/>
      <c r="B1" s="74"/>
      <c r="C1" s="74"/>
      <c r="D1" s="30"/>
      <c r="E1" s="29"/>
      <c r="F1" s="18"/>
      <c r="G1" s="47"/>
    </row>
    <row r="2" spans="1:7" ht="13.5" customHeight="1">
      <c r="A2" s="31" t="s">
        <v>51</v>
      </c>
      <c r="B2" s="74"/>
      <c r="C2" s="74"/>
      <c r="D2" s="30"/>
      <c r="E2" s="29"/>
      <c r="F2" s="18"/>
      <c r="G2" s="47"/>
    </row>
    <row r="3" spans="1:7" ht="13.5" customHeight="1">
      <c r="A3" s="32"/>
      <c r="B3" s="74"/>
      <c r="C3" s="112"/>
      <c r="D3" s="30"/>
      <c r="E3" s="29"/>
      <c r="F3" s="18"/>
      <c r="G3" s="47"/>
    </row>
    <row r="4" spans="1:7" ht="13.5" customHeight="1">
      <c r="A4" s="33"/>
      <c r="B4" s="113"/>
      <c r="C4" s="113"/>
      <c r="D4" s="30"/>
      <c r="E4" s="44"/>
      <c r="F4" s="21"/>
      <c r="G4" s="47"/>
    </row>
    <row r="5" spans="1:7" ht="13.5" customHeight="1">
      <c r="A5" s="119" t="s">
        <v>157</v>
      </c>
      <c r="B5" s="121" t="s">
        <v>25</v>
      </c>
      <c r="C5" s="121" t="s">
        <v>26</v>
      </c>
      <c r="D5" s="121" t="s">
        <v>94</v>
      </c>
      <c r="E5" s="34" t="s">
        <v>108</v>
      </c>
      <c r="F5" s="34" t="s">
        <v>158</v>
      </c>
    </row>
    <row r="6" spans="1:7" ht="13.5" customHeight="1">
      <c r="A6" s="22">
        <v>1</v>
      </c>
      <c r="B6" s="114">
        <v>1</v>
      </c>
      <c r="C6" s="114">
        <v>3</v>
      </c>
      <c r="D6" s="35">
        <v>1</v>
      </c>
      <c r="E6" s="45">
        <v>1</v>
      </c>
      <c r="F6" s="36">
        <v>0</v>
      </c>
    </row>
    <row r="7" spans="1:7" ht="13.5" customHeight="1">
      <c r="A7" s="22">
        <v>2</v>
      </c>
      <c r="B7" s="114">
        <v>2</v>
      </c>
      <c r="C7" s="114">
        <v>3</v>
      </c>
      <c r="D7" s="35">
        <v>3</v>
      </c>
      <c r="E7" s="45">
        <v>1</v>
      </c>
      <c r="F7" s="36">
        <v>0</v>
      </c>
    </row>
    <row r="8" spans="1:7" ht="13.5" customHeight="1">
      <c r="A8" s="22">
        <v>3</v>
      </c>
      <c r="B8" s="114">
        <v>3</v>
      </c>
      <c r="C8" s="114">
        <v>4</v>
      </c>
      <c r="D8" s="35">
        <v>1.3</v>
      </c>
      <c r="E8" s="45">
        <v>1</v>
      </c>
      <c r="F8" s="36">
        <v>0</v>
      </c>
    </row>
    <row r="9" spans="1:7" ht="13.5" customHeight="1">
      <c r="A9" s="22">
        <v>4</v>
      </c>
      <c r="B9" s="114">
        <v>2</v>
      </c>
      <c r="C9" s="114">
        <v>5</v>
      </c>
      <c r="D9" s="35">
        <v>1</v>
      </c>
      <c r="E9" s="45">
        <v>1</v>
      </c>
      <c r="F9" s="36">
        <v>0</v>
      </c>
    </row>
    <row r="10" spans="1:7" ht="13.5" customHeight="1">
      <c r="A10" s="22">
        <v>5</v>
      </c>
      <c r="B10" s="114">
        <v>5</v>
      </c>
      <c r="C10" s="114">
        <v>7</v>
      </c>
      <c r="D10" s="35">
        <v>2.2400000000000002</v>
      </c>
      <c r="E10" s="45">
        <v>2</v>
      </c>
      <c r="F10" s="36">
        <v>0</v>
      </c>
    </row>
    <row r="11" spans="1:7" ht="13.5" customHeight="1">
      <c r="A11" s="22">
        <v>6</v>
      </c>
      <c r="B11" s="114">
        <v>7</v>
      </c>
      <c r="C11" s="114">
        <v>9</v>
      </c>
      <c r="D11" s="35">
        <v>3.6</v>
      </c>
      <c r="E11" s="45">
        <v>2</v>
      </c>
      <c r="F11" s="36">
        <v>0</v>
      </c>
    </row>
    <row r="12" spans="1:7" ht="13.5" customHeight="1">
      <c r="A12" s="22">
        <v>7</v>
      </c>
      <c r="B12" s="114">
        <v>9</v>
      </c>
      <c r="C12" s="114">
        <v>11</v>
      </c>
      <c r="D12" s="35">
        <v>2.7</v>
      </c>
      <c r="E12" s="45">
        <v>2</v>
      </c>
    </row>
    <row r="13" spans="1:7" ht="13.5" customHeight="1">
      <c r="A13" s="22">
        <v>8</v>
      </c>
      <c r="B13" s="114">
        <v>11</v>
      </c>
      <c r="C13" s="114">
        <v>13</v>
      </c>
      <c r="D13" s="35">
        <v>2.8</v>
      </c>
      <c r="E13" s="45">
        <v>2</v>
      </c>
    </row>
    <row r="14" spans="1:7" ht="13.5" customHeight="1">
      <c r="A14" s="22">
        <v>9</v>
      </c>
      <c r="B14" s="114">
        <v>13</v>
      </c>
      <c r="C14" s="114">
        <v>15</v>
      </c>
      <c r="D14" s="35">
        <v>6.16</v>
      </c>
      <c r="E14" s="45">
        <v>2</v>
      </c>
    </row>
    <row r="15" spans="1:7" ht="13.5" customHeight="1">
      <c r="A15" s="22">
        <v>10</v>
      </c>
      <c r="B15" s="114">
        <v>15</v>
      </c>
      <c r="C15" s="114">
        <v>17</v>
      </c>
      <c r="D15" s="35">
        <v>1.5</v>
      </c>
      <c r="E15" s="45">
        <v>2</v>
      </c>
    </row>
    <row r="16" spans="1:7" ht="13.5" customHeight="1">
      <c r="A16" s="22">
        <v>11</v>
      </c>
      <c r="B16" s="114">
        <v>4</v>
      </c>
      <c r="C16" s="114">
        <v>6</v>
      </c>
      <c r="D16" s="35">
        <v>1</v>
      </c>
      <c r="E16" s="45">
        <v>1</v>
      </c>
    </row>
    <row r="17" spans="1:5" ht="13.5" customHeight="1">
      <c r="A17" s="22">
        <v>12</v>
      </c>
      <c r="B17" s="114">
        <v>6</v>
      </c>
      <c r="C17" s="114">
        <v>8</v>
      </c>
      <c r="D17" s="35">
        <v>2.2400000000000002</v>
      </c>
      <c r="E17" s="45">
        <v>2</v>
      </c>
    </row>
    <row r="18" spans="1:5" ht="13.5" customHeight="1">
      <c r="A18" s="22">
        <v>13</v>
      </c>
      <c r="B18" s="114">
        <v>8</v>
      </c>
      <c r="C18" s="114">
        <v>10</v>
      </c>
      <c r="D18" s="35">
        <v>3.6</v>
      </c>
      <c r="E18" s="45">
        <v>2</v>
      </c>
    </row>
    <row r="19" spans="1:5" ht="13.5" customHeight="1">
      <c r="A19" s="22">
        <v>14</v>
      </c>
      <c r="B19" s="114">
        <v>10</v>
      </c>
      <c r="C19" s="114">
        <v>12</v>
      </c>
      <c r="D19" s="35">
        <v>2.7</v>
      </c>
      <c r="E19" s="45">
        <v>2</v>
      </c>
    </row>
    <row r="20" spans="1:5" ht="13.5" customHeight="1">
      <c r="A20" s="22">
        <v>15</v>
      </c>
      <c r="B20" s="114">
        <v>12</v>
      </c>
      <c r="C20" s="114">
        <v>14</v>
      </c>
      <c r="D20" s="35">
        <v>2.8</v>
      </c>
      <c r="E20" s="45">
        <v>2</v>
      </c>
    </row>
    <row r="21" spans="1:5" ht="13.5" customHeight="1">
      <c r="A21" s="22">
        <v>16</v>
      </c>
      <c r="B21" s="114">
        <v>14</v>
      </c>
      <c r="C21" s="114">
        <v>16</v>
      </c>
      <c r="D21" s="35">
        <v>6.16</v>
      </c>
      <c r="E21" s="45">
        <v>2</v>
      </c>
    </row>
    <row r="22" spans="1:5" ht="13.5" customHeight="1">
      <c r="A22" s="22">
        <v>17</v>
      </c>
      <c r="B22" s="115">
        <v>16</v>
      </c>
      <c r="C22" s="115">
        <v>18</v>
      </c>
      <c r="D22" s="35">
        <v>1.5</v>
      </c>
      <c r="E22" s="45">
        <v>2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85" zoomScaleNormal="85" workbookViewId="0">
      <selection sqref="A1:XFD1048576"/>
    </sheetView>
  </sheetViews>
  <sheetFormatPr defaultColWidth="10" defaultRowHeight="13.5" customHeight="1"/>
  <cols>
    <col min="1" max="1" width="7.125" style="25" customWidth="1"/>
    <col min="2" max="2" width="10" style="52" customWidth="1"/>
    <col min="3" max="3" width="10" style="52" hidden="1" customWidth="1"/>
    <col min="4" max="4" width="10" style="52" customWidth="1" collapsed="1"/>
    <col min="5" max="5" width="10" style="52" customWidth="1"/>
    <col min="6" max="7" width="10" style="52" hidden="1" customWidth="1"/>
    <col min="8" max="8" width="15.75" style="52" customWidth="1"/>
    <col min="9" max="9" width="10" style="52" customWidth="1"/>
    <col min="10" max="10" width="10" style="52" hidden="1" customWidth="1"/>
    <col min="11" max="11" width="10" style="52" customWidth="1" collapsed="1"/>
    <col min="12" max="12" width="10" style="52" customWidth="1"/>
    <col min="13" max="14" width="10" style="52" hidden="1" customWidth="1"/>
    <col min="15" max="15" width="15.75" style="52" customWidth="1"/>
    <col min="16" max="16" width="10" style="52" customWidth="1"/>
    <col min="17" max="17" width="10" style="52" hidden="1" customWidth="1"/>
    <col min="18" max="18" width="10" style="52" customWidth="1" collapsed="1"/>
    <col min="19" max="19" width="10" style="52" customWidth="1"/>
    <col min="20" max="21" width="10" style="52" hidden="1" customWidth="1"/>
    <col min="22" max="22" width="15.75" style="52" customWidth="1"/>
    <col min="23" max="16384" width="10" style="49"/>
  </cols>
  <sheetData>
    <row r="1" spans="1:22" ht="13.5" customHeight="1">
      <c r="A1" s="1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</row>
    <row r="4" spans="1:22" ht="13.5" customHeight="1">
      <c r="A4" s="21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</row>
    <row r="5" spans="1:22" ht="13.5" customHeight="1">
      <c r="A5" s="165" t="s">
        <v>159</v>
      </c>
      <c r="B5" s="167" t="s">
        <v>155</v>
      </c>
      <c r="C5" s="168"/>
      <c r="D5" s="168"/>
      <c r="E5" s="168"/>
      <c r="F5" s="169"/>
      <c r="G5" s="167" t="s">
        <v>91</v>
      </c>
      <c r="H5" s="169"/>
      <c r="I5" s="170" t="s">
        <v>160</v>
      </c>
      <c r="J5" s="171"/>
      <c r="K5" s="171"/>
      <c r="L5" s="171"/>
      <c r="M5" s="172"/>
      <c r="N5" s="170" t="s">
        <v>91</v>
      </c>
      <c r="O5" s="172"/>
      <c r="P5" s="163" t="s">
        <v>156</v>
      </c>
      <c r="Q5" s="173"/>
      <c r="R5" s="173"/>
      <c r="S5" s="173"/>
      <c r="T5" s="164"/>
      <c r="U5" s="163" t="s">
        <v>91</v>
      </c>
      <c r="V5" s="164"/>
    </row>
    <row r="6" spans="1:22" ht="13.5" customHeight="1">
      <c r="A6" s="166"/>
      <c r="B6" s="53" t="s">
        <v>23</v>
      </c>
      <c r="C6" s="53" t="s">
        <v>161</v>
      </c>
      <c r="D6" s="53" t="s">
        <v>73</v>
      </c>
      <c r="E6" s="53" t="s">
        <v>24</v>
      </c>
      <c r="F6" s="53" t="s">
        <v>162</v>
      </c>
      <c r="G6" s="53" t="s">
        <v>163</v>
      </c>
      <c r="H6" s="53" t="s">
        <v>164</v>
      </c>
      <c r="I6" s="54" t="s">
        <v>23</v>
      </c>
      <c r="J6" s="54" t="s">
        <v>161</v>
      </c>
      <c r="K6" s="54" t="s">
        <v>165</v>
      </c>
      <c r="L6" s="54" t="s">
        <v>24</v>
      </c>
      <c r="M6" s="54" t="s">
        <v>162</v>
      </c>
      <c r="N6" s="54" t="s">
        <v>163</v>
      </c>
      <c r="O6" s="54" t="s">
        <v>164</v>
      </c>
      <c r="P6" s="55" t="s">
        <v>23</v>
      </c>
      <c r="Q6" s="55" t="s">
        <v>161</v>
      </c>
      <c r="R6" s="55" t="s">
        <v>165</v>
      </c>
      <c r="S6" s="55" t="s">
        <v>24</v>
      </c>
      <c r="T6" s="55" t="s">
        <v>162</v>
      </c>
      <c r="U6" s="55" t="s">
        <v>163</v>
      </c>
      <c r="V6" s="55" t="s">
        <v>164</v>
      </c>
    </row>
    <row r="7" spans="1:22" ht="13.5" customHeight="1">
      <c r="A7" s="25">
        <v>1</v>
      </c>
      <c r="B7" s="51">
        <v>25000000</v>
      </c>
      <c r="C7" s="51">
        <v>1.0000000000000001E-5</v>
      </c>
      <c r="D7" s="51">
        <v>1.0000000000000001E-5</v>
      </c>
      <c r="E7" s="52">
        <v>1000</v>
      </c>
      <c r="H7" s="52">
        <v>1000</v>
      </c>
      <c r="I7" s="51"/>
      <c r="J7" s="51"/>
      <c r="K7" s="51"/>
    </row>
    <row r="8" spans="1:22" ht="13.5" customHeight="1">
      <c r="A8" s="25">
        <v>2</v>
      </c>
      <c r="B8" s="51">
        <v>22400000</v>
      </c>
      <c r="C8" s="51">
        <v>1.0000000000000001E-5</v>
      </c>
      <c r="D8" s="51">
        <v>1.0000000000000001E-5</v>
      </c>
      <c r="E8" s="52">
        <f>1.767*2</f>
        <v>3.5339999999999998</v>
      </c>
      <c r="H8" s="52">
        <f>0.2485*2</f>
        <v>0.497</v>
      </c>
      <c r="I8" s="51"/>
      <c r="J8" s="51"/>
      <c r="K8" s="51"/>
    </row>
    <row r="9" spans="1:22" ht="13.5" customHeight="1">
      <c r="B9" s="51"/>
      <c r="C9" s="51"/>
      <c r="D9" s="51"/>
      <c r="I9" s="51"/>
      <c r="J9" s="51"/>
      <c r="K9" s="51"/>
    </row>
    <row r="10" spans="1:22" ht="13.5" customHeight="1">
      <c r="B10" s="51"/>
      <c r="C10" s="51"/>
      <c r="D10" s="51"/>
      <c r="I10" s="51"/>
      <c r="J10" s="51"/>
      <c r="K10" s="51"/>
    </row>
    <row r="11" spans="1:22" ht="13.5" customHeight="1">
      <c r="B11" s="51"/>
      <c r="C11" s="51"/>
      <c r="D11" s="51"/>
      <c r="I11" s="51"/>
      <c r="J11" s="51"/>
      <c r="K11" s="51"/>
    </row>
    <row r="12" spans="1:22" ht="13.5" customHeight="1">
      <c r="B12" s="51"/>
      <c r="C12" s="51"/>
      <c r="D12" s="51"/>
    </row>
    <row r="13" spans="1:22" ht="13.5" customHeight="1">
      <c r="B13" s="51"/>
      <c r="C13" s="51"/>
      <c r="D13" s="51"/>
    </row>
    <row r="14" spans="1:22" ht="13.5" customHeight="1">
      <c r="B14" s="51"/>
      <c r="C14" s="51"/>
      <c r="D14" s="51"/>
    </row>
    <row r="15" spans="1:22" ht="13.5" customHeight="1">
      <c r="B15" s="51"/>
      <c r="C15" s="51"/>
      <c r="D15" s="51"/>
    </row>
    <row r="16" spans="1:22" ht="13.5" customHeight="1">
      <c r="B16" s="51"/>
      <c r="C16" s="51"/>
      <c r="D16" s="51"/>
    </row>
    <row r="17" spans="2:4" ht="13.5" customHeight="1">
      <c r="B17" s="51"/>
      <c r="C17" s="51"/>
      <c r="D17" s="51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P34" sqref="P34"/>
    </sheetView>
  </sheetViews>
  <sheetFormatPr defaultColWidth="11" defaultRowHeight="13.5" customHeight="1"/>
  <cols>
    <col min="1" max="1" width="11" style="36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6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74" t="s">
        <v>53</v>
      </c>
      <c r="B5" s="175" t="s">
        <v>49</v>
      </c>
      <c r="C5" s="175"/>
      <c r="D5" s="175"/>
      <c r="E5" s="175"/>
      <c r="F5" s="175"/>
      <c r="G5" s="175"/>
      <c r="H5" s="176" t="s">
        <v>50</v>
      </c>
      <c r="I5" s="176"/>
      <c r="J5" s="176"/>
      <c r="K5" s="176"/>
      <c r="L5" s="176"/>
      <c r="M5" s="176"/>
      <c r="N5" s="177" t="s">
        <v>52</v>
      </c>
      <c r="O5" s="177"/>
      <c r="P5" s="177"/>
      <c r="Q5" s="177"/>
      <c r="R5" s="177"/>
      <c r="S5" s="177"/>
    </row>
    <row r="6" spans="1:19" ht="13.5" customHeight="1">
      <c r="A6" s="174"/>
      <c r="B6" s="57" t="s">
        <v>27</v>
      </c>
      <c r="C6" s="53" t="s">
        <v>28</v>
      </c>
      <c r="D6" s="53" t="s">
        <v>29</v>
      </c>
      <c r="E6" s="53" t="s">
        <v>30</v>
      </c>
      <c r="F6" s="53" t="s">
        <v>31</v>
      </c>
      <c r="G6" s="53" t="s">
        <v>32</v>
      </c>
      <c r="H6" s="58" t="s">
        <v>27</v>
      </c>
      <c r="I6" s="55" t="s">
        <v>28</v>
      </c>
      <c r="J6" s="55" t="s">
        <v>29</v>
      </c>
      <c r="K6" s="55" t="s">
        <v>30</v>
      </c>
      <c r="L6" s="55" t="s">
        <v>31</v>
      </c>
      <c r="M6" s="55" t="s">
        <v>32</v>
      </c>
      <c r="N6" s="59" t="s">
        <v>27</v>
      </c>
      <c r="O6" s="54" t="s">
        <v>28</v>
      </c>
      <c r="P6" s="54" t="s">
        <v>29</v>
      </c>
      <c r="Q6" s="54" t="s">
        <v>30</v>
      </c>
      <c r="R6" s="54" t="s">
        <v>31</v>
      </c>
      <c r="S6" s="54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0"/>
  <sheetViews>
    <sheetView zoomScaleNormal="100" workbookViewId="0">
      <selection sqref="A1:XFD1048576"/>
    </sheetView>
  </sheetViews>
  <sheetFormatPr defaultRowHeight="13.5"/>
  <cols>
    <col min="1" max="1" width="9" style="61"/>
    <col min="2" max="2" width="9" style="63"/>
    <col min="3" max="14" width="9" style="61"/>
    <col min="15" max="16384" width="9" style="62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0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74" t="s">
        <v>53</v>
      </c>
      <c r="B4" s="174" t="s">
        <v>166</v>
      </c>
      <c r="C4" s="178" t="s">
        <v>96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</row>
    <row r="5" spans="1:14" s="19" customFormat="1" ht="13.5" customHeight="1">
      <c r="A5" s="174"/>
      <c r="B5" s="174"/>
      <c r="C5" s="119" t="s">
        <v>167</v>
      </c>
      <c r="D5" s="119" t="s">
        <v>97</v>
      </c>
      <c r="E5" s="119" t="s">
        <v>98</v>
      </c>
      <c r="F5" s="119" t="s">
        <v>99</v>
      </c>
      <c r="G5" s="119" t="s">
        <v>100</v>
      </c>
      <c r="H5" s="119" t="s">
        <v>101</v>
      </c>
      <c r="I5" s="119" t="s">
        <v>102</v>
      </c>
      <c r="J5" s="119" t="s">
        <v>103</v>
      </c>
      <c r="K5" s="119" t="s">
        <v>104</v>
      </c>
      <c r="L5" s="119" t="s">
        <v>105</v>
      </c>
      <c r="M5" s="119" t="s">
        <v>106</v>
      </c>
      <c r="N5" s="119" t="s">
        <v>107</v>
      </c>
    </row>
    <row r="6" spans="1:14" s="19" customFormat="1" ht="13.5" customHeight="1">
      <c r="A6" s="25">
        <v>2</v>
      </c>
      <c r="B6" s="24">
        <v>3</v>
      </c>
      <c r="C6" s="25">
        <v>2.2000000000000002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</row>
    <row r="7" spans="1:14">
      <c r="A7" s="61">
        <v>3</v>
      </c>
      <c r="B7" s="63">
        <v>1.5</v>
      </c>
      <c r="C7" s="61">
        <v>0.8</v>
      </c>
    </row>
    <row r="10" spans="1:14">
      <c r="C10" s="25"/>
      <c r="D10" s="25"/>
      <c r="E10" s="25"/>
      <c r="F10" s="25"/>
      <c r="G10" s="25"/>
      <c r="H10" s="25"/>
      <c r="I10" s="25"/>
      <c r="J10" s="25"/>
      <c r="K10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7"/>
  <sheetViews>
    <sheetView zoomScaleNormal="100" workbookViewId="0">
      <selection sqref="A1:XFD1048576"/>
    </sheetView>
  </sheetViews>
  <sheetFormatPr defaultRowHeight="13.5" customHeight="1"/>
  <cols>
    <col min="1" max="1" width="9" style="36" customWidth="1"/>
    <col min="2" max="3" width="9" style="66" customWidth="1"/>
    <col min="4" max="5" width="9" style="66" hidden="1" customWidth="1"/>
    <col min="6" max="6" width="9" style="67" customWidth="1"/>
    <col min="7" max="7" width="9" style="66" customWidth="1"/>
    <col min="8" max="8" width="9" style="68" hidden="1" customWidth="1"/>
    <col min="9" max="9" width="9" style="66" hidden="1" customWidth="1"/>
    <col min="10" max="11" width="9" style="66" customWidth="1"/>
    <col min="12" max="13" width="9" style="66" hidden="1" customWidth="1"/>
    <col min="14" max="235" width="9" style="19" customWidth="1"/>
    <col min="236" max="16384" width="9" style="19"/>
  </cols>
  <sheetData>
    <row r="1" spans="1:13" ht="13.5" customHeight="1">
      <c r="A1" s="18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</row>
    <row r="2" spans="1:13" ht="13.5" customHeight="1">
      <c r="A2" s="20" t="s">
        <v>79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</row>
    <row r="3" spans="1:13" ht="13.5" customHeight="1">
      <c r="A3" s="20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</row>
    <row r="4" spans="1:13" ht="13.5" customHeight="1">
      <c r="A4" s="27"/>
      <c r="B4" s="28" t="s">
        <v>54</v>
      </c>
      <c r="C4" s="65"/>
      <c r="D4" s="65"/>
      <c r="E4" s="65"/>
      <c r="F4" s="65"/>
      <c r="G4" s="65"/>
      <c r="H4" s="65"/>
      <c r="I4" s="28"/>
      <c r="J4" s="65"/>
      <c r="K4" s="65"/>
      <c r="L4" s="65"/>
      <c r="M4" s="28"/>
    </row>
    <row r="5" spans="1:13" ht="13.5" customHeight="1">
      <c r="A5" s="179" t="s">
        <v>53</v>
      </c>
      <c r="B5" s="163" t="s">
        <v>155</v>
      </c>
      <c r="C5" s="173"/>
      <c r="D5" s="173"/>
      <c r="E5" s="164"/>
      <c r="F5" s="182" t="s">
        <v>57</v>
      </c>
      <c r="G5" s="183"/>
      <c r="H5" s="183"/>
      <c r="I5" s="184"/>
      <c r="J5" s="185" t="s">
        <v>168</v>
      </c>
      <c r="K5" s="186"/>
      <c r="L5" s="186"/>
      <c r="M5" s="187"/>
    </row>
    <row r="6" spans="1:13" ht="13.5" customHeight="1">
      <c r="A6" s="180"/>
      <c r="B6" s="163" t="s">
        <v>33</v>
      </c>
      <c r="C6" s="173"/>
      <c r="D6" s="164"/>
      <c r="E6" s="69" t="s">
        <v>55</v>
      </c>
      <c r="F6" s="182" t="s">
        <v>33</v>
      </c>
      <c r="G6" s="183"/>
      <c r="H6" s="184"/>
      <c r="I6" s="70" t="s">
        <v>55</v>
      </c>
      <c r="J6" s="185" t="s">
        <v>33</v>
      </c>
      <c r="K6" s="186"/>
      <c r="L6" s="187"/>
      <c r="M6" s="71" t="s">
        <v>55</v>
      </c>
    </row>
    <row r="7" spans="1:13" ht="13.5" customHeight="1">
      <c r="A7" s="181"/>
      <c r="B7" s="120" t="s">
        <v>150</v>
      </c>
      <c r="C7" s="120" t="s">
        <v>151</v>
      </c>
      <c r="D7" s="120" t="s">
        <v>153</v>
      </c>
      <c r="E7" s="120" t="s">
        <v>56</v>
      </c>
      <c r="F7" s="122" t="s">
        <v>150</v>
      </c>
      <c r="G7" s="72" t="s">
        <v>151</v>
      </c>
      <c r="H7" s="123" t="s">
        <v>153</v>
      </c>
      <c r="I7" s="72" t="s">
        <v>56</v>
      </c>
      <c r="J7" s="73" t="s">
        <v>150</v>
      </c>
      <c r="K7" s="73" t="s">
        <v>151</v>
      </c>
      <c r="L7" s="73" t="s">
        <v>153</v>
      </c>
      <c r="M7" s="73" t="s">
        <v>56</v>
      </c>
    </row>
    <row r="8" spans="1:13" ht="13.5" customHeight="1">
      <c r="A8" s="36">
        <v>5</v>
      </c>
      <c r="B8" s="66">
        <v>0</v>
      </c>
      <c r="C8" s="66">
        <v>0</v>
      </c>
      <c r="F8" s="66">
        <v>0</v>
      </c>
      <c r="G8" s="66">
        <v>0</v>
      </c>
    </row>
    <row r="9" spans="1:13" ht="13.5" customHeight="1">
      <c r="A9" s="36">
        <v>6</v>
      </c>
      <c r="B9" s="66">
        <f>19400*2</f>
        <v>38800</v>
      </c>
      <c r="C9" s="66">
        <f>14137*2</f>
        <v>28274</v>
      </c>
      <c r="F9" s="66">
        <f>38800*2</f>
        <v>77600</v>
      </c>
      <c r="G9" s="66">
        <f>28274*2</f>
        <v>56548</v>
      </c>
    </row>
    <row r="10" spans="1:13" ht="13.5" customHeight="1">
      <c r="A10" s="36">
        <v>7</v>
      </c>
      <c r="B10" s="66">
        <f>5170*2</f>
        <v>10340</v>
      </c>
      <c r="C10" s="66">
        <f>3770*2</f>
        <v>7540</v>
      </c>
      <c r="F10" s="66">
        <f>10350*2</f>
        <v>20700</v>
      </c>
      <c r="G10" s="66">
        <f>7540*2</f>
        <v>15080</v>
      </c>
    </row>
    <row r="11" spans="1:13" ht="13.5" customHeight="1">
      <c r="A11" s="36">
        <v>8</v>
      </c>
      <c r="B11" s="66">
        <f>32340*2</f>
        <v>64680</v>
      </c>
      <c r="C11" s="66">
        <f>23562*2</f>
        <v>47124</v>
      </c>
      <c r="F11" s="66">
        <f>64670*2</f>
        <v>129340</v>
      </c>
      <c r="G11" s="66">
        <f>47124*2</f>
        <v>94248</v>
      </c>
    </row>
    <row r="12" spans="1:13" ht="13.5" customHeight="1">
      <c r="A12" s="36">
        <v>9</v>
      </c>
      <c r="B12" s="66">
        <f>58720*2</f>
        <v>117440</v>
      </c>
      <c r="C12" s="66">
        <f>42788*2</f>
        <v>85576</v>
      </c>
      <c r="F12" s="66">
        <f>117440*2</f>
        <v>234880</v>
      </c>
      <c r="G12" s="66">
        <f>85577*2</f>
        <v>171154</v>
      </c>
    </row>
    <row r="13" spans="1:13" ht="13.5" customHeight="1">
      <c r="A13" s="36">
        <v>10</v>
      </c>
      <c r="B13" s="66">
        <f>B12</f>
        <v>117440</v>
      </c>
      <c r="C13" s="66">
        <v>0</v>
      </c>
      <c r="F13" s="66">
        <f>F12</f>
        <v>234880</v>
      </c>
      <c r="G13" s="66">
        <v>0</v>
      </c>
    </row>
    <row r="14" spans="1:13" ht="13.5" customHeight="1">
      <c r="A14" s="36">
        <v>12</v>
      </c>
      <c r="B14" s="66">
        <v>0</v>
      </c>
      <c r="C14" s="66">
        <v>0</v>
      </c>
      <c r="F14" s="66">
        <v>0</v>
      </c>
      <c r="G14" s="66">
        <v>0</v>
      </c>
    </row>
    <row r="15" spans="1:13" ht="13.5" customHeight="1">
      <c r="A15" s="36">
        <v>13</v>
      </c>
      <c r="B15" s="66">
        <f>19400*2</f>
        <v>38800</v>
      </c>
      <c r="C15" s="66">
        <f>14137*2</f>
        <v>28274</v>
      </c>
      <c r="F15" s="66">
        <f>38800*2</f>
        <v>77600</v>
      </c>
      <c r="G15" s="66">
        <f>28274*2</f>
        <v>56548</v>
      </c>
    </row>
    <row r="16" spans="1:13" ht="13.5" customHeight="1">
      <c r="A16" s="36">
        <v>14</v>
      </c>
      <c r="B16" s="66">
        <f>5170*2</f>
        <v>10340</v>
      </c>
      <c r="C16" s="66">
        <f>3770*2</f>
        <v>7540</v>
      </c>
      <c r="F16" s="66">
        <f>10350*2</f>
        <v>20700</v>
      </c>
      <c r="G16" s="66">
        <f>7540*2</f>
        <v>15080</v>
      </c>
    </row>
    <row r="17" spans="1:7" ht="13.5" customHeight="1">
      <c r="A17" s="36">
        <v>15</v>
      </c>
      <c r="B17" s="66">
        <f>32340*2</f>
        <v>64680</v>
      </c>
      <c r="C17" s="66">
        <f>23562*2</f>
        <v>47124</v>
      </c>
      <c r="F17" s="66">
        <f>64670*2</f>
        <v>129340</v>
      </c>
      <c r="G17" s="66">
        <f>47124*2</f>
        <v>94248</v>
      </c>
    </row>
    <row r="18" spans="1:7" ht="13.5" customHeight="1">
      <c r="A18" s="36">
        <v>16</v>
      </c>
      <c r="B18" s="66">
        <f>58720*2</f>
        <v>117440</v>
      </c>
      <c r="C18" s="66">
        <f>42788*2</f>
        <v>85576</v>
      </c>
      <c r="F18" s="66">
        <f>117440*2</f>
        <v>234880</v>
      </c>
      <c r="G18" s="66">
        <f>85577*2</f>
        <v>171154</v>
      </c>
    </row>
    <row r="19" spans="1:7" ht="13.5" customHeight="1">
      <c r="A19" s="36">
        <v>17</v>
      </c>
      <c r="B19" s="66">
        <f>B18</f>
        <v>117440</v>
      </c>
      <c r="C19" s="66">
        <v>0</v>
      </c>
      <c r="F19" s="66">
        <f>F18</f>
        <v>234880</v>
      </c>
      <c r="G19" s="66">
        <v>0</v>
      </c>
    </row>
    <row r="20" spans="1:7" ht="13.5" customHeight="1">
      <c r="F20" s="66"/>
    </row>
    <row r="21" spans="1:7" ht="13.5" customHeight="1">
      <c r="F21" s="66"/>
    </row>
    <row r="22" spans="1:7" ht="13.5" customHeight="1">
      <c r="F22" s="66"/>
    </row>
    <row r="23" spans="1:7" ht="13.5" customHeight="1">
      <c r="F23" s="66"/>
    </row>
    <row r="24" spans="1:7" ht="13.5" customHeight="1">
      <c r="F24" s="66"/>
    </row>
    <row r="25" spans="1:7" ht="13.5" customHeight="1">
      <c r="F25" s="66"/>
    </row>
    <row r="26" spans="1:7" ht="13.5" customHeight="1">
      <c r="F26" s="66"/>
    </row>
    <row r="27" spans="1:7" ht="13.5" customHeight="1">
      <c r="F27" s="66"/>
    </row>
    <row r="28" spans="1:7" ht="13.5" customHeight="1">
      <c r="F28" s="66"/>
    </row>
    <row r="29" spans="1:7" ht="13.5" customHeight="1">
      <c r="F29" s="66"/>
    </row>
    <row r="30" spans="1:7" ht="13.5" customHeight="1">
      <c r="F30" s="66"/>
    </row>
    <row r="31" spans="1:7" ht="13.5" customHeight="1">
      <c r="F31" s="66"/>
    </row>
    <row r="32" spans="1:7" ht="13.5" customHeight="1">
      <c r="F32" s="66"/>
    </row>
    <row r="33" spans="6:6" ht="13.5" customHeight="1">
      <c r="F33" s="66"/>
    </row>
    <row r="34" spans="6:6" ht="13.5" customHeight="1">
      <c r="F34" s="66"/>
    </row>
    <row r="35" spans="6:6" ht="13.5" customHeight="1">
      <c r="F35" s="66"/>
    </row>
    <row r="36" spans="6:6" ht="13.5" customHeight="1">
      <c r="F36" s="66"/>
    </row>
    <row r="37" spans="6:6" ht="13.5" customHeight="1">
      <c r="F37" s="66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="60" zoomScaleNormal="85" workbookViewId="0">
      <selection activeCell="Q23" sqref="Q23"/>
    </sheetView>
  </sheetViews>
  <sheetFormatPr defaultRowHeight="13.5" customHeight="1"/>
  <cols>
    <col min="1" max="1" width="9" style="135" bestFit="1" customWidth="1"/>
    <col min="2" max="2" width="7.5" style="138" bestFit="1" customWidth="1"/>
    <col min="3" max="3" width="9.75" style="139" bestFit="1" customWidth="1"/>
    <col min="4" max="4" width="38.875" style="138" bestFit="1" customWidth="1"/>
    <col min="5" max="5" width="5.25" style="138" bestFit="1" customWidth="1"/>
    <col min="6" max="6" width="5.125" style="138" bestFit="1" customWidth="1"/>
    <col min="7" max="8" width="5.25" style="138" bestFit="1" customWidth="1"/>
    <col min="9" max="16384" width="9" style="133"/>
  </cols>
  <sheetData>
    <row r="1" spans="1:8" s="129" customFormat="1" ht="13.5" customHeight="1">
      <c r="A1" s="126"/>
      <c r="B1" s="127"/>
      <c r="C1" s="128"/>
      <c r="D1" s="127"/>
      <c r="E1" s="127"/>
      <c r="F1" s="127"/>
      <c r="G1" s="127"/>
      <c r="H1" s="127"/>
    </row>
    <row r="2" spans="1:8" s="129" customFormat="1" ht="13.5" customHeight="1">
      <c r="A2" s="130" t="s">
        <v>66</v>
      </c>
      <c r="C2" s="131"/>
    </row>
    <row r="3" spans="1:8" s="129" customFormat="1" ht="13.5" customHeight="1">
      <c r="A3" s="132"/>
      <c r="C3" s="131"/>
    </row>
    <row r="4" spans="1:8" ht="13.5" customHeight="1">
      <c r="A4" s="189" t="s">
        <v>58</v>
      </c>
      <c r="B4" s="188" t="s">
        <v>59</v>
      </c>
      <c r="C4" s="188" t="s">
        <v>60</v>
      </c>
      <c r="D4" s="188" t="s">
        <v>61</v>
      </c>
      <c r="E4" s="188" t="s">
        <v>62</v>
      </c>
      <c r="F4" s="188"/>
      <c r="G4" s="188"/>
      <c r="H4" s="188"/>
    </row>
    <row r="5" spans="1:8" ht="13.5" customHeight="1">
      <c r="A5" s="189"/>
      <c r="B5" s="188"/>
      <c r="C5" s="188"/>
      <c r="D5" s="188"/>
      <c r="E5" s="134" t="s">
        <v>63</v>
      </c>
      <c r="F5" s="134" t="s">
        <v>169</v>
      </c>
      <c r="G5" s="134" t="s">
        <v>64</v>
      </c>
      <c r="H5" s="134" t="s">
        <v>65</v>
      </c>
    </row>
    <row r="6" spans="1:8" ht="13.5" customHeight="1">
      <c r="A6" s="135">
        <v>1</v>
      </c>
      <c r="B6" s="136">
        <v>1</v>
      </c>
      <c r="C6" s="137" t="s">
        <v>145</v>
      </c>
      <c r="D6" s="136" t="s">
        <v>170</v>
      </c>
      <c r="E6" s="136">
        <v>1</v>
      </c>
      <c r="F6" s="138">
        <v>1</v>
      </c>
      <c r="G6" s="138">
        <v>1</v>
      </c>
      <c r="H6" s="138">
        <v>1</v>
      </c>
    </row>
    <row r="7" spans="1:8" ht="13.5" customHeight="1">
      <c r="A7" s="135">
        <v>1</v>
      </c>
      <c r="B7" s="136">
        <v>2</v>
      </c>
      <c r="C7" s="137" t="s">
        <v>146</v>
      </c>
      <c r="D7" s="136" t="s">
        <v>171</v>
      </c>
      <c r="E7" s="136">
        <v>1</v>
      </c>
      <c r="F7" s="138">
        <v>1</v>
      </c>
      <c r="G7" s="138">
        <v>1</v>
      </c>
      <c r="H7" s="138">
        <v>1</v>
      </c>
    </row>
    <row r="8" spans="1:8" ht="13.5" customHeight="1">
      <c r="A8" s="135">
        <v>1</v>
      </c>
      <c r="B8" s="136">
        <v>3</v>
      </c>
      <c r="C8" s="137" t="s">
        <v>172</v>
      </c>
      <c r="D8" s="136" t="s">
        <v>173</v>
      </c>
      <c r="E8" s="136">
        <v>1</v>
      </c>
      <c r="F8" s="138">
        <v>1</v>
      </c>
      <c r="G8" s="138">
        <v>1</v>
      </c>
      <c r="H8" s="138">
        <v>1</v>
      </c>
    </row>
    <row r="9" spans="1:8" ht="13.5" customHeight="1">
      <c r="A9" s="135">
        <v>1</v>
      </c>
      <c r="B9" s="136">
        <v>4</v>
      </c>
      <c r="C9" s="137" t="s">
        <v>174</v>
      </c>
      <c r="D9" s="136" t="s">
        <v>175</v>
      </c>
      <c r="E9" s="136">
        <v>1</v>
      </c>
      <c r="F9" s="138">
        <v>1</v>
      </c>
      <c r="G9" s="138">
        <v>1</v>
      </c>
      <c r="H9" s="138">
        <v>1</v>
      </c>
    </row>
    <row r="10" spans="1:8" ht="13.5" customHeight="1">
      <c r="A10" s="135">
        <v>1</v>
      </c>
      <c r="B10" s="136">
        <v>5</v>
      </c>
      <c r="C10" s="137" t="s">
        <v>176</v>
      </c>
      <c r="D10" s="136" t="s">
        <v>177</v>
      </c>
      <c r="E10" s="136">
        <v>2</v>
      </c>
      <c r="F10" s="138">
        <v>2</v>
      </c>
      <c r="G10" s="138">
        <v>1</v>
      </c>
      <c r="H10" s="138">
        <v>1</v>
      </c>
    </row>
    <row r="11" spans="1:8" ht="13.5" customHeight="1">
      <c r="A11" s="135">
        <v>1</v>
      </c>
      <c r="B11" s="136">
        <v>6</v>
      </c>
      <c r="C11" s="137" t="s">
        <v>178</v>
      </c>
      <c r="D11" s="136" t="s">
        <v>179</v>
      </c>
      <c r="E11" s="136">
        <v>2</v>
      </c>
      <c r="F11" s="138">
        <v>2</v>
      </c>
      <c r="G11" s="138">
        <v>1</v>
      </c>
      <c r="H11" s="138">
        <v>1</v>
      </c>
    </row>
    <row r="12" spans="1:8" ht="13.5" customHeight="1">
      <c r="A12" s="135">
        <v>1</v>
      </c>
      <c r="B12" s="136">
        <v>7</v>
      </c>
      <c r="C12" s="137" t="s">
        <v>180</v>
      </c>
      <c r="D12" s="136" t="s">
        <v>181</v>
      </c>
      <c r="E12" s="136">
        <v>2</v>
      </c>
      <c r="F12" s="138">
        <v>2</v>
      </c>
      <c r="G12" s="138">
        <v>1</v>
      </c>
      <c r="H12" s="138">
        <v>1</v>
      </c>
    </row>
    <row r="13" spans="1:8" ht="13.5" customHeight="1">
      <c r="A13" s="135">
        <v>1</v>
      </c>
      <c r="B13" s="136">
        <v>8</v>
      </c>
      <c r="C13" s="137" t="s">
        <v>182</v>
      </c>
      <c r="D13" s="136" t="s">
        <v>183</v>
      </c>
      <c r="E13" s="136">
        <v>2</v>
      </c>
      <c r="F13" s="138">
        <v>2</v>
      </c>
      <c r="G13" s="138">
        <v>1</v>
      </c>
      <c r="H13" s="138">
        <v>1</v>
      </c>
    </row>
    <row r="14" spans="1:8" ht="13.5" customHeight="1">
      <c r="A14" s="135">
        <v>1</v>
      </c>
      <c r="B14" s="136">
        <v>9</v>
      </c>
      <c r="C14" s="137" t="s">
        <v>184</v>
      </c>
      <c r="D14" s="136" t="s">
        <v>185</v>
      </c>
      <c r="E14" s="136">
        <v>2</v>
      </c>
      <c r="F14" s="138">
        <v>2</v>
      </c>
      <c r="G14" s="138">
        <v>1</v>
      </c>
      <c r="H14" s="138">
        <v>1</v>
      </c>
    </row>
    <row r="15" spans="1:8" ht="13.5" customHeight="1">
      <c r="A15" s="135">
        <v>1</v>
      </c>
      <c r="B15" s="136">
        <v>10</v>
      </c>
      <c r="C15" s="137" t="s">
        <v>186</v>
      </c>
      <c r="D15" s="136" t="s">
        <v>187</v>
      </c>
      <c r="E15" s="136">
        <v>2</v>
      </c>
      <c r="F15" s="138">
        <v>2</v>
      </c>
      <c r="G15" s="138">
        <v>1</v>
      </c>
      <c r="H15" s="138">
        <v>1</v>
      </c>
    </row>
    <row r="16" spans="1:8" ht="13.5" customHeight="1">
      <c r="A16" s="135">
        <v>1</v>
      </c>
      <c r="B16" s="136">
        <v>11</v>
      </c>
      <c r="C16" s="137" t="s">
        <v>188</v>
      </c>
      <c r="D16" s="136" t="s">
        <v>187</v>
      </c>
      <c r="E16" s="136">
        <v>2</v>
      </c>
      <c r="F16" s="138">
        <v>2</v>
      </c>
      <c r="G16" s="138">
        <v>1</v>
      </c>
      <c r="H16" s="138">
        <v>1</v>
      </c>
    </row>
    <row r="17" spans="1:8" ht="13.5" customHeight="1">
      <c r="A17" s="135">
        <v>1</v>
      </c>
      <c r="B17" s="136">
        <v>12</v>
      </c>
      <c r="C17" s="137" t="s">
        <v>189</v>
      </c>
      <c r="D17" s="136" t="s">
        <v>190</v>
      </c>
      <c r="E17" s="136">
        <v>2</v>
      </c>
      <c r="F17" s="138">
        <v>2</v>
      </c>
      <c r="G17" s="138">
        <v>1</v>
      </c>
      <c r="H17" s="138">
        <v>1</v>
      </c>
    </row>
    <row r="18" spans="1:8" ht="13.5" customHeight="1">
      <c r="A18" s="135">
        <v>1</v>
      </c>
      <c r="B18" s="136">
        <v>13</v>
      </c>
      <c r="C18" s="137" t="s">
        <v>191</v>
      </c>
      <c r="D18" s="136" t="s">
        <v>190</v>
      </c>
      <c r="E18" s="136">
        <v>2</v>
      </c>
      <c r="F18" s="138">
        <v>2</v>
      </c>
      <c r="G18" s="138">
        <v>1</v>
      </c>
      <c r="H18" s="138">
        <v>1</v>
      </c>
    </row>
    <row r="19" spans="1:8" ht="13.5" customHeight="1">
      <c r="A19" s="135">
        <v>1</v>
      </c>
      <c r="B19" s="136">
        <v>14</v>
      </c>
      <c r="C19" s="137" t="s">
        <v>192</v>
      </c>
      <c r="D19" s="136" t="s">
        <v>193</v>
      </c>
      <c r="E19" s="136">
        <v>2</v>
      </c>
      <c r="F19" s="138">
        <v>2</v>
      </c>
      <c r="G19" s="138">
        <v>1</v>
      </c>
      <c r="H19" s="138">
        <v>1</v>
      </c>
    </row>
    <row r="20" spans="1:8" ht="13.5" customHeight="1">
      <c r="A20" s="135">
        <v>1</v>
      </c>
      <c r="B20" s="136">
        <v>15</v>
      </c>
      <c r="C20" s="137" t="s">
        <v>194</v>
      </c>
      <c r="D20" s="136" t="s">
        <v>193</v>
      </c>
      <c r="E20" s="136">
        <v>2</v>
      </c>
      <c r="F20" s="138">
        <v>2</v>
      </c>
      <c r="G20" s="138">
        <v>1</v>
      </c>
      <c r="H20" s="138">
        <v>1</v>
      </c>
    </row>
    <row r="21" spans="1:8" ht="13.5" customHeight="1">
      <c r="A21" s="135">
        <v>1</v>
      </c>
      <c r="B21" s="136">
        <v>16</v>
      </c>
      <c r="C21" s="137" t="s">
        <v>195</v>
      </c>
      <c r="D21" s="136" t="s">
        <v>193</v>
      </c>
      <c r="E21" s="136">
        <v>2</v>
      </c>
      <c r="F21" s="138">
        <v>2</v>
      </c>
      <c r="G21" s="138">
        <v>1</v>
      </c>
      <c r="H21" s="138">
        <v>1</v>
      </c>
    </row>
    <row r="22" spans="1:8" ht="13.5" customHeight="1">
      <c r="A22" s="135">
        <v>1</v>
      </c>
      <c r="B22" s="136">
        <v>17</v>
      </c>
      <c r="C22" s="137" t="s">
        <v>196</v>
      </c>
      <c r="D22" s="136" t="s">
        <v>197</v>
      </c>
      <c r="E22" s="136">
        <v>2</v>
      </c>
      <c r="F22" s="138">
        <v>2</v>
      </c>
      <c r="G22" s="138">
        <v>1</v>
      </c>
      <c r="H22" s="138">
        <v>1</v>
      </c>
    </row>
    <row r="23" spans="1:8" ht="13.5" customHeight="1">
      <c r="A23" s="135">
        <v>1</v>
      </c>
      <c r="B23" s="136">
        <v>18</v>
      </c>
      <c r="C23" s="137" t="s">
        <v>198</v>
      </c>
      <c r="D23" s="136" t="s">
        <v>199</v>
      </c>
      <c r="E23" s="136">
        <v>1</v>
      </c>
      <c r="F23" s="138">
        <v>1</v>
      </c>
      <c r="G23" s="138">
        <v>1</v>
      </c>
      <c r="H23" s="138">
        <v>1</v>
      </c>
    </row>
    <row r="24" spans="1:8" ht="13.5" customHeight="1">
      <c r="A24" s="135">
        <v>1</v>
      </c>
      <c r="B24" s="136">
        <v>19</v>
      </c>
      <c r="C24" s="137" t="s">
        <v>200</v>
      </c>
      <c r="D24" s="136" t="s">
        <v>201</v>
      </c>
      <c r="E24" s="136">
        <v>1</v>
      </c>
      <c r="F24" s="138">
        <v>1</v>
      </c>
      <c r="G24" s="138">
        <v>1</v>
      </c>
      <c r="H24" s="138">
        <v>1</v>
      </c>
    </row>
    <row r="25" spans="1:8" ht="13.5" customHeight="1">
      <c r="A25" s="135">
        <v>1</v>
      </c>
      <c r="B25" s="136">
        <v>20</v>
      </c>
      <c r="C25" s="137" t="s">
        <v>202</v>
      </c>
      <c r="D25" s="136" t="s">
        <v>203</v>
      </c>
      <c r="E25" s="136">
        <v>1</v>
      </c>
      <c r="F25" s="138">
        <v>1</v>
      </c>
      <c r="G25" s="138">
        <v>1</v>
      </c>
      <c r="H25" s="138">
        <v>1</v>
      </c>
    </row>
    <row r="26" spans="1:8" ht="13.5" customHeight="1">
      <c r="A26" s="135">
        <v>1</v>
      </c>
      <c r="B26" s="136">
        <v>21</v>
      </c>
      <c r="C26" s="137" t="s">
        <v>204</v>
      </c>
      <c r="D26" s="136" t="s">
        <v>205</v>
      </c>
      <c r="E26" s="136">
        <v>2</v>
      </c>
      <c r="F26" s="138">
        <v>2</v>
      </c>
      <c r="G26" s="138">
        <v>1</v>
      </c>
      <c r="H26" s="138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27"/>
  <sheetViews>
    <sheetView zoomScaleNormal="100" zoomScaleSheetLayoutView="100" workbookViewId="0">
      <pane ySplit="6" topLeftCell="A7" activePane="bottomLeft" state="frozen"/>
      <selection pane="bottomLeft" sqref="A1:XFD1048576"/>
    </sheetView>
  </sheetViews>
  <sheetFormatPr defaultRowHeight="13.5" customHeight="1"/>
  <cols>
    <col min="1" max="1" width="7.125" style="25" customWidth="1"/>
    <col min="2" max="5" width="7.125" style="43" customWidth="1"/>
    <col min="6" max="7" width="9" style="77" customWidth="1"/>
    <col min="8" max="9" width="9" style="25" customWidth="1"/>
    <col min="10" max="10" width="7.125" style="43" customWidth="1"/>
    <col min="11" max="12" width="9" style="25" customWidth="1"/>
    <col min="13" max="15" width="9" style="25" hidden="1" customWidth="1"/>
    <col min="16" max="16" width="9" style="25" customWidth="1"/>
    <col min="17" max="16384" width="9" style="49"/>
  </cols>
  <sheetData>
    <row r="1" spans="1:16" s="19" customFormat="1" ht="13.5" customHeight="1">
      <c r="A1" s="18"/>
      <c r="B1" s="74"/>
      <c r="C1" s="74"/>
      <c r="D1" s="74"/>
      <c r="E1" s="74"/>
      <c r="F1" s="75"/>
      <c r="G1" s="75"/>
      <c r="H1" s="64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144</v>
      </c>
      <c r="B2" s="32"/>
      <c r="C2" s="32"/>
      <c r="D2" s="32"/>
      <c r="E2" s="32"/>
      <c r="F2" s="75"/>
      <c r="G2" s="75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76"/>
      <c r="G3" s="76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91" t="s">
        <v>59</v>
      </c>
      <c r="B4" s="192" t="s">
        <v>69</v>
      </c>
      <c r="C4" s="192"/>
      <c r="D4" s="192"/>
      <c r="E4" s="192"/>
      <c r="F4" s="192"/>
      <c r="G4" s="192"/>
      <c r="H4" s="192"/>
      <c r="I4" s="192"/>
      <c r="J4" s="190" t="s">
        <v>70</v>
      </c>
      <c r="K4" s="190"/>
      <c r="L4" s="190"/>
      <c r="M4" s="190"/>
      <c r="N4" s="190"/>
      <c r="O4" s="190"/>
      <c r="P4" s="190"/>
    </row>
    <row r="5" spans="1:16" ht="13.5" customHeight="1">
      <c r="A5" s="191"/>
      <c r="B5" s="192" t="s">
        <v>67</v>
      </c>
      <c r="C5" s="192" t="s">
        <v>68</v>
      </c>
      <c r="D5" s="193" t="s">
        <v>77</v>
      </c>
      <c r="E5" s="192" t="s">
        <v>206</v>
      </c>
      <c r="F5" s="194" t="s">
        <v>167</v>
      </c>
      <c r="G5" s="194" t="s">
        <v>207</v>
      </c>
      <c r="H5" s="192" t="s">
        <v>208</v>
      </c>
      <c r="I5" s="192" t="s">
        <v>209</v>
      </c>
      <c r="J5" s="190" t="s">
        <v>37</v>
      </c>
      <c r="K5" s="190" t="s">
        <v>35</v>
      </c>
      <c r="L5" s="190"/>
      <c r="M5" s="190"/>
      <c r="N5" s="190" t="s">
        <v>36</v>
      </c>
      <c r="O5" s="190"/>
      <c r="P5" s="190"/>
    </row>
    <row r="6" spans="1:16" ht="13.5" customHeight="1">
      <c r="A6" s="191"/>
      <c r="B6" s="192"/>
      <c r="C6" s="192"/>
      <c r="D6" s="192"/>
      <c r="E6" s="192"/>
      <c r="F6" s="194"/>
      <c r="G6" s="194"/>
      <c r="H6" s="192"/>
      <c r="I6" s="192"/>
      <c r="J6" s="190"/>
      <c r="K6" s="124" t="s">
        <v>150</v>
      </c>
      <c r="L6" s="124" t="s">
        <v>151</v>
      </c>
      <c r="M6" s="124" t="s">
        <v>153</v>
      </c>
      <c r="N6" s="124" t="s">
        <v>150</v>
      </c>
      <c r="O6" s="124" t="s">
        <v>151</v>
      </c>
      <c r="P6" s="124" t="s">
        <v>153</v>
      </c>
    </row>
    <row r="7" spans="1:16" ht="13.5" customHeight="1">
      <c r="A7" s="25">
        <v>1</v>
      </c>
      <c r="J7" s="43">
        <v>3</v>
      </c>
      <c r="K7" s="25">
        <v>0</v>
      </c>
      <c r="L7" s="25">
        <v>5434.75</v>
      </c>
      <c r="P7" s="25">
        <v>-1875.39</v>
      </c>
    </row>
    <row r="8" spans="1:16" ht="13.5" customHeight="1">
      <c r="A8" s="25">
        <v>2</v>
      </c>
      <c r="J8" s="43">
        <v>3</v>
      </c>
      <c r="K8" s="25">
        <v>0</v>
      </c>
      <c r="L8" s="25">
        <v>5096.6399999999994</v>
      </c>
      <c r="P8" s="25">
        <v>-5739.22</v>
      </c>
    </row>
    <row r="9" spans="1:16" ht="13.5" customHeight="1">
      <c r="A9" s="25">
        <v>3</v>
      </c>
      <c r="J9" s="43">
        <v>3</v>
      </c>
      <c r="K9" s="25">
        <v>0</v>
      </c>
      <c r="L9" s="25">
        <v>-2379.38</v>
      </c>
      <c r="P9" s="25">
        <v>1784.54</v>
      </c>
    </row>
    <row r="10" spans="1:16" ht="13.5" customHeight="1">
      <c r="A10" s="25">
        <v>4</v>
      </c>
      <c r="J10" s="43">
        <v>3</v>
      </c>
      <c r="K10" s="25">
        <v>0</v>
      </c>
      <c r="L10" s="25">
        <v>-3071.25</v>
      </c>
      <c r="P10" s="25">
        <v>2303.44</v>
      </c>
    </row>
    <row r="11" spans="1:16" ht="13.5" customHeight="1">
      <c r="A11" s="25">
        <v>5</v>
      </c>
      <c r="J11" s="43">
        <v>3</v>
      </c>
      <c r="K11" s="25">
        <v>0</v>
      </c>
      <c r="L11" s="25">
        <v>913.96</v>
      </c>
      <c r="P11" s="25">
        <v>127.95</v>
      </c>
    </row>
    <row r="12" spans="1:16" ht="13.5" customHeight="1">
      <c r="A12" s="25">
        <v>6</v>
      </c>
      <c r="J12" s="43">
        <v>3</v>
      </c>
      <c r="K12" s="25">
        <v>0</v>
      </c>
      <c r="L12" s="25">
        <v>1035.51668</v>
      </c>
      <c r="P12" s="25">
        <v>144.97</v>
      </c>
    </row>
    <row r="13" spans="1:16" ht="13.5" customHeight="1">
      <c r="A13" s="25">
        <v>7</v>
      </c>
      <c r="J13" s="43">
        <v>3</v>
      </c>
      <c r="K13" s="25">
        <v>0</v>
      </c>
      <c r="L13" s="25">
        <v>1075.73092</v>
      </c>
      <c r="P13" s="25">
        <v>150.6</v>
      </c>
    </row>
    <row r="14" spans="1:16" ht="13.5" customHeight="1">
      <c r="A14" s="25">
        <v>8</v>
      </c>
      <c r="J14" s="43">
        <v>3</v>
      </c>
      <c r="L14" s="25">
        <v>1075.73092</v>
      </c>
      <c r="P14" s="25">
        <v>150.6</v>
      </c>
    </row>
    <row r="15" spans="1:16" ht="13.5" customHeight="1">
      <c r="A15" s="25">
        <v>9</v>
      </c>
      <c r="J15" s="43">
        <v>3</v>
      </c>
      <c r="L15" s="25">
        <v>1075.73092</v>
      </c>
      <c r="P15" s="25">
        <v>150.6</v>
      </c>
    </row>
    <row r="16" spans="1:16" ht="13.5" customHeight="1">
      <c r="A16" s="25">
        <v>10</v>
      </c>
      <c r="J16" s="43">
        <v>3</v>
      </c>
      <c r="K16" s="25">
        <v>100</v>
      </c>
      <c r="L16" s="25">
        <v>0</v>
      </c>
      <c r="P16" s="25">
        <v>515</v>
      </c>
    </row>
    <row r="17" spans="1:16" ht="13.5" customHeight="1">
      <c r="A17" s="25">
        <v>11</v>
      </c>
      <c r="J17" s="43">
        <v>3</v>
      </c>
      <c r="K17" s="25">
        <v>125</v>
      </c>
      <c r="L17" s="25">
        <v>0</v>
      </c>
      <c r="P17" s="25">
        <v>643.75</v>
      </c>
    </row>
    <row r="18" spans="1:16" ht="13.5" customHeight="1">
      <c r="A18" s="25">
        <v>12</v>
      </c>
      <c r="J18" s="43">
        <v>3</v>
      </c>
      <c r="K18" s="25">
        <v>424.61</v>
      </c>
      <c r="L18" s="25">
        <v>0</v>
      </c>
      <c r="P18" s="25">
        <v>2348.9899999999998</v>
      </c>
    </row>
    <row r="19" spans="1:16" ht="13.5" customHeight="1">
      <c r="A19" s="25">
        <v>13</v>
      </c>
      <c r="J19" s="43">
        <v>3</v>
      </c>
      <c r="K19" s="25">
        <v>490.38</v>
      </c>
      <c r="L19" s="25">
        <v>0</v>
      </c>
      <c r="P19" s="25">
        <v>2703.93</v>
      </c>
    </row>
    <row r="20" spans="1:16" ht="13.5" customHeight="1">
      <c r="A20" s="25">
        <v>14</v>
      </c>
      <c r="J20" s="43">
        <v>3</v>
      </c>
      <c r="K20" s="25">
        <v>674.61</v>
      </c>
      <c r="L20" s="25">
        <v>0</v>
      </c>
      <c r="P20" s="25">
        <v>3636.49</v>
      </c>
    </row>
    <row r="21" spans="1:16" ht="13.5" customHeight="1">
      <c r="A21" s="25">
        <v>15</v>
      </c>
      <c r="J21" s="43">
        <v>3</v>
      </c>
      <c r="K21" s="25">
        <v>704.23</v>
      </c>
      <c r="L21" s="25">
        <v>0</v>
      </c>
      <c r="P21" s="25">
        <v>3789.03</v>
      </c>
    </row>
    <row r="22" spans="1:16" ht="13.5" customHeight="1">
      <c r="A22" s="25">
        <v>16</v>
      </c>
      <c r="J22" s="43">
        <v>3</v>
      </c>
      <c r="K22" s="25">
        <v>747.34</v>
      </c>
      <c r="L22" s="25">
        <v>0</v>
      </c>
      <c r="P22" s="25">
        <v>4027.27</v>
      </c>
    </row>
    <row r="23" spans="1:16" ht="13.5" customHeight="1">
      <c r="A23" s="25">
        <v>17</v>
      </c>
      <c r="J23" s="43">
        <v>3</v>
      </c>
      <c r="K23" s="25">
        <v>695.23</v>
      </c>
      <c r="L23" s="25">
        <v>0</v>
      </c>
      <c r="P23" s="25">
        <v>3742.68</v>
      </c>
    </row>
    <row r="24" spans="1:16" ht="13.5" customHeight="1">
      <c r="A24" s="25">
        <v>18</v>
      </c>
      <c r="J24" s="43">
        <v>3</v>
      </c>
      <c r="K24" s="25">
        <v>679.27</v>
      </c>
      <c r="L24" s="25">
        <v>569.98</v>
      </c>
      <c r="P24" s="25">
        <v>-1555.51</v>
      </c>
    </row>
    <row r="25" spans="1:16" ht="13.5" customHeight="1">
      <c r="A25" s="25">
        <v>19</v>
      </c>
      <c r="J25" s="43">
        <v>3</v>
      </c>
      <c r="K25" s="25">
        <v>428.93</v>
      </c>
      <c r="L25" s="25">
        <v>359.93</v>
      </c>
      <c r="P25" s="25">
        <v>-813.5</v>
      </c>
    </row>
    <row r="26" spans="1:16" ht="13.5" customHeight="1">
      <c r="A26" s="25">
        <v>20</v>
      </c>
      <c r="J26" s="43">
        <v>3</v>
      </c>
      <c r="K26" s="25">
        <v>396.68</v>
      </c>
      <c r="L26" s="25">
        <v>332.85</v>
      </c>
      <c r="P26" s="25">
        <v>-813.87</v>
      </c>
    </row>
    <row r="27" spans="1:16" ht="13.5" customHeight="1">
      <c r="A27" s="25">
        <v>21</v>
      </c>
      <c r="J27" s="43">
        <v>3</v>
      </c>
      <c r="K27" s="25">
        <v>114.28</v>
      </c>
      <c r="L27" s="25">
        <v>95.89</v>
      </c>
      <c r="P27" s="25">
        <v>-144.66999999999999</v>
      </c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4" zoomScaleNormal="100" workbookViewId="0">
      <selection activeCell="AH41" sqref="AH40:AH41"/>
    </sheetView>
  </sheetViews>
  <sheetFormatPr defaultColWidth="8.875" defaultRowHeight="14.25" customHeight="1"/>
  <cols>
    <col min="1" max="4" width="8.875" style="49"/>
    <col min="5" max="8" width="2.75" style="49" customWidth="1"/>
    <col min="9" max="37" width="2.875" style="49" customWidth="1"/>
    <col min="38" max="16384" width="8.875" style="49"/>
  </cols>
  <sheetData>
    <row r="2" spans="2:37" ht="14.25" customHeight="1">
      <c r="B2" s="78" t="s">
        <v>38</v>
      </c>
    </row>
    <row r="4" spans="2:37" ht="14.25" customHeight="1">
      <c r="B4" s="195" t="s">
        <v>39</v>
      </c>
      <c r="C4" s="196"/>
      <c r="D4" s="91" t="s">
        <v>75</v>
      </c>
    </row>
    <row r="5" spans="2:37" ht="14.25" customHeight="1">
      <c r="B5" s="79"/>
      <c r="C5" s="80" t="s">
        <v>40</v>
      </c>
      <c r="D5" s="91" t="s">
        <v>147</v>
      </c>
    </row>
    <row r="6" spans="2:37" ht="14.25" customHeight="1">
      <c r="B6" s="81"/>
      <c r="C6" s="82" t="s">
        <v>41</v>
      </c>
      <c r="D6" s="92">
        <v>2</v>
      </c>
    </row>
    <row r="7" spans="2:37" ht="14.25" customHeight="1">
      <c r="B7" s="195" t="s">
        <v>42</v>
      </c>
      <c r="C7" s="196"/>
      <c r="D7" s="91" t="s">
        <v>75</v>
      </c>
    </row>
    <row r="8" spans="2:37" ht="14.25" customHeight="1">
      <c r="B8" s="79"/>
      <c r="C8" s="80" t="s">
        <v>40</v>
      </c>
      <c r="D8" s="91" t="s">
        <v>147</v>
      </c>
    </row>
    <row r="9" spans="2:37" ht="14.25" customHeight="1">
      <c r="B9" s="81"/>
      <c r="C9" s="82" t="s">
        <v>41</v>
      </c>
      <c r="D9" s="93">
        <v>2</v>
      </c>
      <c r="I9" s="197"/>
      <c r="J9" s="197"/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  <c r="V9" s="197"/>
      <c r="W9" s="197"/>
      <c r="X9" s="197"/>
      <c r="Y9" s="197"/>
      <c r="Z9" s="197"/>
      <c r="AA9" s="197"/>
      <c r="AB9" s="197"/>
      <c r="AC9" s="197"/>
      <c r="AD9" s="197"/>
      <c r="AE9" s="197"/>
      <c r="AF9" s="197"/>
      <c r="AG9" s="197"/>
      <c r="AH9" s="197"/>
      <c r="AI9" s="197"/>
      <c r="AJ9" s="197"/>
      <c r="AK9" s="197"/>
    </row>
    <row r="10" spans="2:37" ht="14.25" customHeight="1">
      <c r="B10" s="195" t="s">
        <v>81</v>
      </c>
      <c r="C10" s="196"/>
      <c r="D10" s="91" t="s">
        <v>75</v>
      </c>
      <c r="I10" s="197"/>
      <c r="J10" s="197"/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7"/>
      <c r="Z10" s="197"/>
      <c r="AA10" s="197"/>
      <c r="AB10" s="197"/>
      <c r="AC10" s="197"/>
      <c r="AD10" s="197"/>
      <c r="AE10" s="197"/>
      <c r="AF10" s="197"/>
      <c r="AG10" s="197"/>
      <c r="AH10" s="197"/>
      <c r="AI10" s="197"/>
      <c r="AJ10" s="197"/>
      <c r="AK10" s="197"/>
    </row>
    <row r="11" spans="2:37" ht="14.25" customHeight="1">
      <c r="B11" s="81"/>
      <c r="C11" s="83" t="s">
        <v>43</v>
      </c>
      <c r="D11" s="91">
        <v>30</v>
      </c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197"/>
      <c r="AG11" s="197"/>
      <c r="AH11" s="197"/>
      <c r="AI11" s="197"/>
      <c r="AJ11" s="197"/>
      <c r="AK11" s="197"/>
    </row>
    <row r="12" spans="2:37" ht="14.25" customHeight="1">
      <c r="D12" s="84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</row>
    <row r="13" spans="2:37" ht="14.25" customHeight="1">
      <c r="B13" s="85" t="s">
        <v>44</v>
      </c>
      <c r="C13" s="86"/>
      <c r="D13" s="87"/>
      <c r="I13" s="197"/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  <c r="V13" s="197"/>
      <c r="W13" s="197"/>
      <c r="X13" s="197"/>
      <c r="Y13" s="197"/>
      <c r="Z13" s="197"/>
      <c r="AA13" s="197"/>
      <c r="AB13" s="197"/>
      <c r="AC13" s="197"/>
      <c r="AD13" s="197"/>
      <c r="AE13" s="197"/>
      <c r="AF13" s="197"/>
      <c r="AG13" s="197"/>
      <c r="AH13" s="197"/>
      <c r="AI13" s="197"/>
      <c r="AJ13" s="197"/>
      <c r="AK13" s="197"/>
    </row>
    <row r="14" spans="2:37" ht="14.25" customHeight="1">
      <c r="B14" s="88"/>
      <c r="C14" s="89" t="s">
        <v>20</v>
      </c>
      <c r="D14" s="91">
        <v>180</v>
      </c>
      <c r="I14" s="197"/>
      <c r="J14" s="197"/>
      <c r="K14" s="197"/>
      <c r="L14" s="197"/>
      <c r="M14" s="197"/>
      <c r="N14" s="197"/>
      <c r="O14" s="197"/>
      <c r="P14" s="197"/>
      <c r="Q14" s="197"/>
      <c r="R14" s="197"/>
      <c r="S14" s="197"/>
      <c r="T14" s="197"/>
      <c r="U14" s="197"/>
      <c r="V14" s="197"/>
      <c r="W14" s="197"/>
      <c r="X14" s="197"/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197"/>
      <c r="AK14" s="197"/>
    </row>
    <row r="15" spans="2:37" ht="14.25" customHeight="1">
      <c r="B15" s="88"/>
      <c r="C15" s="89" t="s">
        <v>21</v>
      </c>
      <c r="D15" s="91">
        <v>0</v>
      </c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</row>
    <row r="16" spans="2:37" ht="14.25" customHeight="1">
      <c r="B16" s="90"/>
      <c r="C16" s="89" t="s">
        <v>22</v>
      </c>
      <c r="D16" s="91">
        <v>0</v>
      </c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</row>
    <row r="17" spans="3:37" ht="14.25" customHeight="1">
      <c r="I17" s="197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197"/>
      <c r="AJ17" s="197"/>
      <c r="AK17" s="197"/>
    </row>
    <row r="18" spans="3:37" ht="14.25" customHeight="1">
      <c r="I18" s="197"/>
      <c r="J18" s="197"/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197"/>
      <c r="AC18" s="197"/>
      <c r="AD18" s="197"/>
      <c r="AE18" s="197"/>
      <c r="AF18" s="197"/>
      <c r="AG18" s="197"/>
      <c r="AH18" s="197"/>
      <c r="AI18" s="197"/>
      <c r="AJ18" s="197"/>
      <c r="AK18" s="197"/>
    </row>
    <row r="19" spans="3:37" ht="14.25" customHeight="1">
      <c r="I19" s="197"/>
      <c r="J19" s="197"/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</row>
    <row r="20" spans="3:37" ht="14.25" customHeight="1">
      <c r="I20" s="197"/>
      <c r="J20" s="197"/>
      <c r="K20" s="197"/>
      <c r="L20" s="197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197"/>
      <c r="AC20" s="197"/>
      <c r="AD20" s="197"/>
      <c r="AE20" s="197"/>
      <c r="AF20" s="197"/>
      <c r="AG20" s="197"/>
      <c r="AH20" s="197"/>
      <c r="AI20" s="197"/>
      <c r="AJ20" s="197"/>
      <c r="AK20" s="197"/>
    </row>
    <row r="21" spans="3:37" ht="14.25" customHeight="1"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197"/>
      <c r="X21" s="197"/>
      <c r="Y21" s="197"/>
      <c r="Z21" s="197"/>
      <c r="AA21" s="197"/>
      <c r="AB21" s="197"/>
      <c r="AC21" s="197"/>
      <c r="AD21" s="197"/>
      <c r="AE21" s="197"/>
      <c r="AF21" s="197"/>
      <c r="AG21" s="197"/>
      <c r="AH21" s="197"/>
      <c r="AI21" s="197"/>
      <c r="AJ21" s="197"/>
      <c r="AK21" s="197"/>
    </row>
    <row r="22" spans="3:37" ht="14.25" customHeight="1"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</row>
    <row r="23" spans="3:37" ht="14.25" customHeight="1">
      <c r="I23" s="197"/>
      <c r="J23" s="197"/>
      <c r="K23" s="197"/>
      <c r="L23" s="197"/>
      <c r="M23" s="197"/>
      <c r="N23" s="197"/>
      <c r="O23" s="197"/>
      <c r="P23" s="197"/>
      <c r="Q23" s="197"/>
      <c r="R23" s="197"/>
      <c r="S23" s="197"/>
      <c r="T23" s="197"/>
      <c r="U23" s="197"/>
      <c r="V23" s="197"/>
      <c r="W23" s="197"/>
      <c r="X23" s="197"/>
      <c r="Y23" s="197"/>
      <c r="Z23" s="197"/>
      <c r="AA23" s="197"/>
      <c r="AB23" s="197"/>
      <c r="AC23" s="197"/>
      <c r="AD23" s="197"/>
      <c r="AE23" s="197"/>
      <c r="AF23" s="197"/>
      <c r="AG23" s="197"/>
      <c r="AH23" s="197"/>
      <c r="AI23" s="197"/>
      <c r="AJ23" s="197"/>
      <c r="AK23" s="197"/>
    </row>
    <row r="24" spans="3:37" ht="14.25" customHeight="1">
      <c r="C24" s="89" t="s">
        <v>59</v>
      </c>
      <c r="D24" s="91">
        <v>1</v>
      </c>
      <c r="I24" s="197"/>
      <c r="J24" s="197"/>
      <c r="K24" s="197"/>
      <c r="L24" s="197"/>
      <c r="M24" s="197"/>
      <c r="N24" s="197"/>
      <c r="O24" s="197"/>
      <c r="P24" s="197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197"/>
      <c r="AC24" s="197"/>
      <c r="AD24" s="197"/>
      <c r="AE24" s="197"/>
      <c r="AF24" s="197"/>
      <c r="AG24" s="197"/>
      <c r="AH24" s="197"/>
      <c r="AI24" s="197"/>
      <c r="AJ24" s="197"/>
      <c r="AK24" s="197"/>
    </row>
    <row r="25" spans="3:37" ht="14.25" customHeight="1">
      <c r="I25" s="197"/>
      <c r="J25" s="197"/>
      <c r="K25" s="197"/>
      <c r="L25" s="197"/>
      <c r="M25" s="197"/>
      <c r="N25" s="197"/>
      <c r="O25" s="197"/>
      <c r="P25" s="197"/>
      <c r="Q25" s="197"/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197"/>
      <c r="AG25" s="197"/>
      <c r="AH25" s="197"/>
      <c r="AI25" s="197"/>
      <c r="AJ25" s="197"/>
      <c r="AK25" s="197"/>
    </row>
    <row r="26" spans="3:37" ht="14.25" customHeight="1">
      <c r="I26" s="197"/>
      <c r="J26" s="197"/>
      <c r="K26" s="197"/>
      <c r="L26" s="197"/>
      <c r="M26" s="197"/>
      <c r="N26" s="197"/>
      <c r="O26" s="197"/>
      <c r="P26" s="197"/>
      <c r="Q26" s="197"/>
      <c r="R26" s="197"/>
      <c r="S26" s="197"/>
      <c r="T26" s="197"/>
      <c r="U26" s="197"/>
      <c r="V26" s="197"/>
      <c r="W26" s="197"/>
      <c r="X26" s="197"/>
      <c r="Y26" s="197"/>
      <c r="Z26" s="197"/>
      <c r="AA26" s="197"/>
      <c r="AB26" s="197"/>
      <c r="AC26" s="197"/>
      <c r="AD26" s="197"/>
      <c r="AE26" s="197"/>
      <c r="AF26" s="197"/>
      <c r="AG26" s="197"/>
      <c r="AH26" s="197"/>
      <c r="AI26" s="197"/>
      <c r="AJ26" s="197"/>
      <c r="AK26" s="197"/>
    </row>
    <row r="27" spans="3:37" ht="14.25" customHeight="1">
      <c r="I27" s="197"/>
      <c r="J27" s="197"/>
      <c r="K27" s="197"/>
      <c r="L27" s="197"/>
      <c r="M27" s="197"/>
      <c r="N27" s="197"/>
      <c r="O27" s="197"/>
      <c r="P27" s="197"/>
      <c r="Q27" s="197"/>
      <c r="R27" s="197"/>
      <c r="S27" s="197"/>
      <c r="T27" s="197"/>
      <c r="U27" s="197"/>
      <c r="V27" s="197"/>
      <c r="W27" s="197"/>
      <c r="X27" s="197"/>
      <c r="Y27" s="197"/>
      <c r="Z27" s="197"/>
      <c r="AA27" s="197"/>
      <c r="AB27" s="197"/>
      <c r="AC27" s="197"/>
      <c r="AD27" s="197"/>
      <c r="AE27" s="197"/>
      <c r="AF27" s="197"/>
      <c r="AG27" s="197"/>
      <c r="AH27" s="197"/>
      <c r="AI27" s="197"/>
      <c r="AJ27" s="197"/>
      <c r="AK27" s="197"/>
    </row>
    <row r="28" spans="3:37" ht="14.25" customHeight="1">
      <c r="I28" s="197"/>
      <c r="J28" s="197"/>
      <c r="K28" s="197"/>
      <c r="L28" s="197"/>
      <c r="M28" s="197"/>
      <c r="N28" s="197"/>
      <c r="O28" s="197"/>
      <c r="P28" s="197"/>
      <c r="Q28" s="197"/>
      <c r="R28" s="197"/>
      <c r="S28" s="197"/>
      <c r="T28" s="197"/>
      <c r="U28" s="197"/>
      <c r="V28" s="197"/>
      <c r="W28" s="197"/>
      <c r="X28" s="197"/>
      <c r="Y28" s="197"/>
      <c r="Z28" s="197"/>
      <c r="AA28" s="197"/>
      <c r="AB28" s="197"/>
      <c r="AC28" s="197"/>
      <c r="AD28" s="197"/>
      <c r="AE28" s="197"/>
      <c r="AF28" s="197"/>
      <c r="AG28" s="197"/>
      <c r="AH28" s="197"/>
      <c r="AI28" s="197"/>
      <c r="AJ28" s="197"/>
      <c r="AK28" s="197"/>
    </row>
    <row r="29" spans="3:37" ht="14.25" customHeight="1">
      <c r="I29" s="197"/>
      <c r="J29" s="197"/>
      <c r="K29" s="197"/>
      <c r="L29" s="197"/>
      <c r="M29" s="197"/>
      <c r="N29" s="197"/>
      <c r="O29" s="197"/>
      <c r="P29" s="197"/>
      <c r="Q29" s="197"/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</row>
    <row r="30" spans="3:37" ht="14.25" customHeight="1">
      <c r="I30" s="197"/>
      <c r="J30" s="197"/>
      <c r="K30" s="197"/>
      <c r="L30" s="197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197"/>
      <c r="Z30" s="197"/>
      <c r="AA30" s="197"/>
      <c r="AB30" s="197"/>
      <c r="AC30" s="197"/>
      <c r="AD30" s="197"/>
      <c r="AE30" s="197"/>
      <c r="AF30" s="197"/>
      <c r="AG30" s="197"/>
      <c r="AH30" s="197"/>
      <c r="AI30" s="197"/>
      <c r="AJ30" s="197"/>
      <c r="AK30" s="197"/>
    </row>
    <row r="31" spans="3:37" ht="14.25" customHeight="1">
      <c r="I31" s="197"/>
      <c r="J31" s="197"/>
      <c r="K31" s="197"/>
      <c r="L31" s="197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7"/>
      <c r="AA31" s="197"/>
      <c r="AB31" s="197"/>
      <c r="AC31" s="197"/>
      <c r="AD31" s="197"/>
      <c r="AE31" s="197"/>
      <c r="AF31" s="197"/>
      <c r="AG31" s="197"/>
      <c r="AH31" s="197"/>
      <c r="AI31" s="197"/>
      <c r="AJ31" s="197"/>
      <c r="AK31" s="197"/>
    </row>
    <row r="32" spans="3:37" ht="14.25" customHeight="1">
      <c r="I32" s="197"/>
      <c r="J32" s="197"/>
      <c r="K32" s="197"/>
      <c r="L32" s="197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197"/>
      <c r="Z32" s="197"/>
      <c r="AA32" s="197"/>
      <c r="AB32" s="197"/>
      <c r="AC32" s="197"/>
      <c r="AD32" s="197"/>
      <c r="AE32" s="197"/>
      <c r="AF32" s="197"/>
      <c r="AG32" s="197"/>
      <c r="AH32" s="197"/>
      <c r="AI32" s="197"/>
      <c r="AJ32" s="197"/>
      <c r="AK32" s="197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25"/>
  <sheetViews>
    <sheetView zoomScale="85" zoomScaleNormal="85" workbookViewId="0">
      <selection sqref="A1:XFD1048576"/>
    </sheetView>
  </sheetViews>
  <sheetFormatPr defaultRowHeight="16.5" customHeight="1"/>
  <cols>
    <col min="1" max="1" width="9" style="146"/>
    <col min="2" max="16384" width="9" style="147"/>
  </cols>
  <sheetData>
    <row r="1" spans="1:17" s="141" customFormat="1" ht="16.5" customHeight="1">
      <c r="A1" s="140"/>
    </row>
    <row r="2" spans="1:17" s="141" customFormat="1" ht="16.5" customHeight="1">
      <c r="A2" s="142" t="s">
        <v>141</v>
      </c>
    </row>
    <row r="3" spans="1:17" s="144" customFormat="1" ht="16.5" customHeight="1">
      <c r="A3" s="143"/>
    </row>
    <row r="4" spans="1:17" s="97" customFormat="1" ht="16.5" customHeight="1">
      <c r="A4" s="101" t="s">
        <v>210</v>
      </c>
      <c r="B4" s="104" t="s">
        <v>211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03"/>
      <c r="O4" s="103"/>
      <c r="P4" s="103"/>
    </row>
    <row r="5" spans="1:17" s="100" customFormat="1" ht="16.5" customHeight="1">
      <c r="A5" s="98">
        <v>1</v>
      </c>
      <c r="B5" s="96">
        <v>1</v>
      </c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102"/>
      <c r="O5" s="102"/>
      <c r="P5" s="102"/>
      <c r="Q5" s="99"/>
    </row>
    <row r="6" spans="1:17" s="100" customFormat="1" ht="16.5" customHeight="1">
      <c r="A6" s="98">
        <v>2</v>
      </c>
      <c r="B6" s="96">
        <v>2</v>
      </c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102"/>
      <c r="O6" s="102"/>
      <c r="P6" s="102"/>
      <c r="Q6" s="99"/>
    </row>
    <row r="7" spans="1:17" s="100" customFormat="1" ht="16.5" customHeight="1">
      <c r="A7" s="98">
        <v>3</v>
      </c>
      <c r="B7" s="96">
        <v>3</v>
      </c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102"/>
      <c r="O7" s="102"/>
      <c r="P7" s="102"/>
      <c r="Q7" s="99"/>
    </row>
    <row r="8" spans="1:17" s="100" customFormat="1" ht="16.5" customHeight="1">
      <c r="A8" s="98">
        <v>4</v>
      </c>
      <c r="B8" s="96">
        <v>4</v>
      </c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102"/>
      <c r="O8" s="102"/>
      <c r="P8" s="102"/>
      <c r="Q8" s="99"/>
    </row>
    <row r="9" spans="1:17" ht="16.5" customHeight="1">
      <c r="A9" s="146">
        <v>5</v>
      </c>
      <c r="B9" s="147">
        <v>5</v>
      </c>
    </row>
    <row r="10" spans="1:17" ht="16.5" customHeight="1">
      <c r="A10" s="146">
        <v>6</v>
      </c>
      <c r="B10" s="147">
        <v>6</v>
      </c>
    </row>
    <row r="11" spans="1:17" ht="16.5" customHeight="1">
      <c r="A11" s="146">
        <v>7</v>
      </c>
      <c r="B11" s="147">
        <v>7</v>
      </c>
    </row>
    <row r="12" spans="1:17" ht="16.5" customHeight="1">
      <c r="A12" s="146">
        <v>8</v>
      </c>
      <c r="B12" s="147">
        <v>8</v>
      </c>
    </row>
    <row r="13" spans="1:17" ht="16.5" customHeight="1">
      <c r="A13" s="146">
        <v>9</v>
      </c>
      <c r="B13" s="147">
        <v>9</v>
      </c>
    </row>
    <row r="14" spans="1:17" ht="16.5" customHeight="1">
      <c r="A14" s="146">
        <v>10</v>
      </c>
      <c r="B14" s="147">
        <v>10</v>
      </c>
      <c r="C14" s="147">
        <v>-10</v>
      </c>
    </row>
    <row r="15" spans="1:17" ht="16.5" customHeight="1">
      <c r="A15" s="146">
        <v>11</v>
      </c>
      <c r="B15" s="147">
        <v>11</v>
      </c>
      <c r="C15" s="147">
        <v>-11</v>
      </c>
    </row>
    <row r="16" spans="1:17" ht="16.5" customHeight="1">
      <c r="A16" s="146">
        <v>12</v>
      </c>
      <c r="B16" s="147">
        <v>12</v>
      </c>
      <c r="C16" s="147">
        <v>-12</v>
      </c>
    </row>
    <row r="17" spans="1:3" ht="16.5" customHeight="1">
      <c r="A17" s="146">
        <v>13</v>
      </c>
      <c r="B17" s="147">
        <v>13</v>
      </c>
      <c r="C17" s="147">
        <v>-13</v>
      </c>
    </row>
    <row r="18" spans="1:3" ht="16.5" customHeight="1">
      <c r="A18" s="146">
        <v>14</v>
      </c>
      <c r="B18" s="147">
        <v>14</v>
      </c>
      <c r="C18" s="147">
        <v>-14</v>
      </c>
    </row>
    <row r="19" spans="1:3" ht="16.5" customHeight="1">
      <c r="A19" s="146">
        <v>15</v>
      </c>
      <c r="B19" s="147">
        <v>15</v>
      </c>
      <c r="C19" s="147">
        <v>-15</v>
      </c>
    </row>
    <row r="20" spans="1:3" ht="16.5" customHeight="1">
      <c r="A20" s="146">
        <v>16</v>
      </c>
      <c r="B20" s="147">
        <v>16</v>
      </c>
      <c r="C20" s="147">
        <v>-16</v>
      </c>
    </row>
    <row r="21" spans="1:3" ht="16.5" customHeight="1">
      <c r="A21" s="146">
        <v>17</v>
      </c>
      <c r="B21" s="147">
        <v>17</v>
      </c>
      <c r="C21" s="147">
        <v>-17</v>
      </c>
    </row>
    <row r="22" spans="1:3" ht="16.5" customHeight="1">
      <c r="A22" s="146">
        <v>18</v>
      </c>
      <c r="B22" s="147">
        <v>18</v>
      </c>
    </row>
    <row r="23" spans="1:3" ht="16.5" customHeight="1">
      <c r="A23" s="146">
        <v>19</v>
      </c>
      <c r="B23" s="147">
        <v>19</v>
      </c>
    </row>
    <row r="24" spans="1:3" ht="16.5" customHeight="1">
      <c r="A24" s="146">
        <v>20</v>
      </c>
      <c r="B24" s="147">
        <v>20</v>
      </c>
    </row>
    <row r="25" spans="1:3" ht="16.5" customHeight="1">
      <c r="A25" s="146">
        <v>21</v>
      </c>
      <c r="B25" s="147">
        <v>21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21"/>
  <sheetViews>
    <sheetView zoomScale="85" zoomScaleNormal="85" workbookViewId="0">
      <selection activeCell="B11" sqref="B11:V11"/>
    </sheetView>
  </sheetViews>
  <sheetFormatPr defaultRowHeight="15.75" customHeight="1"/>
  <cols>
    <col min="1" max="1" width="5.25" style="106" customWidth="1"/>
    <col min="2" max="22" width="5.875" style="108" customWidth="1"/>
    <col min="23" max="16384" width="9" style="108"/>
  </cols>
  <sheetData>
    <row r="1" spans="1:22" s="107" customFormat="1" ht="15.75" customHeight="1">
      <c r="A1" s="105"/>
    </row>
    <row r="2" spans="1:22" s="107" customFormat="1" ht="15.75" customHeight="1">
      <c r="A2" s="111" t="s">
        <v>142</v>
      </c>
    </row>
    <row r="3" spans="1:22" s="107" customFormat="1" ht="15.75" customHeight="1">
      <c r="A3" s="105"/>
    </row>
    <row r="4" spans="1:22" s="110" customFormat="1" ht="15.75" customHeight="1">
      <c r="A4" s="198" t="s">
        <v>212</v>
      </c>
      <c r="B4" s="109" t="s">
        <v>228</v>
      </c>
    </row>
    <row r="5" spans="1:22" s="106" customFormat="1" ht="15.75" customHeight="1">
      <c r="A5" s="199"/>
      <c r="B5" s="106">
        <v>1</v>
      </c>
      <c r="C5" s="106">
        <v>2</v>
      </c>
      <c r="D5" s="106">
        <v>3</v>
      </c>
      <c r="E5" s="106">
        <v>4</v>
      </c>
      <c r="F5" s="106">
        <v>5</v>
      </c>
      <c r="G5" s="106">
        <v>6</v>
      </c>
      <c r="H5" s="106">
        <v>7</v>
      </c>
      <c r="I5" s="106">
        <v>8</v>
      </c>
      <c r="J5" s="106">
        <v>9</v>
      </c>
      <c r="K5" s="106">
        <v>10</v>
      </c>
      <c r="L5" s="106">
        <v>11</v>
      </c>
      <c r="M5" s="106">
        <v>12</v>
      </c>
      <c r="N5" s="106">
        <v>13</v>
      </c>
      <c r="O5" s="106">
        <v>14</v>
      </c>
      <c r="P5" s="106">
        <v>15</v>
      </c>
      <c r="Q5" s="106">
        <v>16</v>
      </c>
      <c r="R5" s="106">
        <v>17</v>
      </c>
      <c r="S5" s="106">
        <v>18</v>
      </c>
      <c r="T5" s="106">
        <v>19</v>
      </c>
      <c r="U5" s="106">
        <v>20</v>
      </c>
      <c r="V5" s="106">
        <v>21</v>
      </c>
    </row>
    <row r="6" spans="1:22" ht="15.75" customHeight="1">
      <c r="A6" s="106">
        <v>1</v>
      </c>
      <c r="B6" s="148">
        <v>1.1000000000000001</v>
      </c>
      <c r="C6" s="148">
        <v>1.2</v>
      </c>
      <c r="D6" s="148"/>
      <c r="E6" s="148"/>
      <c r="F6" s="149"/>
      <c r="G6" s="150"/>
      <c r="H6" s="150">
        <v>1.1000000000000001</v>
      </c>
      <c r="I6" s="150"/>
      <c r="J6" s="150"/>
      <c r="K6" s="150"/>
      <c r="L6" s="150"/>
      <c r="M6" s="150"/>
      <c r="N6" s="150"/>
      <c r="O6" s="150">
        <v>1</v>
      </c>
      <c r="P6" s="150"/>
      <c r="Q6" s="150"/>
      <c r="R6" s="150"/>
      <c r="S6" s="150">
        <v>1</v>
      </c>
      <c r="T6" s="150"/>
      <c r="U6" s="150"/>
      <c r="V6" s="150">
        <v>1.1000000000000001</v>
      </c>
    </row>
    <row r="7" spans="1:22" ht="15.75" customHeight="1">
      <c r="A7" s="106">
        <v>2</v>
      </c>
      <c r="B7" s="150">
        <v>1.1000000000000001</v>
      </c>
      <c r="C7" s="150">
        <v>1.2</v>
      </c>
      <c r="D7" s="150"/>
      <c r="E7" s="150"/>
      <c r="F7" s="150"/>
      <c r="G7" s="150"/>
      <c r="H7" s="150">
        <v>1</v>
      </c>
      <c r="I7" s="150"/>
      <c r="J7" s="150"/>
      <c r="K7" s="150"/>
      <c r="L7" s="150"/>
      <c r="M7" s="150"/>
      <c r="N7" s="150"/>
      <c r="O7" s="150"/>
      <c r="P7" s="150">
        <v>1</v>
      </c>
      <c r="Q7" s="150"/>
      <c r="R7" s="150"/>
      <c r="S7" s="150">
        <v>1</v>
      </c>
      <c r="T7" s="150"/>
      <c r="U7" s="150"/>
      <c r="V7" s="150">
        <v>1.1000000000000001</v>
      </c>
    </row>
    <row r="8" spans="1:22" ht="15.75" customHeight="1">
      <c r="A8" s="106">
        <v>3</v>
      </c>
      <c r="B8" s="150">
        <v>1.1000000000000001</v>
      </c>
      <c r="C8" s="150">
        <v>1.2</v>
      </c>
      <c r="D8" s="150"/>
      <c r="E8" s="150"/>
      <c r="F8" s="150">
        <v>1</v>
      </c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>
        <v>1</v>
      </c>
      <c r="R8" s="150"/>
      <c r="S8" s="150">
        <v>1</v>
      </c>
      <c r="T8" s="150"/>
      <c r="U8" s="150"/>
      <c r="V8" s="150">
        <v>1.1000000000000001</v>
      </c>
    </row>
    <row r="9" spans="1:22" ht="15.75" customHeight="1">
      <c r="A9" s="106">
        <v>4</v>
      </c>
      <c r="B9" s="148">
        <v>0.9</v>
      </c>
      <c r="C9" s="148">
        <v>0.8</v>
      </c>
      <c r="D9" s="148"/>
      <c r="E9" s="148">
        <v>1</v>
      </c>
      <c r="F9" s="149"/>
      <c r="G9" s="150"/>
      <c r="H9" s="150"/>
      <c r="I9" s="150"/>
      <c r="J9" s="150">
        <v>1.1000000000000001</v>
      </c>
      <c r="K9" s="150"/>
      <c r="L9" s="150"/>
      <c r="M9" s="150"/>
      <c r="N9" s="150"/>
      <c r="O9" s="150">
        <v>1</v>
      </c>
      <c r="P9" s="150"/>
      <c r="Q9" s="150"/>
      <c r="R9" s="150"/>
      <c r="S9" s="150"/>
      <c r="T9" s="150"/>
      <c r="U9" s="150">
        <v>1</v>
      </c>
      <c r="V9" s="150">
        <v>1.1000000000000001</v>
      </c>
    </row>
    <row r="10" spans="1:22" ht="15.75" customHeight="1">
      <c r="A10" s="106">
        <v>5</v>
      </c>
      <c r="B10" s="148">
        <v>0.9</v>
      </c>
      <c r="C10" s="148">
        <v>0.8</v>
      </c>
      <c r="D10" s="150"/>
      <c r="E10" s="150">
        <v>1</v>
      </c>
      <c r="F10" s="150"/>
      <c r="G10" s="150"/>
      <c r="H10" s="150"/>
      <c r="I10" s="150"/>
      <c r="J10" s="150">
        <v>1</v>
      </c>
      <c r="K10" s="150"/>
      <c r="L10" s="150"/>
      <c r="M10" s="150"/>
      <c r="N10" s="150"/>
      <c r="O10" s="150"/>
      <c r="P10" s="150">
        <v>1</v>
      </c>
      <c r="Q10" s="150"/>
      <c r="R10" s="150"/>
      <c r="S10" s="150"/>
      <c r="T10" s="150"/>
      <c r="U10" s="150">
        <v>1</v>
      </c>
      <c r="V10" s="150">
        <v>1.1000000000000001</v>
      </c>
    </row>
    <row r="11" spans="1:22" ht="15.75" customHeight="1">
      <c r="A11" s="106">
        <v>6</v>
      </c>
      <c r="B11" s="148">
        <v>0.9</v>
      </c>
      <c r="C11" s="148">
        <v>0.8</v>
      </c>
      <c r="D11" s="150"/>
      <c r="E11" s="150">
        <v>1</v>
      </c>
      <c r="F11" s="150">
        <v>1</v>
      </c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>
        <v>1</v>
      </c>
      <c r="R11" s="150"/>
      <c r="S11" s="150"/>
      <c r="T11" s="150"/>
      <c r="U11" s="150">
        <v>1</v>
      </c>
      <c r="V11" s="150">
        <v>1.1000000000000001</v>
      </c>
    </row>
    <row r="12" spans="1:22" s="152" customFormat="1" ht="15.75" customHeight="1">
      <c r="A12" s="106">
        <v>7</v>
      </c>
      <c r="B12" s="151">
        <v>1</v>
      </c>
      <c r="C12" s="151">
        <v>1</v>
      </c>
      <c r="D12" s="151">
        <v>1</v>
      </c>
      <c r="E12" s="151"/>
      <c r="F12" s="151"/>
      <c r="G12" s="151"/>
      <c r="H12" s="151"/>
      <c r="I12" s="151">
        <v>1</v>
      </c>
      <c r="J12" s="151"/>
      <c r="K12" s="151"/>
      <c r="L12" s="151"/>
      <c r="M12" s="151"/>
      <c r="N12" s="151"/>
      <c r="O12" s="151"/>
      <c r="P12" s="151"/>
      <c r="Q12" s="151"/>
      <c r="R12" s="151">
        <v>1</v>
      </c>
      <c r="S12" s="151"/>
      <c r="T12" s="151">
        <v>1</v>
      </c>
      <c r="U12" s="151"/>
      <c r="V12" s="151">
        <v>1</v>
      </c>
    </row>
    <row r="13" spans="1:22" ht="15.75" customHeight="1">
      <c r="A13" s="106">
        <v>8</v>
      </c>
      <c r="B13" s="150">
        <v>1</v>
      </c>
      <c r="C13" s="150">
        <v>1</v>
      </c>
      <c r="D13" s="150">
        <v>1</v>
      </c>
      <c r="E13" s="150"/>
      <c r="F13" s="150"/>
      <c r="G13" s="150">
        <v>1</v>
      </c>
      <c r="H13" s="150"/>
      <c r="I13" s="150"/>
      <c r="J13" s="150"/>
      <c r="K13" s="150"/>
      <c r="L13" s="150">
        <v>1</v>
      </c>
      <c r="M13" s="150"/>
      <c r="N13" s="150"/>
      <c r="O13" s="150"/>
      <c r="P13" s="150"/>
      <c r="Q13" s="150"/>
      <c r="R13" s="150"/>
      <c r="S13" s="150"/>
      <c r="T13" s="150">
        <v>1</v>
      </c>
      <c r="U13" s="150"/>
      <c r="V13" s="150">
        <v>1</v>
      </c>
    </row>
    <row r="14" spans="1:22" ht="15.75" customHeight="1">
      <c r="A14" s="106">
        <v>9</v>
      </c>
      <c r="B14" s="150">
        <v>1</v>
      </c>
      <c r="C14" s="150">
        <v>1</v>
      </c>
      <c r="D14" s="150">
        <v>1</v>
      </c>
      <c r="E14" s="150"/>
      <c r="F14" s="150"/>
      <c r="G14" s="150"/>
      <c r="H14" s="150"/>
      <c r="I14" s="150"/>
      <c r="J14" s="150"/>
      <c r="K14" s="150">
        <v>1</v>
      </c>
      <c r="L14" s="150"/>
      <c r="M14" s="150"/>
      <c r="N14" s="150"/>
      <c r="O14" s="150"/>
      <c r="P14" s="150"/>
      <c r="Q14" s="150"/>
      <c r="R14" s="150"/>
      <c r="S14" s="150"/>
      <c r="T14" s="150">
        <v>1</v>
      </c>
      <c r="U14" s="150"/>
      <c r="V14" s="150"/>
    </row>
    <row r="15" spans="1:22" ht="15.75" customHeight="1">
      <c r="A15" s="106">
        <v>10</v>
      </c>
      <c r="B15" s="150"/>
      <c r="C15" s="150"/>
      <c r="D15" s="150"/>
      <c r="E15" s="150"/>
      <c r="F15" s="150"/>
      <c r="G15" s="150">
        <v>1</v>
      </c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150"/>
      <c r="V15" s="150">
        <v>1</v>
      </c>
    </row>
    <row r="16" spans="1:22" s="152" customFormat="1" ht="15.75" customHeight="1">
      <c r="A16" s="106">
        <v>11</v>
      </c>
      <c r="B16" s="153">
        <v>1.1000000000000001</v>
      </c>
      <c r="C16" s="153">
        <v>1.2</v>
      </c>
      <c r="D16" s="153"/>
      <c r="E16" s="153"/>
      <c r="F16" s="151"/>
      <c r="G16" s="151"/>
      <c r="H16" s="151">
        <v>1.1000000000000001</v>
      </c>
      <c r="I16" s="151"/>
      <c r="J16" s="151"/>
      <c r="K16" s="151"/>
      <c r="L16" s="151"/>
      <c r="M16" s="151">
        <v>1</v>
      </c>
      <c r="N16" s="151"/>
      <c r="O16" s="151"/>
      <c r="P16" s="151"/>
      <c r="Q16" s="151"/>
      <c r="R16" s="151"/>
      <c r="S16" s="151">
        <v>1</v>
      </c>
      <c r="T16" s="151"/>
      <c r="U16" s="151"/>
      <c r="V16" s="151">
        <v>1.1000000000000001</v>
      </c>
    </row>
    <row r="17" spans="1:22" s="152" customFormat="1" ht="15.75" customHeight="1">
      <c r="A17" s="106">
        <v>12</v>
      </c>
      <c r="B17" s="151">
        <v>1.1000000000000001</v>
      </c>
      <c r="C17" s="151">
        <v>1.2</v>
      </c>
      <c r="D17" s="151"/>
      <c r="E17" s="151"/>
      <c r="F17" s="151"/>
      <c r="G17" s="151"/>
      <c r="H17" s="151">
        <v>1</v>
      </c>
      <c r="I17" s="151"/>
      <c r="J17" s="151"/>
      <c r="K17" s="151"/>
      <c r="L17" s="151"/>
      <c r="M17" s="151"/>
      <c r="N17" s="151">
        <v>1</v>
      </c>
      <c r="O17" s="151"/>
      <c r="P17" s="151"/>
      <c r="Q17" s="151"/>
      <c r="R17" s="151"/>
      <c r="S17" s="151">
        <v>1</v>
      </c>
      <c r="T17" s="151"/>
      <c r="U17" s="151"/>
      <c r="V17" s="151">
        <v>1</v>
      </c>
    </row>
    <row r="18" spans="1:22" s="152" customFormat="1" ht="15.75" customHeight="1">
      <c r="A18" s="106">
        <v>13</v>
      </c>
      <c r="B18" s="153">
        <v>0.9</v>
      </c>
      <c r="C18" s="153">
        <v>0.8</v>
      </c>
      <c r="D18" s="153"/>
      <c r="E18" s="153">
        <v>1</v>
      </c>
      <c r="F18" s="151"/>
      <c r="G18" s="151"/>
      <c r="H18" s="151"/>
      <c r="I18" s="151"/>
      <c r="J18" s="151">
        <v>1.1000000000000001</v>
      </c>
      <c r="K18" s="151"/>
      <c r="L18" s="151"/>
      <c r="M18" s="151">
        <v>1</v>
      </c>
      <c r="N18" s="151"/>
      <c r="O18" s="151"/>
      <c r="P18" s="151"/>
      <c r="Q18" s="151"/>
      <c r="R18" s="151"/>
      <c r="S18" s="151"/>
      <c r="T18" s="151"/>
      <c r="U18" s="151">
        <v>1</v>
      </c>
      <c r="V18" s="151">
        <v>1.1000000000000001</v>
      </c>
    </row>
    <row r="19" spans="1:22" s="152" customFormat="1" ht="15.75" customHeight="1">
      <c r="A19" s="106">
        <v>14</v>
      </c>
      <c r="B19" s="153">
        <v>0.9</v>
      </c>
      <c r="C19" s="153">
        <v>0.8</v>
      </c>
      <c r="D19" s="151"/>
      <c r="E19" s="151">
        <v>1</v>
      </c>
      <c r="F19" s="151"/>
      <c r="G19" s="151"/>
      <c r="H19" s="151"/>
      <c r="I19" s="151"/>
      <c r="J19" s="151">
        <v>1</v>
      </c>
      <c r="K19" s="151"/>
      <c r="L19" s="151"/>
      <c r="M19" s="151"/>
      <c r="N19" s="151">
        <v>1</v>
      </c>
      <c r="O19" s="151"/>
      <c r="P19" s="151"/>
      <c r="Q19" s="151"/>
      <c r="R19" s="151"/>
      <c r="S19" s="151"/>
      <c r="T19" s="151"/>
      <c r="U19" s="151">
        <v>1</v>
      </c>
      <c r="V19" s="151">
        <v>1</v>
      </c>
    </row>
    <row r="20" spans="1:22" ht="15.75" customHeight="1">
      <c r="A20" s="106">
        <v>15</v>
      </c>
      <c r="B20" s="150">
        <v>1</v>
      </c>
      <c r="C20" s="150">
        <v>1</v>
      </c>
      <c r="D20" s="150">
        <v>1</v>
      </c>
      <c r="E20" s="150"/>
      <c r="F20" s="150"/>
      <c r="G20" s="150">
        <v>1</v>
      </c>
      <c r="H20" s="150"/>
      <c r="I20" s="150"/>
      <c r="J20" s="150"/>
      <c r="K20" s="150">
        <v>1</v>
      </c>
      <c r="L20" s="150"/>
      <c r="M20" s="150"/>
      <c r="N20" s="150"/>
      <c r="O20" s="150"/>
      <c r="P20" s="150"/>
      <c r="Q20" s="150"/>
      <c r="R20" s="150"/>
      <c r="S20" s="150"/>
      <c r="T20" s="150">
        <v>1</v>
      </c>
      <c r="U20" s="150"/>
      <c r="V20" s="150">
        <v>1</v>
      </c>
    </row>
    <row r="21" spans="1:22" ht="15.75" customHeight="1">
      <c r="A21" s="106">
        <v>16</v>
      </c>
      <c r="B21" s="150">
        <v>1</v>
      </c>
      <c r="C21" s="150">
        <v>1</v>
      </c>
      <c r="D21" s="150">
        <v>1</v>
      </c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>
        <v>1</v>
      </c>
      <c r="U21" s="150"/>
      <c r="V21" s="150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12"/>
  <sheetViews>
    <sheetView workbookViewId="0">
      <selection activeCell="G5" sqref="G5"/>
    </sheetView>
  </sheetViews>
  <sheetFormatPr defaultRowHeight="16.5" customHeight="1"/>
  <cols>
    <col min="1" max="1" width="9" style="146"/>
    <col min="2" max="16384" width="9" style="147"/>
  </cols>
  <sheetData>
    <row r="1" spans="1:17" s="141" customFormat="1" ht="16.5" customHeight="1">
      <c r="A1" s="140"/>
    </row>
    <row r="2" spans="1:17" s="141" customFormat="1" ht="16.5" customHeight="1">
      <c r="A2" s="142" t="s">
        <v>143</v>
      </c>
    </row>
    <row r="3" spans="1:17" s="144" customFormat="1" ht="16.5" customHeight="1">
      <c r="A3" s="143"/>
    </row>
    <row r="4" spans="1:17" s="97" customFormat="1" ht="16.5" customHeight="1">
      <c r="A4" s="101" t="s">
        <v>213</v>
      </c>
      <c r="B4" s="104" t="s">
        <v>211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03"/>
      <c r="O4" s="103"/>
      <c r="P4" s="103"/>
    </row>
    <row r="5" spans="1:17" s="100" customFormat="1" ht="16.5" customHeight="1">
      <c r="A5" s="98">
        <v>1</v>
      </c>
      <c r="B5" s="147">
        <v>1</v>
      </c>
      <c r="C5" s="147">
        <v>2</v>
      </c>
      <c r="D5" s="147">
        <v>3</v>
      </c>
      <c r="E5" s="147">
        <v>4</v>
      </c>
      <c r="F5" s="96">
        <v>5</v>
      </c>
      <c r="G5" s="96">
        <v>6</v>
      </c>
      <c r="H5" s="96"/>
      <c r="I5" s="96"/>
      <c r="J5" s="96"/>
      <c r="K5" s="96"/>
      <c r="L5" s="96"/>
      <c r="M5" s="96"/>
      <c r="N5" s="102"/>
      <c r="O5" s="102"/>
      <c r="P5" s="102"/>
      <c r="Q5" s="99"/>
    </row>
    <row r="6" spans="1:17" s="100" customFormat="1" ht="16.5" customHeight="1">
      <c r="A6" s="98">
        <v>2</v>
      </c>
      <c r="B6" s="96">
        <v>7</v>
      </c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102"/>
      <c r="O6" s="102"/>
      <c r="P6" s="102"/>
      <c r="Q6" s="99"/>
    </row>
    <row r="7" spans="1:17" s="100" customFormat="1" ht="16.5" customHeight="1">
      <c r="A7" s="98">
        <v>3</v>
      </c>
      <c r="B7" s="96">
        <v>8</v>
      </c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102"/>
      <c r="O7" s="102"/>
      <c r="P7" s="102"/>
      <c r="Q7" s="99"/>
    </row>
    <row r="8" spans="1:17" ht="16.5" customHeight="1">
      <c r="A8" s="146">
        <v>4</v>
      </c>
      <c r="B8" s="147">
        <v>9</v>
      </c>
    </row>
    <row r="9" spans="1:17" ht="16.5" customHeight="1">
      <c r="A9" s="146">
        <v>5</v>
      </c>
      <c r="B9" s="147">
        <v>10</v>
      </c>
    </row>
    <row r="10" spans="1:17" ht="16.5" customHeight="1">
      <c r="A10" s="146">
        <v>6</v>
      </c>
      <c r="B10" s="147">
        <v>11</v>
      </c>
      <c r="C10" s="147">
        <v>12</v>
      </c>
      <c r="D10" s="147">
        <v>13</v>
      </c>
      <c r="E10" s="147">
        <v>14</v>
      </c>
    </row>
    <row r="11" spans="1:17" ht="16.5" customHeight="1">
      <c r="A11" s="146">
        <v>7</v>
      </c>
      <c r="B11" s="147">
        <v>15</v>
      </c>
    </row>
    <row r="12" spans="1:17" ht="16.5" customHeight="1">
      <c r="A12" s="146">
        <v>8</v>
      </c>
      <c r="B12" s="147">
        <v>16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HB113"/>
  <sheetViews>
    <sheetView tabSelected="1" zoomScale="85" zoomScaleNormal="85" workbookViewId="0">
      <selection activeCell="S48" sqref="S48"/>
    </sheetView>
  </sheetViews>
  <sheetFormatPr defaultRowHeight="13.5"/>
  <cols>
    <col min="1" max="2" width="9" style="26" customWidth="1"/>
    <col min="3" max="8" width="10.625" style="26" customWidth="1"/>
    <col min="9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205">
      <c r="B6" s="26" t="s">
        <v>113</v>
      </c>
      <c r="C6" s="26" t="s">
        <v>114</v>
      </c>
      <c r="D6" s="26" t="s">
        <v>115</v>
      </c>
      <c r="E6" s="26" t="s">
        <v>116</v>
      </c>
      <c r="L6" s="26" t="s">
        <v>113</v>
      </c>
      <c r="M6" s="26" t="s">
        <v>114</v>
      </c>
      <c r="N6" s="26" t="s">
        <v>115</v>
      </c>
      <c r="O6" s="26" t="s">
        <v>116</v>
      </c>
      <c r="V6" s="26" t="s">
        <v>113</v>
      </c>
      <c r="W6" s="26" t="s">
        <v>114</v>
      </c>
      <c r="X6" s="26" t="s">
        <v>115</v>
      </c>
      <c r="Y6" s="26" t="s">
        <v>116</v>
      </c>
      <c r="AF6" s="26" t="s">
        <v>113</v>
      </c>
      <c r="AG6" s="26" t="s">
        <v>114</v>
      </c>
      <c r="AH6" s="26" t="s">
        <v>115</v>
      </c>
      <c r="AI6" s="26" t="s">
        <v>116</v>
      </c>
      <c r="AP6" s="26" t="s">
        <v>113</v>
      </c>
      <c r="AQ6" s="26" t="s">
        <v>114</v>
      </c>
      <c r="AR6" s="26" t="s">
        <v>115</v>
      </c>
      <c r="AS6" s="26" t="s">
        <v>116</v>
      </c>
      <c r="AZ6" s="26" t="s">
        <v>113</v>
      </c>
      <c r="BA6" s="26" t="s">
        <v>114</v>
      </c>
      <c r="BB6" s="26" t="s">
        <v>115</v>
      </c>
      <c r="BC6" s="26" t="s">
        <v>116</v>
      </c>
      <c r="BJ6" s="26" t="s">
        <v>113</v>
      </c>
      <c r="BK6" s="26" t="s">
        <v>114</v>
      </c>
      <c r="BL6" s="26" t="s">
        <v>115</v>
      </c>
      <c r="BM6" s="26" t="s">
        <v>116</v>
      </c>
      <c r="BT6" s="26" t="s">
        <v>113</v>
      </c>
      <c r="BU6" s="26" t="s">
        <v>114</v>
      </c>
      <c r="BV6" s="26" t="s">
        <v>115</v>
      </c>
      <c r="BW6" s="26" t="s">
        <v>116</v>
      </c>
      <c r="CD6" s="26" t="s">
        <v>113</v>
      </c>
      <c r="CE6" s="26" t="s">
        <v>114</v>
      </c>
      <c r="CF6" s="26" t="s">
        <v>115</v>
      </c>
      <c r="CG6" s="26" t="s">
        <v>116</v>
      </c>
      <c r="CN6" s="26" t="s">
        <v>113</v>
      </c>
      <c r="CO6" s="26" t="s">
        <v>114</v>
      </c>
      <c r="CP6" s="26" t="s">
        <v>115</v>
      </c>
      <c r="CQ6" s="26" t="s">
        <v>116</v>
      </c>
      <c r="CX6" s="26" t="s">
        <v>113</v>
      </c>
      <c r="CY6" s="26" t="s">
        <v>114</v>
      </c>
      <c r="CZ6" s="26" t="s">
        <v>115</v>
      </c>
      <c r="DA6" s="26" t="s">
        <v>116</v>
      </c>
      <c r="DH6" s="26" t="s">
        <v>113</v>
      </c>
      <c r="DI6" s="26" t="s">
        <v>114</v>
      </c>
      <c r="DJ6" s="26" t="s">
        <v>115</v>
      </c>
      <c r="DK6" s="26" t="s">
        <v>116</v>
      </c>
      <c r="DR6" s="26" t="s">
        <v>113</v>
      </c>
      <c r="DS6" s="26" t="s">
        <v>114</v>
      </c>
      <c r="DT6" s="26" t="s">
        <v>115</v>
      </c>
      <c r="DU6" s="26" t="s">
        <v>116</v>
      </c>
      <c r="EB6" s="26" t="s">
        <v>113</v>
      </c>
      <c r="EC6" s="26" t="s">
        <v>114</v>
      </c>
      <c r="ED6" s="26" t="s">
        <v>115</v>
      </c>
      <c r="EE6" s="26" t="s">
        <v>116</v>
      </c>
      <c r="EL6" s="26" t="s">
        <v>113</v>
      </c>
      <c r="EM6" s="26" t="s">
        <v>114</v>
      </c>
      <c r="EN6" s="26" t="s">
        <v>115</v>
      </c>
      <c r="EO6" s="26" t="s">
        <v>116</v>
      </c>
      <c r="EV6" s="26" t="s">
        <v>113</v>
      </c>
      <c r="EW6" s="26" t="s">
        <v>114</v>
      </c>
      <c r="EX6" s="26" t="s">
        <v>115</v>
      </c>
      <c r="EY6" s="26" t="s">
        <v>116</v>
      </c>
      <c r="FF6" s="26" t="s">
        <v>113</v>
      </c>
      <c r="FG6" s="26" t="s">
        <v>114</v>
      </c>
      <c r="FH6" s="26" t="s">
        <v>115</v>
      </c>
      <c r="FI6" s="26" t="s">
        <v>116</v>
      </c>
      <c r="FP6" s="26" t="s">
        <v>113</v>
      </c>
      <c r="FQ6" s="26" t="s">
        <v>114</v>
      </c>
      <c r="FR6" s="26" t="s">
        <v>115</v>
      </c>
      <c r="FS6" s="26" t="s">
        <v>116</v>
      </c>
      <c r="FZ6" s="26" t="s">
        <v>113</v>
      </c>
      <c r="GA6" s="26" t="s">
        <v>114</v>
      </c>
      <c r="GB6" s="26" t="s">
        <v>115</v>
      </c>
      <c r="GC6" s="26" t="s">
        <v>116</v>
      </c>
      <c r="GJ6" s="26" t="s">
        <v>113</v>
      </c>
      <c r="GK6" s="26" t="s">
        <v>114</v>
      </c>
      <c r="GL6" s="26" t="s">
        <v>115</v>
      </c>
      <c r="GM6" s="26" t="s">
        <v>116</v>
      </c>
      <c r="GT6" s="26" t="s">
        <v>113</v>
      </c>
      <c r="GU6" s="26" t="s">
        <v>114</v>
      </c>
      <c r="GV6" s="26" t="s">
        <v>115</v>
      </c>
      <c r="GW6" s="26" t="s">
        <v>116</v>
      </c>
    </row>
    <row r="7" spans="2:205">
      <c r="B7" s="26">
        <v>1</v>
      </c>
      <c r="C7" s="26">
        <v>1</v>
      </c>
      <c r="D7" s="26" t="s">
        <v>145</v>
      </c>
      <c r="E7" s="26" t="s">
        <v>214</v>
      </c>
      <c r="L7" s="26">
        <v>1</v>
      </c>
      <c r="M7" s="26">
        <v>2</v>
      </c>
      <c r="N7" s="26" t="s">
        <v>146</v>
      </c>
      <c r="O7" s="26" t="s">
        <v>215</v>
      </c>
      <c r="V7" s="26">
        <v>1</v>
      </c>
      <c r="W7" s="26">
        <v>3</v>
      </c>
      <c r="X7" s="26" t="s">
        <v>172</v>
      </c>
      <c r="Y7" s="26" t="s">
        <v>216</v>
      </c>
      <c r="AF7" s="26">
        <v>1</v>
      </c>
      <c r="AG7" s="26">
        <v>4</v>
      </c>
      <c r="AH7" s="26" t="s">
        <v>174</v>
      </c>
      <c r="AI7" s="26" t="s">
        <v>217</v>
      </c>
      <c r="AP7" s="26">
        <v>1</v>
      </c>
      <c r="AQ7" s="26">
        <v>5</v>
      </c>
      <c r="AR7" s="26" t="s">
        <v>176</v>
      </c>
      <c r="AS7" s="26" t="s">
        <v>218</v>
      </c>
      <c r="AZ7" s="26">
        <v>1</v>
      </c>
      <c r="BA7" s="26">
        <v>6</v>
      </c>
      <c r="BB7" s="26" t="s">
        <v>178</v>
      </c>
      <c r="BC7" s="26" t="s">
        <v>219</v>
      </c>
      <c r="BJ7" s="26">
        <v>1</v>
      </c>
      <c r="BK7" s="26">
        <v>7</v>
      </c>
      <c r="BL7" s="26" t="s">
        <v>180</v>
      </c>
      <c r="BM7" s="26" t="s">
        <v>220</v>
      </c>
      <c r="BT7" s="26">
        <v>1</v>
      </c>
      <c r="BU7" s="26">
        <v>8</v>
      </c>
      <c r="BV7" s="26" t="s">
        <v>182</v>
      </c>
      <c r="BW7" s="26" t="s">
        <v>221</v>
      </c>
      <c r="CD7" s="26">
        <v>1</v>
      </c>
      <c r="CE7" s="26">
        <v>9</v>
      </c>
      <c r="CF7" s="26" t="s">
        <v>184</v>
      </c>
      <c r="CG7" s="26" t="s">
        <v>222</v>
      </c>
      <c r="CN7" s="26">
        <v>1</v>
      </c>
      <c r="CO7" s="26">
        <v>10</v>
      </c>
      <c r="CP7" s="26" t="s">
        <v>186</v>
      </c>
      <c r="CQ7" s="26" t="s">
        <v>187</v>
      </c>
      <c r="CX7" s="26">
        <v>1</v>
      </c>
      <c r="CY7" s="26">
        <v>11</v>
      </c>
      <c r="CZ7" s="26" t="s">
        <v>188</v>
      </c>
      <c r="DA7" s="26" t="s">
        <v>187</v>
      </c>
      <c r="DH7" s="26">
        <v>1</v>
      </c>
      <c r="DI7" s="26">
        <v>12</v>
      </c>
      <c r="DJ7" s="26" t="s">
        <v>189</v>
      </c>
      <c r="DK7" s="26" t="s">
        <v>190</v>
      </c>
      <c r="DR7" s="26">
        <v>1</v>
      </c>
      <c r="DS7" s="26">
        <v>13</v>
      </c>
      <c r="DT7" s="26" t="s">
        <v>191</v>
      </c>
      <c r="DU7" s="26" t="s">
        <v>190</v>
      </c>
      <c r="EB7" s="26">
        <v>1</v>
      </c>
      <c r="EC7" s="26">
        <v>14</v>
      </c>
      <c r="ED7" s="26" t="s">
        <v>192</v>
      </c>
      <c r="EE7" s="26" t="s">
        <v>193</v>
      </c>
      <c r="EL7" s="26">
        <v>1</v>
      </c>
      <c r="EM7" s="26">
        <v>15</v>
      </c>
      <c r="EN7" s="26" t="s">
        <v>194</v>
      </c>
      <c r="EO7" s="26" t="s">
        <v>193</v>
      </c>
      <c r="EV7" s="26">
        <v>1</v>
      </c>
      <c r="EW7" s="26">
        <v>16</v>
      </c>
      <c r="EX7" s="26" t="s">
        <v>195</v>
      </c>
      <c r="EY7" s="26" t="s">
        <v>193</v>
      </c>
      <c r="FF7" s="26">
        <v>1</v>
      </c>
      <c r="FG7" s="26">
        <v>17</v>
      </c>
      <c r="FH7" s="26" t="s">
        <v>196</v>
      </c>
      <c r="FI7" s="26" t="s">
        <v>223</v>
      </c>
      <c r="FP7" s="26">
        <v>1</v>
      </c>
      <c r="FQ7" s="26">
        <v>18</v>
      </c>
      <c r="FR7" s="26" t="s">
        <v>198</v>
      </c>
      <c r="FS7" s="26" t="s">
        <v>224</v>
      </c>
      <c r="FZ7" s="26">
        <v>1</v>
      </c>
      <c r="GA7" s="26">
        <v>19</v>
      </c>
      <c r="GB7" s="26" t="s">
        <v>200</v>
      </c>
      <c r="GC7" s="26" t="s">
        <v>225</v>
      </c>
      <c r="GJ7" s="26">
        <v>1</v>
      </c>
      <c r="GK7" s="26">
        <v>20</v>
      </c>
      <c r="GL7" s="26" t="s">
        <v>202</v>
      </c>
      <c r="GM7" s="26" t="s">
        <v>226</v>
      </c>
      <c r="GT7" s="26">
        <v>1</v>
      </c>
      <c r="GU7" s="26">
        <v>21</v>
      </c>
      <c r="GV7" s="26" t="s">
        <v>204</v>
      </c>
      <c r="GW7" s="26" t="s">
        <v>227</v>
      </c>
    </row>
    <row r="9" spans="2:205">
      <c r="B9" s="26" t="s">
        <v>117</v>
      </c>
      <c r="C9" s="26">
        <v>18</v>
      </c>
      <c r="L9" s="26" t="s">
        <v>117</v>
      </c>
      <c r="M9" s="26">
        <v>18</v>
      </c>
      <c r="V9" s="26" t="s">
        <v>117</v>
      </c>
      <c r="W9" s="26">
        <v>18</v>
      </c>
      <c r="AF9" s="26" t="s">
        <v>117</v>
      </c>
      <c r="AG9" s="26">
        <v>18</v>
      </c>
      <c r="AP9" s="26" t="s">
        <v>117</v>
      </c>
      <c r="AQ9" s="26">
        <v>18</v>
      </c>
      <c r="AZ9" s="26" t="s">
        <v>117</v>
      </c>
      <c r="BA9" s="26">
        <v>18</v>
      </c>
      <c r="BJ9" s="26" t="s">
        <v>117</v>
      </c>
      <c r="BK9" s="26">
        <v>18</v>
      </c>
      <c r="BT9" s="26" t="s">
        <v>117</v>
      </c>
      <c r="BU9" s="26">
        <v>18</v>
      </c>
      <c r="CD9" s="26" t="s">
        <v>117</v>
      </c>
      <c r="CE9" s="26">
        <v>18</v>
      </c>
      <c r="CN9" s="26" t="s">
        <v>117</v>
      </c>
      <c r="CO9" s="26">
        <v>18</v>
      </c>
      <c r="CX9" s="26" t="s">
        <v>117</v>
      </c>
      <c r="CY9" s="26">
        <v>18</v>
      </c>
      <c r="DH9" s="26" t="s">
        <v>117</v>
      </c>
      <c r="DI9" s="26">
        <v>18</v>
      </c>
      <c r="DR9" s="26" t="s">
        <v>117</v>
      </c>
      <c r="DS9" s="26">
        <v>18</v>
      </c>
      <c r="EB9" s="26" t="s">
        <v>117</v>
      </c>
      <c r="EC9" s="26">
        <v>18</v>
      </c>
      <c r="EL9" s="26" t="s">
        <v>117</v>
      </c>
      <c r="EM9" s="26">
        <v>18</v>
      </c>
      <c r="EV9" s="26" t="s">
        <v>117</v>
      </c>
      <c r="EW9" s="26">
        <v>18</v>
      </c>
      <c r="FF9" s="26" t="s">
        <v>117</v>
      </c>
      <c r="FG9" s="26">
        <v>18</v>
      </c>
      <c r="FP9" s="26" t="s">
        <v>117</v>
      </c>
      <c r="FQ9" s="26">
        <v>18</v>
      </c>
      <c r="FZ9" s="26" t="s">
        <v>117</v>
      </c>
      <c r="GA9" s="26">
        <v>18</v>
      </c>
      <c r="GJ9" s="26" t="s">
        <v>117</v>
      </c>
      <c r="GK9" s="26">
        <v>18</v>
      </c>
      <c r="GT9" s="26" t="s">
        <v>117</v>
      </c>
      <c r="GU9" s="26">
        <v>18</v>
      </c>
    </row>
    <row r="11" spans="2:205">
      <c r="B11" s="26" t="s">
        <v>118</v>
      </c>
      <c r="L11" s="26" t="s">
        <v>118</v>
      </c>
      <c r="V11" s="26" t="s">
        <v>118</v>
      </c>
      <c r="AF11" s="26" t="s">
        <v>118</v>
      </c>
      <c r="AP11" s="26" t="s">
        <v>118</v>
      </c>
      <c r="AZ11" s="26" t="s">
        <v>118</v>
      </c>
      <c r="BJ11" s="26" t="s">
        <v>118</v>
      </c>
      <c r="BT11" s="26" t="s">
        <v>118</v>
      </c>
      <c r="CD11" s="26" t="s">
        <v>118</v>
      </c>
      <c r="CN11" s="26" t="s">
        <v>118</v>
      </c>
      <c r="CX11" s="26" t="s">
        <v>118</v>
      </c>
      <c r="DH11" s="26" t="s">
        <v>118</v>
      </c>
      <c r="DR11" s="26" t="s">
        <v>118</v>
      </c>
      <c r="EB11" s="26" t="s">
        <v>118</v>
      </c>
      <c r="EL11" s="26" t="s">
        <v>118</v>
      </c>
      <c r="EV11" s="26" t="s">
        <v>118</v>
      </c>
      <c r="FF11" s="26" t="s">
        <v>118</v>
      </c>
      <c r="FP11" s="26" t="s">
        <v>118</v>
      </c>
      <c r="FZ11" s="26" t="s">
        <v>118</v>
      </c>
      <c r="GJ11" s="26" t="s">
        <v>118</v>
      </c>
      <c r="GT11" s="26" t="s">
        <v>118</v>
      </c>
    </row>
    <row r="12" spans="2:205">
      <c r="C12" s="26" t="s">
        <v>119</v>
      </c>
      <c r="D12" s="26" t="s">
        <v>120</v>
      </c>
      <c r="E12" s="26" t="s">
        <v>121</v>
      </c>
      <c r="M12" s="26" t="s">
        <v>119</v>
      </c>
      <c r="N12" s="26" t="s">
        <v>120</v>
      </c>
      <c r="O12" s="26" t="s">
        <v>121</v>
      </c>
      <c r="W12" s="26" t="s">
        <v>119</v>
      </c>
      <c r="X12" s="26" t="s">
        <v>120</v>
      </c>
      <c r="Y12" s="26" t="s">
        <v>121</v>
      </c>
      <c r="AG12" s="26" t="s">
        <v>119</v>
      </c>
      <c r="AH12" s="26" t="s">
        <v>120</v>
      </c>
      <c r="AI12" s="26" t="s">
        <v>121</v>
      </c>
      <c r="AQ12" s="26" t="s">
        <v>119</v>
      </c>
      <c r="AR12" s="26" t="s">
        <v>120</v>
      </c>
      <c r="AS12" s="26" t="s">
        <v>121</v>
      </c>
      <c r="BA12" s="26" t="s">
        <v>119</v>
      </c>
      <c r="BB12" s="26" t="s">
        <v>120</v>
      </c>
      <c r="BC12" s="26" t="s">
        <v>121</v>
      </c>
      <c r="BK12" s="26" t="s">
        <v>119</v>
      </c>
      <c r="BL12" s="26" t="s">
        <v>120</v>
      </c>
      <c r="BM12" s="26" t="s">
        <v>121</v>
      </c>
      <c r="BU12" s="26" t="s">
        <v>119</v>
      </c>
      <c r="BV12" s="26" t="s">
        <v>120</v>
      </c>
      <c r="BW12" s="26" t="s">
        <v>121</v>
      </c>
      <c r="CE12" s="26" t="s">
        <v>119</v>
      </c>
      <c r="CF12" s="26" t="s">
        <v>120</v>
      </c>
      <c r="CG12" s="26" t="s">
        <v>121</v>
      </c>
      <c r="CO12" s="26" t="s">
        <v>119</v>
      </c>
      <c r="CP12" s="26" t="s">
        <v>120</v>
      </c>
      <c r="CQ12" s="26" t="s">
        <v>121</v>
      </c>
      <c r="CY12" s="26" t="s">
        <v>119</v>
      </c>
      <c r="CZ12" s="26" t="s">
        <v>120</v>
      </c>
      <c r="DA12" s="26" t="s">
        <v>121</v>
      </c>
      <c r="DI12" s="26" t="s">
        <v>119</v>
      </c>
      <c r="DJ12" s="26" t="s">
        <v>120</v>
      </c>
      <c r="DK12" s="26" t="s">
        <v>121</v>
      </c>
      <c r="DS12" s="26" t="s">
        <v>119</v>
      </c>
      <c r="DT12" s="26" t="s">
        <v>120</v>
      </c>
      <c r="DU12" s="26" t="s">
        <v>121</v>
      </c>
      <c r="EC12" s="26" t="s">
        <v>119</v>
      </c>
      <c r="ED12" s="26" t="s">
        <v>120</v>
      </c>
      <c r="EE12" s="26" t="s">
        <v>121</v>
      </c>
      <c r="EM12" s="26" t="s">
        <v>119</v>
      </c>
      <c r="EN12" s="26" t="s">
        <v>120</v>
      </c>
      <c r="EO12" s="26" t="s">
        <v>121</v>
      </c>
      <c r="EW12" s="26" t="s">
        <v>119</v>
      </c>
      <c r="EX12" s="26" t="s">
        <v>120</v>
      </c>
      <c r="EY12" s="26" t="s">
        <v>121</v>
      </c>
      <c r="FG12" s="26" t="s">
        <v>119</v>
      </c>
      <c r="FH12" s="26" t="s">
        <v>120</v>
      </c>
      <c r="FI12" s="26" t="s">
        <v>121</v>
      </c>
      <c r="FQ12" s="26" t="s">
        <v>119</v>
      </c>
      <c r="FR12" s="26" t="s">
        <v>120</v>
      </c>
      <c r="FS12" s="26" t="s">
        <v>121</v>
      </c>
      <c r="GA12" s="26" t="s">
        <v>119</v>
      </c>
      <c r="GB12" s="26" t="s">
        <v>120</v>
      </c>
      <c r="GC12" s="26" t="s">
        <v>121</v>
      </c>
      <c r="GK12" s="26" t="s">
        <v>119</v>
      </c>
      <c r="GL12" s="26" t="s">
        <v>120</v>
      </c>
      <c r="GM12" s="26" t="s">
        <v>121</v>
      </c>
      <c r="GU12" s="26" t="s">
        <v>119</v>
      </c>
      <c r="GV12" s="26" t="s">
        <v>120</v>
      </c>
      <c r="GW12" s="26" t="s">
        <v>121</v>
      </c>
    </row>
    <row r="13" spans="2:205">
      <c r="B13" s="26">
        <v>1</v>
      </c>
      <c r="C13" s="26">
        <v>3</v>
      </c>
      <c r="D13" s="26">
        <v>-2</v>
      </c>
      <c r="E13" s="26">
        <v>0</v>
      </c>
      <c r="L13" s="26">
        <v>1</v>
      </c>
      <c r="M13" s="26">
        <v>3</v>
      </c>
      <c r="N13" s="26">
        <v>-2</v>
      </c>
      <c r="O13" s="26">
        <v>0</v>
      </c>
      <c r="V13" s="26">
        <v>1</v>
      </c>
      <c r="W13" s="26">
        <v>3</v>
      </c>
      <c r="X13" s="26">
        <v>-2</v>
      </c>
      <c r="Y13" s="26">
        <v>0</v>
      </c>
      <c r="AF13" s="26">
        <v>1</v>
      </c>
      <c r="AG13" s="26">
        <v>3</v>
      </c>
      <c r="AH13" s="26">
        <v>-2</v>
      </c>
      <c r="AI13" s="26">
        <v>0</v>
      </c>
      <c r="AP13" s="26">
        <v>1</v>
      </c>
      <c r="AQ13" s="26">
        <v>3</v>
      </c>
      <c r="AR13" s="26">
        <v>-2</v>
      </c>
      <c r="AS13" s="26">
        <v>0</v>
      </c>
      <c r="AZ13" s="26">
        <v>1</v>
      </c>
      <c r="BA13" s="26">
        <v>3</v>
      </c>
      <c r="BB13" s="26">
        <v>-2</v>
      </c>
      <c r="BC13" s="26">
        <v>0</v>
      </c>
      <c r="BJ13" s="26">
        <v>1</v>
      </c>
      <c r="BK13" s="26">
        <v>3</v>
      </c>
      <c r="BL13" s="26">
        <v>-2</v>
      </c>
      <c r="BM13" s="26">
        <v>0</v>
      </c>
      <c r="BT13" s="26">
        <v>1</v>
      </c>
      <c r="BU13" s="26">
        <v>3</v>
      </c>
      <c r="BV13" s="26">
        <v>-2</v>
      </c>
      <c r="BW13" s="26">
        <v>0</v>
      </c>
      <c r="CD13" s="26">
        <v>1</v>
      </c>
      <c r="CE13" s="26">
        <v>3</v>
      </c>
      <c r="CF13" s="26">
        <v>-2</v>
      </c>
      <c r="CG13" s="26">
        <v>0</v>
      </c>
      <c r="CN13" s="26">
        <v>1</v>
      </c>
      <c r="CO13" s="26">
        <v>3</v>
      </c>
      <c r="CP13" s="26">
        <v>-2</v>
      </c>
      <c r="CQ13" s="26">
        <v>0</v>
      </c>
      <c r="CX13" s="26">
        <v>1</v>
      </c>
      <c r="CY13" s="26">
        <v>3</v>
      </c>
      <c r="CZ13" s="26">
        <v>-2</v>
      </c>
      <c r="DA13" s="26">
        <v>0</v>
      </c>
      <c r="DH13" s="26">
        <v>1</v>
      </c>
      <c r="DI13" s="26">
        <v>3</v>
      </c>
      <c r="DJ13" s="26">
        <v>-2</v>
      </c>
      <c r="DK13" s="26">
        <v>0</v>
      </c>
      <c r="DR13" s="26">
        <v>1</v>
      </c>
      <c r="DS13" s="26">
        <v>3</v>
      </c>
      <c r="DT13" s="26">
        <v>-2</v>
      </c>
      <c r="DU13" s="26">
        <v>0</v>
      </c>
      <c r="EB13" s="26">
        <v>1</v>
      </c>
      <c r="EC13" s="26">
        <v>3</v>
      </c>
      <c r="ED13" s="26">
        <v>-2</v>
      </c>
      <c r="EE13" s="26">
        <v>0</v>
      </c>
      <c r="EL13" s="26">
        <v>1</v>
      </c>
      <c r="EM13" s="26">
        <v>3</v>
      </c>
      <c r="EN13" s="26">
        <v>-2</v>
      </c>
      <c r="EO13" s="26">
        <v>0</v>
      </c>
      <c r="EV13" s="26">
        <v>1</v>
      </c>
      <c r="EW13" s="26">
        <v>3</v>
      </c>
      <c r="EX13" s="26">
        <v>-2</v>
      </c>
      <c r="EY13" s="26">
        <v>0</v>
      </c>
      <c r="FF13" s="26">
        <v>1</v>
      </c>
      <c r="FG13" s="26">
        <v>3</v>
      </c>
      <c r="FH13" s="26">
        <v>-2</v>
      </c>
      <c r="FI13" s="26">
        <v>0</v>
      </c>
      <c r="FP13" s="26">
        <v>1</v>
      </c>
      <c r="FQ13" s="26">
        <v>3</v>
      </c>
      <c r="FR13" s="26">
        <v>-2</v>
      </c>
      <c r="FS13" s="26">
        <v>0</v>
      </c>
      <c r="FZ13" s="26">
        <v>1</v>
      </c>
      <c r="GA13" s="26">
        <v>3</v>
      </c>
      <c r="GB13" s="26">
        <v>-2</v>
      </c>
      <c r="GC13" s="26">
        <v>0</v>
      </c>
      <c r="GJ13" s="26">
        <v>1</v>
      </c>
      <c r="GK13" s="26">
        <v>3</v>
      </c>
      <c r="GL13" s="26">
        <v>-2</v>
      </c>
      <c r="GM13" s="26">
        <v>0</v>
      </c>
      <c r="GT13" s="26">
        <v>1</v>
      </c>
      <c r="GU13" s="26">
        <v>3</v>
      </c>
      <c r="GV13" s="26">
        <v>-2</v>
      </c>
      <c r="GW13" s="26">
        <v>0</v>
      </c>
    </row>
    <row r="14" spans="2:205">
      <c r="B14" s="26">
        <v>2</v>
      </c>
      <c r="C14" s="26">
        <v>0</v>
      </c>
      <c r="D14" s="26">
        <v>-1</v>
      </c>
      <c r="E14" s="26">
        <v>0</v>
      </c>
      <c r="L14" s="26">
        <v>2</v>
      </c>
      <c r="M14" s="26">
        <v>0</v>
      </c>
      <c r="N14" s="26">
        <v>-1</v>
      </c>
      <c r="O14" s="26">
        <v>0</v>
      </c>
      <c r="V14" s="26">
        <v>2</v>
      </c>
      <c r="W14" s="26">
        <v>0</v>
      </c>
      <c r="X14" s="26">
        <v>-1</v>
      </c>
      <c r="Y14" s="26">
        <v>0</v>
      </c>
      <c r="AF14" s="26">
        <v>2</v>
      </c>
      <c r="AG14" s="26">
        <v>0</v>
      </c>
      <c r="AH14" s="26">
        <v>-1</v>
      </c>
      <c r="AI14" s="26">
        <v>0</v>
      </c>
      <c r="AP14" s="26">
        <v>2</v>
      </c>
      <c r="AQ14" s="26">
        <v>0</v>
      </c>
      <c r="AR14" s="26">
        <v>-1</v>
      </c>
      <c r="AS14" s="26">
        <v>0</v>
      </c>
      <c r="AZ14" s="26">
        <v>2</v>
      </c>
      <c r="BA14" s="26">
        <v>0</v>
      </c>
      <c r="BB14" s="26">
        <v>-1</v>
      </c>
      <c r="BC14" s="26">
        <v>0</v>
      </c>
      <c r="BJ14" s="26">
        <v>2</v>
      </c>
      <c r="BK14" s="26">
        <v>0</v>
      </c>
      <c r="BL14" s="26">
        <v>-1</v>
      </c>
      <c r="BM14" s="26">
        <v>0</v>
      </c>
      <c r="BT14" s="26">
        <v>2</v>
      </c>
      <c r="BU14" s="26">
        <v>0</v>
      </c>
      <c r="BV14" s="26">
        <v>-1</v>
      </c>
      <c r="BW14" s="26">
        <v>0</v>
      </c>
      <c r="CD14" s="26">
        <v>2</v>
      </c>
      <c r="CE14" s="26">
        <v>0</v>
      </c>
      <c r="CF14" s="26">
        <v>-1</v>
      </c>
      <c r="CG14" s="26">
        <v>0</v>
      </c>
      <c r="CN14" s="26">
        <v>2</v>
      </c>
      <c r="CO14" s="26">
        <v>0</v>
      </c>
      <c r="CP14" s="26">
        <v>-1</v>
      </c>
      <c r="CQ14" s="26">
        <v>0</v>
      </c>
      <c r="CX14" s="26">
        <v>2</v>
      </c>
      <c r="CY14" s="26">
        <v>0</v>
      </c>
      <c r="CZ14" s="26">
        <v>-1</v>
      </c>
      <c r="DA14" s="26">
        <v>0</v>
      </c>
      <c r="DH14" s="26">
        <v>2</v>
      </c>
      <c r="DI14" s="26">
        <v>0</v>
      </c>
      <c r="DJ14" s="26">
        <v>-1</v>
      </c>
      <c r="DK14" s="26">
        <v>0</v>
      </c>
      <c r="DR14" s="26">
        <v>2</v>
      </c>
      <c r="DS14" s="26">
        <v>0</v>
      </c>
      <c r="DT14" s="26">
        <v>-1</v>
      </c>
      <c r="DU14" s="26">
        <v>0</v>
      </c>
      <c r="EB14" s="26">
        <v>2</v>
      </c>
      <c r="EC14" s="26">
        <v>0</v>
      </c>
      <c r="ED14" s="26">
        <v>-1</v>
      </c>
      <c r="EE14" s="26">
        <v>0</v>
      </c>
      <c r="EL14" s="26">
        <v>2</v>
      </c>
      <c r="EM14" s="26">
        <v>0</v>
      </c>
      <c r="EN14" s="26">
        <v>-1</v>
      </c>
      <c r="EO14" s="26">
        <v>0</v>
      </c>
      <c r="EV14" s="26">
        <v>2</v>
      </c>
      <c r="EW14" s="26">
        <v>0</v>
      </c>
      <c r="EX14" s="26">
        <v>-1</v>
      </c>
      <c r="EY14" s="26">
        <v>0</v>
      </c>
      <c r="FF14" s="26">
        <v>2</v>
      </c>
      <c r="FG14" s="26">
        <v>0</v>
      </c>
      <c r="FH14" s="26">
        <v>-1</v>
      </c>
      <c r="FI14" s="26">
        <v>0</v>
      </c>
      <c r="FP14" s="26">
        <v>2</v>
      </c>
      <c r="FQ14" s="26">
        <v>0</v>
      </c>
      <c r="FR14" s="26">
        <v>-1</v>
      </c>
      <c r="FS14" s="26">
        <v>0</v>
      </c>
      <c r="FZ14" s="26">
        <v>2</v>
      </c>
      <c r="GA14" s="26">
        <v>0</v>
      </c>
      <c r="GB14" s="26">
        <v>-1</v>
      </c>
      <c r="GC14" s="26">
        <v>0</v>
      </c>
      <c r="GJ14" s="26">
        <v>2</v>
      </c>
      <c r="GK14" s="26">
        <v>0</v>
      </c>
      <c r="GL14" s="26">
        <v>-1</v>
      </c>
      <c r="GM14" s="26">
        <v>0</v>
      </c>
      <c r="GT14" s="26">
        <v>2</v>
      </c>
      <c r="GU14" s="26">
        <v>0</v>
      </c>
      <c r="GV14" s="26">
        <v>-1</v>
      </c>
      <c r="GW14" s="26">
        <v>0</v>
      </c>
    </row>
    <row r="15" spans="2:205">
      <c r="B15" s="26">
        <v>3</v>
      </c>
      <c r="C15" s="26">
        <v>3</v>
      </c>
      <c r="D15" s="26">
        <v>-1</v>
      </c>
      <c r="E15" s="26">
        <v>0</v>
      </c>
      <c r="L15" s="26">
        <v>3</v>
      </c>
      <c r="M15" s="26">
        <v>3</v>
      </c>
      <c r="N15" s="26">
        <v>-1</v>
      </c>
      <c r="O15" s="26">
        <v>0</v>
      </c>
      <c r="V15" s="26">
        <v>3</v>
      </c>
      <c r="W15" s="26">
        <v>3</v>
      </c>
      <c r="X15" s="26">
        <v>-1</v>
      </c>
      <c r="Y15" s="26">
        <v>0</v>
      </c>
      <c r="AF15" s="26">
        <v>3</v>
      </c>
      <c r="AG15" s="26">
        <v>3</v>
      </c>
      <c r="AH15" s="26">
        <v>-1</v>
      </c>
      <c r="AI15" s="26">
        <v>0</v>
      </c>
      <c r="AP15" s="26">
        <v>3</v>
      </c>
      <c r="AQ15" s="26">
        <v>3</v>
      </c>
      <c r="AR15" s="26">
        <v>-1</v>
      </c>
      <c r="AS15" s="26">
        <v>0</v>
      </c>
      <c r="AZ15" s="26">
        <v>3</v>
      </c>
      <c r="BA15" s="26">
        <v>3</v>
      </c>
      <c r="BB15" s="26">
        <v>-1</v>
      </c>
      <c r="BC15" s="26">
        <v>0</v>
      </c>
      <c r="BJ15" s="26">
        <v>3</v>
      </c>
      <c r="BK15" s="26">
        <v>3</v>
      </c>
      <c r="BL15" s="26">
        <v>-1</v>
      </c>
      <c r="BM15" s="26">
        <v>0</v>
      </c>
      <c r="BT15" s="26">
        <v>3</v>
      </c>
      <c r="BU15" s="26">
        <v>3</v>
      </c>
      <c r="BV15" s="26">
        <v>-1</v>
      </c>
      <c r="BW15" s="26">
        <v>0</v>
      </c>
      <c r="CD15" s="26">
        <v>3</v>
      </c>
      <c r="CE15" s="26">
        <v>3</v>
      </c>
      <c r="CF15" s="26">
        <v>-1</v>
      </c>
      <c r="CG15" s="26">
        <v>0</v>
      </c>
      <c r="CN15" s="26">
        <v>3</v>
      </c>
      <c r="CO15" s="26">
        <v>3</v>
      </c>
      <c r="CP15" s="26">
        <v>-1</v>
      </c>
      <c r="CQ15" s="26">
        <v>0</v>
      </c>
      <c r="CX15" s="26">
        <v>3</v>
      </c>
      <c r="CY15" s="26">
        <v>3</v>
      </c>
      <c r="CZ15" s="26">
        <v>-1</v>
      </c>
      <c r="DA15" s="26">
        <v>0</v>
      </c>
      <c r="DH15" s="26">
        <v>3</v>
      </c>
      <c r="DI15" s="26">
        <v>3</v>
      </c>
      <c r="DJ15" s="26">
        <v>-1</v>
      </c>
      <c r="DK15" s="26">
        <v>0</v>
      </c>
      <c r="DR15" s="26">
        <v>3</v>
      </c>
      <c r="DS15" s="26">
        <v>3</v>
      </c>
      <c r="DT15" s="26">
        <v>-1</v>
      </c>
      <c r="DU15" s="26">
        <v>0</v>
      </c>
      <c r="EB15" s="26">
        <v>3</v>
      </c>
      <c r="EC15" s="26">
        <v>3</v>
      </c>
      <c r="ED15" s="26">
        <v>-1</v>
      </c>
      <c r="EE15" s="26">
        <v>0</v>
      </c>
      <c r="EL15" s="26">
        <v>3</v>
      </c>
      <c r="EM15" s="26">
        <v>3</v>
      </c>
      <c r="EN15" s="26">
        <v>-1</v>
      </c>
      <c r="EO15" s="26">
        <v>0</v>
      </c>
      <c r="EV15" s="26">
        <v>3</v>
      </c>
      <c r="EW15" s="26">
        <v>3</v>
      </c>
      <c r="EX15" s="26">
        <v>-1</v>
      </c>
      <c r="EY15" s="26">
        <v>0</v>
      </c>
      <c r="FF15" s="26">
        <v>3</v>
      </c>
      <c r="FG15" s="26">
        <v>3</v>
      </c>
      <c r="FH15" s="26">
        <v>-1</v>
      </c>
      <c r="FI15" s="26">
        <v>0</v>
      </c>
      <c r="FP15" s="26">
        <v>3</v>
      </c>
      <c r="FQ15" s="26">
        <v>3</v>
      </c>
      <c r="FR15" s="26">
        <v>-1</v>
      </c>
      <c r="FS15" s="26">
        <v>0</v>
      </c>
      <c r="FZ15" s="26">
        <v>3</v>
      </c>
      <c r="GA15" s="26">
        <v>3</v>
      </c>
      <c r="GB15" s="26">
        <v>-1</v>
      </c>
      <c r="GC15" s="26">
        <v>0</v>
      </c>
      <c r="GJ15" s="26">
        <v>3</v>
      </c>
      <c r="GK15" s="26">
        <v>3</v>
      </c>
      <c r="GL15" s="26">
        <v>-1</v>
      </c>
      <c r="GM15" s="26">
        <v>0</v>
      </c>
      <c r="GT15" s="26">
        <v>3</v>
      </c>
      <c r="GU15" s="26">
        <v>3</v>
      </c>
      <c r="GV15" s="26">
        <v>-1</v>
      </c>
      <c r="GW15" s="26">
        <v>0</v>
      </c>
    </row>
    <row r="16" spans="2:205">
      <c r="B16" s="26">
        <v>4</v>
      </c>
      <c r="C16" s="26">
        <v>4.5</v>
      </c>
      <c r="D16" s="26">
        <v>-1</v>
      </c>
      <c r="E16" s="26">
        <v>0</v>
      </c>
      <c r="L16" s="26">
        <v>4</v>
      </c>
      <c r="M16" s="26">
        <v>4.5</v>
      </c>
      <c r="N16" s="26">
        <v>-1</v>
      </c>
      <c r="O16" s="26">
        <v>0</v>
      </c>
      <c r="V16" s="26">
        <v>4</v>
      </c>
      <c r="W16" s="26">
        <v>4.5</v>
      </c>
      <c r="X16" s="26">
        <v>-1</v>
      </c>
      <c r="Y16" s="26">
        <v>0</v>
      </c>
      <c r="AF16" s="26">
        <v>4</v>
      </c>
      <c r="AG16" s="26">
        <v>4.5</v>
      </c>
      <c r="AH16" s="26">
        <v>-1</v>
      </c>
      <c r="AI16" s="26">
        <v>0</v>
      </c>
      <c r="AP16" s="26">
        <v>4</v>
      </c>
      <c r="AQ16" s="26">
        <v>4.5</v>
      </c>
      <c r="AR16" s="26">
        <v>-1</v>
      </c>
      <c r="AS16" s="26">
        <v>0</v>
      </c>
      <c r="AZ16" s="26">
        <v>4</v>
      </c>
      <c r="BA16" s="26">
        <v>4.5</v>
      </c>
      <c r="BB16" s="26">
        <v>-1</v>
      </c>
      <c r="BC16" s="26">
        <v>0</v>
      </c>
      <c r="BJ16" s="26">
        <v>4</v>
      </c>
      <c r="BK16" s="26">
        <v>4.5</v>
      </c>
      <c r="BL16" s="26">
        <v>-1</v>
      </c>
      <c r="BM16" s="26">
        <v>0</v>
      </c>
      <c r="BT16" s="26">
        <v>4</v>
      </c>
      <c r="BU16" s="26">
        <v>4.5</v>
      </c>
      <c r="BV16" s="26">
        <v>-1</v>
      </c>
      <c r="BW16" s="26">
        <v>0</v>
      </c>
      <c r="CD16" s="26">
        <v>4</v>
      </c>
      <c r="CE16" s="26">
        <v>4.5</v>
      </c>
      <c r="CF16" s="26">
        <v>-1</v>
      </c>
      <c r="CG16" s="26">
        <v>0</v>
      </c>
      <c r="CN16" s="26">
        <v>4</v>
      </c>
      <c r="CO16" s="26">
        <v>4.5</v>
      </c>
      <c r="CP16" s="26">
        <v>-1</v>
      </c>
      <c r="CQ16" s="26">
        <v>0</v>
      </c>
      <c r="CX16" s="26">
        <v>4</v>
      </c>
      <c r="CY16" s="26">
        <v>4.5</v>
      </c>
      <c r="CZ16" s="26">
        <v>-1</v>
      </c>
      <c r="DA16" s="26">
        <v>0</v>
      </c>
      <c r="DH16" s="26">
        <v>4</v>
      </c>
      <c r="DI16" s="26">
        <v>4.5</v>
      </c>
      <c r="DJ16" s="26">
        <v>-1</v>
      </c>
      <c r="DK16" s="26">
        <v>0</v>
      </c>
      <c r="DR16" s="26">
        <v>4</v>
      </c>
      <c r="DS16" s="26">
        <v>4.5</v>
      </c>
      <c r="DT16" s="26">
        <v>-1</v>
      </c>
      <c r="DU16" s="26">
        <v>0</v>
      </c>
      <c r="EB16" s="26">
        <v>4</v>
      </c>
      <c r="EC16" s="26">
        <v>4.5</v>
      </c>
      <c r="ED16" s="26">
        <v>-1</v>
      </c>
      <c r="EE16" s="26">
        <v>0</v>
      </c>
      <c r="EL16" s="26">
        <v>4</v>
      </c>
      <c r="EM16" s="26">
        <v>4.5</v>
      </c>
      <c r="EN16" s="26">
        <v>-1</v>
      </c>
      <c r="EO16" s="26">
        <v>0</v>
      </c>
      <c r="EV16" s="26">
        <v>4</v>
      </c>
      <c r="EW16" s="26">
        <v>4.5</v>
      </c>
      <c r="EX16" s="26">
        <v>-1</v>
      </c>
      <c r="EY16" s="26">
        <v>0</v>
      </c>
      <c r="FF16" s="26">
        <v>4</v>
      </c>
      <c r="FG16" s="26">
        <v>4.5</v>
      </c>
      <c r="FH16" s="26">
        <v>-1</v>
      </c>
      <c r="FI16" s="26">
        <v>0</v>
      </c>
      <c r="FP16" s="26">
        <v>4</v>
      </c>
      <c r="FQ16" s="26">
        <v>4.5</v>
      </c>
      <c r="FR16" s="26">
        <v>-1</v>
      </c>
      <c r="FS16" s="26">
        <v>0</v>
      </c>
      <c r="FZ16" s="26">
        <v>4</v>
      </c>
      <c r="GA16" s="26">
        <v>4.5</v>
      </c>
      <c r="GB16" s="26">
        <v>-1</v>
      </c>
      <c r="GC16" s="26">
        <v>0</v>
      </c>
      <c r="GJ16" s="26">
        <v>4</v>
      </c>
      <c r="GK16" s="26">
        <v>4.5</v>
      </c>
      <c r="GL16" s="26">
        <v>-1</v>
      </c>
      <c r="GM16" s="26">
        <v>0</v>
      </c>
      <c r="GT16" s="26">
        <v>4</v>
      </c>
      <c r="GU16" s="26">
        <v>4.5</v>
      </c>
      <c r="GV16" s="26">
        <v>-1</v>
      </c>
      <c r="GW16" s="26">
        <v>0</v>
      </c>
    </row>
    <row r="17" spans="2:205">
      <c r="B17" s="26">
        <v>5</v>
      </c>
      <c r="C17" s="26">
        <v>0</v>
      </c>
      <c r="D17" s="26">
        <v>0</v>
      </c>
      <c r="E17" s="26">
        <v>0</v>
      </c>
      <c r="L17" s="26">
        <v>5</v>
      </c>
      <c r="M17" s="26">
        <v>0</v>
      </c>
      <c r="N17" s="26">
        <v>0</v>
      </c>
      <c r="O17" s="26">
        <v>0</v>
      </c>
      <c r="V17" s="26">
        <v>5</v>
      </c>
      <c r="W17" s="26">
        <v>0</v>
      </c>
      <c r="X17" s="26">
        <v>0</v>
      </c>
      <c r="Y17" s="26">
        <v>0</v>
      </c>
      <c r="AF17" s="26">
        <v>5</v>
      </c>
      <c r="AG17" s="26">
        <v>0</v>
      </c>
      <c r="AH17" s="26">
        <v>0</v>
      </c>
      <c r="AI17" s="26">
        <v>0</v>
      </c>
      <c r="AP17" s="26">
        <v>5</v>
      </c>
      <c r="AQ17" s="26">
        <v>0</v>
      </c>
      <c r="AR17" s="26">
        <v>0</v>
      </c>
      <c r="AS17" s="26">
        <v>0</v>
      </c>
      <c r="AZ17" s="26">
        <v>5</v>
      </c>
      <c r="BA17" s="26">
        <v>0</v>
      </c>
      <c r="BB17" s="26">
        <v>0</v>
      </c>
      <c r="BC17" s="26">
        <v>0</v>
      </c>
      <c r="BJ17" s="26">
        <v>5</v>
      </c>
      <c r="BK17" s="26">
        <v>0</v>
      </c>
      <c r="BL17" s="26">
        <v>0</v>
      </c>
      <c r="BM17" s="26">
        <v>0</v>
      </c>
      <c r="BT17" s="26">
        <v>5</v>
      </c>
      <c r="BU17" s="26">
        <v>0</v>
      </c>
      <c r="BV17" s="26">
        <v>0</v>
      </c>
      <c r="BW17" s="26">
        <v>0</v>
      </c>
      <c r="CD17" s="26">
        <v>5</v>
      </c>
      <c r="CE17" s="26">
        <v>0</v>
      </c>
      <c r="CF17" s="26">
        <v>0</v>
      </c>
      <c r="CG17" s="26">
        <v>0</v>
      </c>
      <c r="CN17" s="26">
        <v>5</v>
      </c>
      <c r="CO17" s="26">
        <v>0</v>
      </c>
      <c r="CP17" s="26">
        <v>0</v>
      </c>
      <c r="CQ17" s="26">
        <v>0</v>
      </c>
      <c r="CX17" s="26">
        <v>5</v>
      </c>
      <c r="CY17" s="26">
        <v>0</v>
      </c>
      <c r="CZ17" s="26">
        <v>0</v>
      </c>
      <c r="DA17" s="26">
        <v>0</v>
      </c>
      <c r="DH17" s="26">
        <v>5</v>
      </c>
      <c r="DI17" s="26">
        <v>0</v>
      </c>
      <c r="DJ17" s="26">
        <v>0</v>
      </c>
      <c r="DK17" s="26">
        <v>0</v>
      </c>
      <c r="DR17" s="26">
        <v>5</v>
      </c>
      <c r="DS17" s="26">
        <v>0</v>
      </c>
      <c r="DT17" s="26">
        <v>0</v>
      </c>
      <c r="DU17" s="26">
        <v>0</v>
      </c>
      <c r="EB17" s="26">
        <v>5</v>
      </c>
      <c r="EC17" s="26">
        <v>0</v>
      </c>
      <c r="ED17" s="26">
        <v>0</v>
      </c>
      <c r="EE17" s="26">
        <v>0</v>
      </c>
      <c r="EL17" s="26">
        <v>5</v>
      </c>
      <c r="EM17" s="26">
        <v>0</v>
      </c>
      <c r="EN17" s="26">
        <v>0</v>
      </c>
      <c r="EO17" s="26">
        <v>0</v>
      </c>
      <c r="EV17" s="26">
        <v>5</v>
      </c>
      <c r="EW17" s="26">
        <v>0</v>
      </c>
      <c r="EX17" s="26">
        <v>0</v>
      </c>
      <c r="EY17" s="26">
        <v>0</v>
      </c>
      <c r="FF17" s="26">
        <v>5</v>
      </c>
      <c r="FG17" s="26">
        <v>0</v>
      </c>
      <c r="FH17" s="26">
        <v>0</v>
      </c>
      <c r="FI17" s="26">
        <v>0</v>
      </c>
      <c r="FP17" s="26">
        <v>5</v>
      </c>
      <c r="FQ17" s="26">
        <v>0</v>
      </c>
      <c r="FR17" s="26">
        <v>0</v>
      </c>
      <c r="FS17" s="26">
        <v>0</v>
      </c>
      <c r="FZ17" s="26">
        <v>5</v>
      </c>
      <c r="GA17" s="26">
        <v>0</v>
      </c>
      <c r="GB17" s="26">
        <v>0</v>
      </c>
      <c r="GC17" s="26">
        <v>0</v>
      </c>
      <c r="GJ17" s="26">
        <v>5</v>
      </c>
      <c r="GK17" s="26">
        <v>0</v>
      </c>
      <c r="GL17" s="26">
        <v>0</v>
      </c>
      <c r="GM17" s="26">
        <v>0</v>
      </c>
      <c r="GT17" s="26">
        <v>5</v>
      </c>
      <c r="GU17" s="26">
        <v>0</v>
      </c>
      <c r="GV17" s="26">
        <v>0</v>
      </c>
      <c r="GW17" s="26">
        <v>0</v>
      </c>
    </row>
    <row r="18" spans="2:205">
      <c r="B18" s="26">
        <v>6</v>
      </c>
      <c r="C18" s="26">
        <v>4.5</v>
      </c>
      <c r="D18" s="26">
        <v>0</v>
      </c>
      <c r="E18" s="26">
        <v>0</v>
      </c>
      <c r="L18" s="26">
        <v>6</v>
      </c>
      <c r="M18" s="26">
        <v>4.5</v>
      </c>
      <c r="N18" s="26">
        <v>0</v>
      </c>
      <c r="O18" s="26">
        <v>0</v>
      </c>
      <c r="V18" s="26">
        <v>6</v>
      </c>
      <c r="W18" s="26">
        <v>4.5</v>
      </c>
      <c r="X18" s="26">
        <v>0</v>
      </c>
      <c r="Y18" s="26">
        <v>0</v>
      </c>
      <c r="AF18" s="26">
        <v>6</v>
      </c>
      <c r="AG18" s="26">
        <v>4.5</v>
      </c>
      <c r="AH18" s="26">
        <v>0</v>
      </c>
      <c r="AI18" s="26">
        <v>0</v>
      </c>
      <c r="AP18" s="26">
        <v>6</v>
      </c>
      <c r="AQ18" s="26">
        <v>4.5</v>
      </c>
      <c r="AR18" s="26">
        <v>0</v>
      </c>
      <c r="AS18" s="26">
        <v>0</v>
      </c>
      <c r="AZ18" s="26">
        <v>6</v>
      </c>
      <c r="BA18" s="26">
        <v>4.5</v>
      </c>
      <c r="BB18" s="26">
        <v>0</v>
      </c>
      <c r="BC18" s="26">
        <v>0</v>
      </c>
      <c r="BJ18" s="26">
        <v>6</v>
      </c>
      <c r="BK18" s="26">
        <v>4.5</v>
      </c>
      <c r="BL18" s="26">
        <v>0</v>
      </c>
      <c r="BM18" s="26">
        <v>0</v>
      </c>
      <c r="BT18" s="26">
        <v>6</v>
      </c>
      <c r="BU18" s="26">
        <v>4.5</v>
      </c>
      <c r="BV18" s="26">
        <v>0</v>
      </c>
      <c r="BW18" s="26">
        <v>0</v>
      </c>
      <c r="CD18" s="26">
        <v>6</v>
      </c>
      <c r="CE18" s="26">
        <v>4.5</v>
      </c>
      <c r="CF18" s="26">
        <v>0</v>
      </c>
      <c r="CG18" s="26">
        <v>0</v>
      </c>
      <c r="CN18" s="26">
        <v>6</v>
      </c>
      <c r="CO18" s="26">
        <v>4.5</v>
      </c>
      <c r="CP18" s="26">
        <v>0</v>
      </c>
      <c r="CQ18" s="26">
        <v>0</v>
      </c>
      <c r="CX18" s="26">
        <v>6</v>
      </c>
      <c r="CY18" s="26">
        <v>4.5</v>
      </c>
      <c r="CZ18" s="26">
        <v>0</v>
      </c>
      <c r="DA18" s="26">
        <v>0</v>
      </c>
      <c r="DH18" s="26">
        <v>6</v>
      </c>
      <c r="DI18" s="26">
        <v>4.5</v>
      </c>
      <c r="DJ18" s="26">
        <v>0</v>
      </c>
      <c r="DK18" s="26">
        <v>0</v>
      </c>
      <c r="DR18" s="26">
        <v>6</v>
      </c>
      <c r="DS18" s="26">
        <v>4.5</v>
      </c>
      <c r="DT18" s="26">
        <v>0</v>
      </c>
      <c r="DU18" s="26">
        <v>0</v>
      </c>
      <c r="EB18" s="26">
        <v>6</v>
      </c>
      <c r="EC18" s="26">
        <v>4.5</v>
      </c>
      <c r="ED18" s="26">
        <v>0</v>
      </c>
      <c r="EE18" s="26">
        <v>0</v>
      </c>
      <c r="EL18" s="26">
        <v>6</v>
      </c>
      <c r="EM18" s="26">
        <v>4.5</v>
      </c>
      <c r="EN18" s="26">
        <v>0</v>
      </c>
      <c r="EO18" s="26">
        <v>0</v>
      </c>
      <c r="EV18" s="26">
        <v>6</v>
      </c>
      <c r="EW18" s="26">
        <v>4.5</v>
      </c>
      <c r="EX18" s="26">
        <v>0</v>
      </c>
      <c r="EY18" s="26">
        <v>0</v>
      </c>
      <c r="FF18" s="26">
        <v>6</v>
      </c>
      <c r="FG18" s="26">
        <v>4.5</v>
      </c>
      <c r="FH18" s="26">
        <v>0</v>
      </c>
      <c r="FI18" s="26">
        <v>0</v>
      </c>
      <c r="FP18" s="26">
        <v>6</v>
      </c>
      <c r="FQ18" s="26">
        <v>4.5</v>
      </c>
      <c r="FR18" s="26">
        <v>0</v>
      </c>
      <c r="FS18" s="26">
        <v>0</v>
      </c>
      <c r="FZ18" s="26">
        <v>6</v>
      </c>
      <c r="GA18" s="26">
        <v>4.5</v>
      </c>
      <c r="GB18" s="26">
        <v>0</v>
      </c>
      <c r="GC18" s="26">
        <v>0</v>
      </c>
      <c r="GJ18" s="26">
        <v>6</v>
      </c>
      <c r="GK18" s="26">
        <v>4.5</v>
      </c>
      <c r="GL18" s="26">
        <v>0</v>
      </c>
      <c r="GM18" s="26">
        <v>0</v>
      </c>
      <c r="GT18" s="26">
        <v>6</v>
      </c>
      <c r="GU18" s="26">
        <v>4.5</v>
      </c>
      <c r="GV18" s="26">
        <v>0</v>
      </c>
      <c r="GW18" s="26">
        <v>0</v>
      </c>
    </row>
    <row r="19" spans="2:205">
      <c r="B19" s="26">
        <v>7</v>
      </c>
      <c r="C19" s="26">
        <v>0</v>
      </c>
      <c r="D19" s="26">
        <v>2.2400000000000002</v>
      </c>
      <c r="E19" s="26">
        <v>0</v>
      </c>
      <c r="L19" s="26">
        <v>7</v>
      </c>
      <c r="M19" s="26">
        <v>0</v>
      </c>
      <c r="N19" s="26">
        <v>2.2400000000000002</v>
      </c>
      <c r="O19" s="26">
        <v>0</v>
      </c>
      <c r="V19" s="26">
        <v>7</v>
      </c>
      <c r="W19" s="26">
        <v>0</v>
      </c>
      <c r="X19" s="26">
        <v>2.2400000000000002</v>
      </c>
      <c r="Y19" s="26">
        <v>0</v>
      </c>
      <c r="AF19" s="26">
        <v>7</v>
      </c>
      <c r="AG19" s="26">
        <v>0</v>
      </c>
      <c r="AH19" s="26">
        <v>2.2400000000000002</v>
      </c>
      <c r="AI19" s="26">
        <v>0</v>
      </c>
      <c r="AP19" s="26">
        <v>7</v>
      </c>
      <c r="AQ19" s="26">
        <v>0</v>
      </c>
      <c r="AR19" s="26">
        <v>2.2400000000000002</v>
      </c>
      <c r="AS19" s="26">
        <v>0</v>
      </c>
      <c r="AZ19" s="26">
        <v>7</v>
      </c>
      <c r="BA19" s="26">
        <v>0</v>
      </c>
      <c r="BB19" s="26">
        <v>2.2400000000000002</v>
      </c>
      <c r="BC19" s="26">
        <v>0</v>
      </c>
      <c r="BJ19" s="26">
        <v>7</v>
      </c>
      <c r="BK19" s="26">
        <v>0</v>
      </c>
      <c r="BL19" s="26">
        <v>2.2400000000000002</v>
      </c>
      <c r="BM19" s="26">
        <v>0</v>
      </c>
      <c r="BT19" s="26">
        <v>7</v>
      </c>
      <c r="BU19" s="26">
        <v>0</v>
      </c>
      <c r="BV19" s="26">
        <v>2.2400000000000002</v>
      </c>
      <c r="BW19" s="26">
        <v>0</v>
      </c>
      <c r="CD19" s="26">
        <v>7</v>
      </c>
      <c r="CE19" s="26">
        <v>0</v>
      </c>
      <c r="CF19" s="26">
        <v>2.2400000000000002</v>
      </c>
      <c r="CG19" s="26">
        <v>0</v>
      </c>
      <c r="CN19" s="26">
        <v>7</v>
      </c>
      <c r="CO19" s="26">
        <v>0</v>
      </c>
      <c r="CP19" s="26">
        <v>2.2400000000000002</v>
      </c>
      <c r="CQ19" s="26">
        <v>0</v>
      </c>
      <c r="CX19" s="26">
        <v>7</v>
      </c>
      <c r="CY19" s="26">
        <v>0</v>
      </c>
      <c r="CZ19" s="26">
        <v>2.2400000000000002</v>
      </c>
      <c r="DA19" s="26">
        <v>0</v>
      </c>
      <c r="DH19" s="26">
        <v>7</v>
      </c>
      <c r="DI19" s="26">
        <v>0</v>
      </c>
      <c r="DJ19" s="26">
        <v>2.2400000000000002</v>
      </c>
      <c r="DK19" s="26">
        <v>0</v>
      </c>
      <c r="DR19" s="26">
        <v>7</v>
      </c>
      <c r="DS19" s="26">
        <v>0</v>
      </c>
      <c r="DT19" s="26">
        <v>2.2400000000000002</v>
      </c>
      <c r="DU19" s="26">
        <v>0</v>
      </c>
      <c r="EB19" s="26">
        <v>7</v>
      </c>
      <c r="EC19" s="26">
        <v>0</v>
      </c>
      <c r="ED19" s="26">
        <v>2.2400000000000002</v>
      </c>
      <c r="EE19" s="26">
        <v>0</v>
      </c>
      <c r="EL19" s="26">
        <v>7</v>
      </c>
      <c r="EM19" s="26">
        <v>0</v>
      </c>
      <c r="EN19" s="26">
        <v>2.2400000000000002</v>
      </c>
      <c r="EO19" s="26">
        <v>0</v>
      </c>
      <c r="EV19" s="26">
        <v>7</v>
      </c>
      <c r="EW19" s="26">
        <v>0</v>
      </c>
      <c r="EX19" s="26">
        <v>2.2400000000000002</v>
      </c>
      <c r="EY19" s="26">
        <v>0</v>
      </c>
      <c r="FF19" s="26">
        <v>7</v>
      </c>
      <c r="FG19" s="26">
        <v>0</v>
      </c>
      <c r="FH19" s="26">
        <v>2.2400000000000002</v>
      </c>
      <c r="FI19" s="26">
        <v>0</v>
      </c>
      <c r="FP19" s="26">
        <v>7</v>
      </c>
      <c r="FQ19" s="26">
        <v>0</v>
      </c>
      <c r="FR19" s="26">
        <v>2.2400000000000002</v>
      </c>
      <c r="FS19" s="26">
        <v>0</v>
      </c>
      <c r="FZ19" s="26">
        <v>7</v>
      </c>
      <c r="GA19" s="26">
        <v>0</v>
      </c>
      <c r="GB19" s="26">
        <v>2.2400000000000002</v>
      </c>
      <c r="GC19" s="26">
        <v>0</v>
      </c>
      <c r="GJ19" s="26">
        <v>7</v>
      </c>
      <c r="GK19" s="26">
        <v>0</v>
      </c>
      <c r="GL19" s="26">
        <v>2.2400000000000002</v>
      </c>
      <c r="GM19" s="26">
        <v>0</v>
      </c>
      <c r="GT19" s="26">
        <v>7</v>
      </c>
      <c r="GU19" s="26">
        <v>0</v>
      </c>
      <c r="GV19" s="26">
        <v>2.2400000000000002</v>
      </c>
      <c r="GW19" s="26">
        <v>0</v>
      </c>
    </row>
    <row r="20" spans="2:205">
      <c r="B20" s="26">
        <v>8</v>
      </c>
      <c r="C20" s="26">
        <v>4.5</v>
      </c>
      <c r="D20" s="26">
        <v>2.2400000000000002</v>
      </c>
      <c r="E20" s="26">
        <v>0</v>
      </c>
      <c r="L20" s="26">
        <v>8</v>
      </c>
      <c r="M20" s="26">
        <v>4.5</v>
      </c>
      <c r="N20" s="26">
        <v>2.2400000000000002</v>
      </c>
      <c r="O20" s="26">
        <v>0</v>
      </c>
      <c r="V20" s="26">
        <v>8</v>
      </c>
      <c r="W20" s="26">
        <v>4.5</v>
      </c>
      <c r="X20" s="26">
        <v>2.2400000000000002</v>
      </c>
      <c r="Y20" s="26">
        <v>0</v>
      </c>
      <c r="AF20" s="26">
        <v>8</v>
      </c>
      <c r="AG20" s="26">
        <v>4.5</v>
      </c>
      <c r="AH20" s="26">
        <v>2.2400000000000002</v>
      </c>
      <c r="AI20" s="26">
        <v>0</v>
      </c>
      <c r="AP20" s="26">
        <v>8</v>
      </c>
      <c r="AQ20" s="26">
        <v>4.5</v>
      </c>
      <c r="AR20" s="26">
        <v>2.2400000000000002</v>
      </c>
      <c r="AS20" s="26">
        <v>0</v>
      </c>
      <c r="AZ20" s="26">
        <v>8</v>
      </c>
      <c r="BA20" s="26">
        <v>4.5</v>
      </c>
      <c r="BB20" s="26">
        <v>2.2400000000000002</v>
      </c>
      <c r="BC20" s="26">
        <v>0</v>
      </c>
      <c r="BJ20" s="26">
        <v>8</v>
      </c>
      <c r="BK20" s="26">
        <v>4.5</v>
      </c>
      <c r="BL20" s="26">
        <v>2.2400000000000002</v>
      </c>
      <c r="BM20" s="26">
        <v>0</v>
      </c>
      <c r="BT20" s="26">
        <v>8</v>
      </c>
      <c r="BU20" s="26">
        <v>4.5</v>
      </c>
      <c r="BV20" s="26">
        <v>2.2400000000000002</v>
      </c>
      <c r="BW20" s="26">
        <v>0</v>
      </c>
      <c r="CD20" s="26">
        <v>8</v>
      </c>
      <c r="CE20" s="26">
        <v>4.5</v>
      </c>
      <c r="CF20" s="26">
        <v>2.2400000000000002</v>
      </c>
      <c r="CG20" s="26">
        <v>0</v>
      </c>
      <c r="CN20" s="26">
        <v>8</v>
      </c>
      <c r="CO20" s="26">
        <v>4.5</v>
      </c>
      <c r="CP20" s="26">
        <v>2.2400000000000002</v>
      </c>
      <c r="CQ20" s="26">
        <v>0</v>
      </c>
      <c r="CX20" s="26">
        <v>8</v>
      </c>
      <c r="CY20" s="26">
        <v>4.5</v>
      </c>
      <c r="CZ20" s="26">
        <v>2.2400000000000002</v>
      </c>
      <c r="DA20" s="26">
        <v>0</v>
      </c>
      <c r="DH20" s="26">
        <v>8</v>
      </c>
      <c r="DI20" s="26">
        <v>4.5</v>
      </c>
      <c r="DJ20" s="26">
        <v>2.2400000000000002</v>
      </c>
      <c r="DK20" s="26">
        <v>0</v>
      </c>
      <c r="DR20" s="26">
        <v>8</v>
      </c>
      <c r="DS20" s="26">
        <v>4.5</v>
      </c>
      <c r="DT20" s="26">
        <v>2.2400000000000002</v>
      </c>
      <c r="DU20" s="26">
        <v>0</v>
      </c>
      <c r="EB20" s="26">
        <v>8</v>
      </c>
      <c r="EC20" s="26">
        <v>4.5</v>
      </c>
      <c r="ED20" s="26">
        <v>2.2400000000000002</v>
      </c>
      <c r="EE20" s="26">
        <v>0</v>
      </c>
      <c r="EL20" s="26">
        <v>8</v>
      </c>
      <c r="EM20" s="26">
        <v>4.5</v>
      </c>
      <c r="EN20" s="26">
        <v>2.2400000000000002</v>
      </c>
      <c r="EO20" s="26">
        <v>0</v>
      </c>
      <c r="EV20" s="26">
        <v>8</v>
      </c>
      <c r="EW20" s="26">
        <v>4.5</v>
      </c>
      <c r="EX20" s="26">
        <v>2.2400000000000002</v>
      </c>
      <c r="EY20" s="26">
        <v>0</v>
      </c>
      <c r="FF20" s="26">
        <v>8</v>
      </c>
      <c r="FG20" s="26">
        <v>4.5</v>
      </c>
      <c r="FH20" s="26">
        <v>2.2400000000000002</v>
      </c>
      <c r="FI20" s="26">
        <v>0</v>
      </c>
      <c r="FP20" s="26">
        <v>8</v>
      </c>
      <c r="FQ20" s="26">
        <v>4.5</v>
      </c>
      <c r="FR20" s="26">
        <v>2.2400000000000002</v>
      </c>
      <c r="FS20" s="26">
        <v>0</v>
      </c>
      <c r="FZ20" s="26">
        <v>8</v>
      </c>
      <c r="GA20" s="26">
        <v>4.5</v>
      </c>
      <c r="GB20" s="26">
        <v>2.2400000000000002</v>
      </c>
      <c r="GC20" s="26">
        <v>0</v>
      </c>
      <c r="GJ20" s="26">
        <v>8</v>
      </c>
      <c r="GK20" s="26">
        <v>4.5</v>
      </c>
      <c r="GL20" s="26">
        <v>2.2400000000000002</v>
      </c>
      <c r="GM20" s="26">
        <v>0</v>
      </c>
      <c r="GT20" s="26">
        <v>8</v>
      </c>
      <c r="GU20" s="26">
        <v>4.5</v>
      </c>
      <c r="GV20" s="26">
        <v>2.2400000000000002</v>
      </c>
      <c r="GW20" s="26">
        <v>0</v>
      </c>
    </row>
    <row r="21" spans="2:205">
      <c r="B21" s="26">
        <v>9</v>
      </c>
      <c r="C21" s="26">
        <v>0</v>
      </c>
      <c r="D21" s="26">
        <v>5.84</v>
      </c>
      <c r="E21" s="26">
        <v>0</v>
      </c>
      <c r="L21" s="26">
        <v>9</v>
      </c>
      <c r="M21" s="26">
        <v>0</v>
      </c>
      <c r="N21" s="26">
        <v>5.84</v>
      </c>
      <c r="O21" s="26">
        <v>0</v>
      </c>
      <c r="V21" s="26">
        <v>9</v>
      </c>
      <c r="W21" s="26">
        <v>0</v>
      </c>
      <c r="X21" s="26">
        <v>5.84</v>
      </c>
      <c r="Y21" s="26">
        <v>0</v>
      </c>
      <c r="AF21" s="26">
        <v>9</v>
      </c>
      <c r="AG21" s="26">
        <v>0</v>
      </c>
      <c r="AH21" s="26">
        <v>5.84</v>
      </c>
      <c r="AI21" s="26">
        <v>0</v>
      </c>
      <c r="AP21" s="26">
        <v>9</v>
      </c>
      <c r="AQ21" s="26">
        <v>0</v>
      </c>
      <c r="AR21" s="26">
        <v>5.84</v>
      </c>
      <c r="AS21" s="26">
        <v>0</v>
      </c>
      <c r="AZ21" s="26">
        <v>9</v>
      </c>
      <c r="BA21" s="26">
        <v>0</v>
      </c>
      <c r="BB21" s="26">
        <v>5.84</v>
      </c>
      <c r="BC21" s="26">
        <v>0</v>
      </c>
      <c r="BJ21" s="26">
        <v>9</v>
      </c>
      <c r="BK21" s="26">
        <v>0</v>
      </c>
      <c r="BL21" s="26">
        <v>5.84</v>
      </c>
      <c r="BM21" s="26">
        <v>0</v>
      </c>
      <c r="BT21" s="26">
        <v>9</v>
      </c>
      <c r="BU21" s="26">
        <v>0</v>
      </c>
      <c r="BV21" s="26">
        <v>5.84</v>
      </c>
      <c r="BW21" s="26">
        <v>0</v>
      </c>
      <c r="CD21" s="26">
        <v>9</v>
      </c>
      <c r="CE21" s="26">
        <v>0</v>
      </c>
      <c r="CF21" s="26">
        <v>5.84</v>
      </c>
      <c r="CG21" s="26">
        <v>0</v>
      </c>
      <c r="CN21" s="26">
        <v>9</v>
      </c>
      <c r="CO21" s="26">
        <v>0</v>
      </c>
      <c r="CP21" s="26">
        <v>5.84</v>
      </c>
      <c r="CQ21" s="26">
        <v>0</v>
      </c>
      <c r="CX21" s="26">
        <v>9</v>
      </c>
      <c r="CY21" s="26">
        <v>0</v>
      </c>
      <c r="CZ21" s="26">
        <v>5.84</v>
      </c>
      <c r="DA21" s="26">
        <v>0</v>
      </c>
      <c r="DH21" s="26">
        <v>9</v>
      </c>
      <c r="DI21" s="26">
        <v>0</v>
      </c>
      <c r="DJ21" s="26">
        <v>5.84</v>
      </c>
      <c r="DK21" s="26">
        <v>0</v>
      </c>
      <c r="DR21" s="26">
        <v>9</v>
      </c>
      <c r="DS21" s="26">
        <v>0</v>
      </c>
      <c r="DT21" s="26">
        <v>5.84</v>
      </c>
      <c r="DU21" s="26">
        <v>0</v>
      </c>
      <c r="EB21" s="26">
        <v>9</v>
      </c>
      <c r="EC21" s="26">
        <v>0</v>
      </c>
      <c r="ED21" s="26">
        <v>5.84</v>
      </c>
      <c r="EE21" s="26">
        <v>0</v>
      </c>
      <c r="EL21" s="26">
        <v>9</v>
      </c>
      <c r="EM21" s="26">
        <v>0</v>
      </c>
      <c r="EN21" s="26">
        <v>5.84</v>
      </c>
      <c r="EO21" s="26">
        <v>0</v>
      </c>
      <c r="EV21" s="26">
        <v>9</v>
      </c>
      <c r="EW21" s="26">
        <v>0</v>
      </c>
      <c r="EX21" s="26">
        <v>5.84</v>
      </c>
      <c r="EY21" s="26">
        <v>0</v>
      </c>
      <c r="FF21" s="26">
        <v>9</v>
      </c>
      <c r="FG21" s="26">
        <v>0</v>
      </c>
      <c r="FH21" s="26">
        <v>5.84</v>
      </c>
      <c r="FI21" s="26">
        <v>0</v>
      </c>
      <c r="FP21" s="26">
        <v>9</v>
      </c>
      <c r="FQ21" s="26">
        <v>0</v>
      </c>
      <c r="FR21" s="26">
        <v>5.84</v>
      </c>
      <c r="FS21" s="26">
        <v>0</v>
      </c>
      <c r="FZ21" s="26">
        <v>9</v>
      </c>
      <c r="GA21" s="26">
        <v>0</v>
      </c>
      <c r="GB21" s="26">
        <v>5.84</v>
      </c>
      <c r="GC21" s="26">
        <v>0</v>
      </c>
      <c r="GJ21" s="26">
        <v>9</v>
      </c>
      <c r="GK21" s="26">
        <v>0</v>
      </c>
      <c r="GL21" s="26">
        <v>5.84</v>
      </c>
      <c r="GM21" s="26">
        <v>0</v>
      </c>
      <c r="GT21" s="26">
        <v>9</v>
      </c>
      <c r="GU21" s="26">
        <v>0</v>
      </c>
      <c r="GV21" s="26">
        <v>5.84</v>
      </c>
      <c r="GW21" s="26">
        <v>0</v>
      </c>
    </row>
    <row r="22" spans="2:205">
      <c r="B22" s="26">
        <v>10</v>
      </c>
      <c r="C22" s="26">
        <v>4.5</v>
      </c>
      <c r="D22" s="26">
        <v>5.84</v>
      </c>
      <c r="E22" s="26">
        <v>0</v>
      </c>
      <c r="L22" s="26">
        <v>10</v>
      </c>
      <c r="M22" s="26">
        <v>4.5</v>
      </c>
      <c r="N22" s="26">
        <v>5.84</v>
      </c>
      <c r="O22" s="26">
        <v>0</v>
      </c>
      <c r="V22" s="26">
        <v>10</v>
      </c>
      <c r="W22" s="26">
        <v>4.5</v>
      </c>
      <c r="X22" s="26">
        <v>5.84</v>
      </c>
      <c r="Y22" s="26">
        <v>0</v>
      </c>
      <c r="AF22" s="26">
        <v>10</v>
      </c>
      <c r="AG22" s="26">
        <v>4.5</v>
      </c>
      <c r="AH22" s="26">
        <v>5.84</v>
      </c>
      <c r="AI22" s="26">
        <v>0</v>
      </c>
      <c r="AP22" s="26">
        <v>10</v>
      </c>
      <c r="AQ22" s="26">
        <v>4.5</v>
      </c>
      <c r="AR22" s="26">
        <v>5.84</v>
      </c>
      <c r="AS22" s="26">
        <v>0</v>
      </c>
      <c r="AZ22" s="26">
        <v>10</v>
      </c>
      <c r="BA22" s="26">
        <v>4.5</v>
      </c>
      <c r="BB22" s="26">
        <v>5.84</v>
      </c>
      <c r="BC22" s="26">
        <v>0</v>
      </c>
      <c r="BJ22" s="26">
        <v>10</v>
      </c>
      <c r="BK22" s="26">
        <v>4.5</v>
      </c>
      <c r="BL22" s="26">
        <v>5.84</v>
      </c>
      <c r="BM22" s="26">
        <v>0</v>
      </c>
      <c r="BT22" s="26">
        <v>10</v>
      </c>
      <c r="BU22" s="26">
        <v>4.5</v>
      </c>
      <c r="BV22" s="26">
        <v>5.84</v>
      </c>
      <c r="BW22" s="26">
        <v>0</v>
      </c>
      <c r="CD22" s="26">
        <v>10</v>
      </c>
      <c r="CE22" s="26">
        <v>4.5</v>
      </c>
      <c r="CF22" s="26">
        <v>5.84</v>
      </c>
      <c r="CG22" s="26">
        <v>0</v>
      </c>
      <c r="CN22" s="26">
        <v>10</v>
      </c>
      <c r="CO22" s="26">
        <v>4.5</v>
      </c>
      <c r="CP22" s="26">
        <v>5.84</v>
      </c>
      <c r="CQ22" s="26">
        <v>0</v>
      </c>
      <c r="CX22" s="26">
        <v>10</v>
      </c>
      <c r="CY22" s="26">
        <v>4.5</v>
      </c>
      <c r="CZ22" s="26">
        <v>5.84</v>
      </c>
      <c r="DA22" s="26">
        <v>0</v>
      </c>
      <c r="DH22" s="26">
        <v>10</v>
      </c>
      <c r="DI22" s="26">
        <v>4.5</v>
      </c>
      <c r="DJ22" s="26">
        <v>5.84</v>
      </c>
      <c r="DK22" s="26">
        <v>0</v>
      </c>
      <c r="DR22" s="26">
        <v>10</v>
      </c>
      <c r="DS22" s="26">
        <v>4.5</v>
      </c>
      <c r="DT22" s="26">
        <v>5.84</v>
      </c>
      <c r="DU22" s="26">
        <v>0</v>
      </c>
      <c r="EB22" s="26">
        <v>10</v>
      </c>
      <c r="EC22" s="26">
        <v>4.5</v>
      </c>
      <c r="ED22" s="26">
        <v>5.84</v>
      </c>
      <c r="EE22" s="26">
        <v>0</v>
      </c>
      <c r="EL22" s="26">
        <v>10</v>
      </c>
      <c r="EM22" s="26">
        <v>4.5</v>
      </c>
      <c r="EN22" s="26">
        <v>5.84</v>
      </c>
      <c r="EO22" s="26">
        <v>0</v>
      </c>
      <c r="EV22" s="26">
        <v>10</v>
      </c>
      <c r="EW22" s="26">
        <v>4.5</v>
      </c>
      <c r="EX22" s="26">
        <v>5.84</v>
      </c>
      <c r="EY22" s="26">
        <v>0</v>
      </c>
      <c r="FF22" s="26">
        <v>10</v>
      </c>
      <c r="FG22" s="26">
        <v>4.5</v>
      </c>
      <c r="FH22" s="26">
        <v>5.84</v>
      </c>
      <c r="FI22" s="26">
        <v>0</v>
      </c>
      <c r="FP22" s="26">
        <v>10</v>
      </c>
      <c r="FQ22" s="26">
        <v>4.5</v>
      </c>
      <c r="FR22" s="26">
        <v>5.84</v>
      </c>
      <c r="FS22" s="26">
        <v>0</v>
      </c>
      <c r="FZ22" s="26">
        <v>10</v>
      </c>
      <c r="GA22" s="26">
        <v>4.5</v>
      </c>
      <c r="GB22" s="26">
        <v>5.84</v>
      </c>
      <c r="GC22" s="26">
        <v>0</v>
      </c>
      <c r="GJ22" s="26">
        <v>10</v>
      </c>
      <c r="GK22" s="26">
        <v>4.5</v>
      </c>
      <c r="GL22" s="26">
        <v>5.84</v>
      </c>
      <c r="GM22" s="26">
        <v>0</v>
      </c>
      <c r="GT22" s="26">
        <v>10</v>
      </c>
      <c r="GU22" s="26">
        <v>4.5</v>
      </c>
      <c r="GV22" s="26">
        <v>5.84</v>
      </c>
      <c r="GW22" s="26">
        <v>0</v>
      </c>
    </row>
    <row r="23" spans="2:205">
      <c r="B23" s="26">
        <v>11</v>
      </c>
      <c r="C23" s="26">
        <v>0</v>
      </c>
      <c r="D23" s="26">
        <v>8.5399999999999991</v>
      </c>
      <c r="E23" s="26">
        <v>0</v>
      </c>
      <c r="L23" s="26">
        <v>11</v>
      </c>
      <c r="M23" s="26">
        <v>0</v>
      </c>
      <c r="N23" s="26">
        <v>8.5399999999999991</v>
      </c>
      <c r="O23" s="26">
        <v>0</v>
      </c>
      <c r="V23" s="26">
        <v>11</v>
      </c>
      <c r="W23" s="26">
        <v>0</v>
      </c>
      <c r="X23" s="26">
        <v>8.5399999999999991</v>
      </c>
      <c r="Y23" s="26">
        <v>0</v>
      </c>
      <c r="AF23" s="26">
        <v>11</v>
      </c>
      <c r="AG23" s="26">
        <v>0</v>
      </c>
      <c r="AH23" s="26">
        <v>8.5399999999999991</v>
      </c>
      <c r="AI23" s="26">
        <v>0</v>
      </c>
      <c r="AP23" s="26">
        <v>11</v>
      </c>
      <c r="AQ23" s="26">
        <v>0</v>
      </c>
      <c r="AR23" s="26">
        <v>8.5399999999999991</v>
      </c>
      <c r="AS23" s="26">
        <v>0</v>
      </c>
      <c r="AZ23" s="26">
        <v>11</v>
      </c>
      <c r="BA23" s="26">
        <v>0</v>
      </c>
      <c r="BB23" s="26">
        <v>8.5399999999999991</v>
      </c>
      <c r="BC23" s="26">
        <v>0</v>
      </c>
      <c r="BJ23" s="26">
        <v>11</v>
      </c>
      <c r="BK23" s="26">
        <v>0</v>
      </c>
      <c r="BL23" s="26">
        <v>8.5399999999999991</v>
      </c>
      <c r="BM23" s="26">
        <v>0</v>
      </c>
      <c r="BT23" s="26">
        <v>11</v>
      </c>
      <c r="BU23" s="26">
        <v>0</v>
      </c>
      <c r="BV23" s="26">
        <v>8.5399999999999991</v>
      </c>
      <c r="BW23" s="26">
        <v>0</v>
      </c>
      <c r="CD23" s="26">
        <v>11</v>
      </c>
      <c r="CE23" s="26">
        <v>0</v>
      </c>
      <c r="CF23" s="26">
        <v>8.5399999999999991</v>
      </c>
      <c r="CG23" s="26">
        <v>0</v>
      </c>
      <c r="CN23" s="26">
        <v>11</v>
      </c>
      <c r="CO23" s="26">
        <v>0</v>
      </c>
      <c r="CP23" s="26">
        <v>8.5399999999999991</v>
      </c>
      <c r="CQ23" s="26">
        <v>0</v>
      </c>
      <c r="CX23" s="26">
        <v>11</v>
      </c>
      <c r="CY23" s="26">
        <v>0</v>
      </c>
      <c r="CZ23" s="26">
        <v>8.5399999999999991</v>
      </c>
      <c r="DA23" s="26">
        <v>0</v>
      </c>
      <c r="DH23" s="26">
        <v>11</v>
      </c>
      <c r="DI23" s="26">
        <v>0</v>
      </c>
      <c r="DJ23" s="26">
        <v>8.5399999999999991</v>
      </c>
      <c r="DK23" s="26">
        <v>0</v>
      </c>
      <c r="DR23" s="26">
        <v>11</v>
      </c>
      <c r="DS23" s="26">
        <v>0</v>
      </c>
      <c r="DT23" s="26">
        <v>8.5399999999999991</v>
      </c>
      <c r="DU23" s="26">
        <v>0</v>
      </c>
      <c r="EB23" s="26">
        <v>11</v>
      </c>
      <c r="EC23" s="26">
        <v>0</v>
      </c>
      <c r="ED23" s="26">
        <v>8.5399999999999991</v>
      </c>
      <c r="EE23" s="26">
        <v>0</v>
      </c>
      <c r="EL23" s="26">
        <v>11</v>
      </c>
      <c r="EM23" s="26">
        <v>0</v>
      </c>
      <c r="EN23" s="26">
        <v>8.5399999999999991</v>
      </c>
      <c r="EO23" s="26">
        <v>0</v>
      </c>
      <c r="EV23" s="26">
        <v>11</v>
      </c>
      <c r="EW23" s="26">
        <v>0</v>
      </c>
      <c r="EX23" s="26">
        <v>8.5399999999999991</v>
      </c>
      <c r="EY23" s="26">
        <v>0</v>
      </c>
      <c r="FF23" s="26">
        <v>11</v>
      </c>
      <c r="FG23" s="26">
        <v>0</v>
      </c>
      <c r="FH23" s="26">
        <v>8.5399999999999991</v>
      </c>
      <c r="FI23" s="26">
        <v>0</v>
      </c>
      <c r="FP23" s="26">
        <v>11</v>
      </c>
      <c r="FQ23" s="26">
        <v>0</v>
      </c>
      <c r="FR23" s="26">
        <v>8.5399999999999991</v>
      </c>
      <c r="FS23" s="26">
        <v>0</v>
      </c>
      <c r="FZ23" s="26">
        <v>11</v>
      </c>
      <c r="GA23" s="26">
        <v>0</v>
      </c>
      <c r="GB23" s="26">
        <v>8.5399999999999991</v>
      </c>
      <c r="GC23" s="26">
        <v>0</v>
      </c>
      <c r="GJ23" s="26">
        <v>11</v>
      </c>
      <c r="GK23" s="26">
        <v>0</v>
      </c>
      <c r="GL23" s="26">
        <v>8.5399999999999991</v>
      </c>
      <c r="GM23" s="26">
        <v>0</v>
      </c>
      <c r="GT23" s="26">
        <v>11</v>
      </c>
      <c r="GU23" s="26">
        <v>0</v>
      </c>
      <c r="GV23" s="26">
        <v>8.5399999999999991</v>
      </c>
      <c r="GW23" s="26">
        <v>0</v>
      </c>
    </row>
    <row r="24" spans="2:205">
      <c r="B24" s="26">
        <v>12</v>
      </c>
      <c r="C24" s="26">
        <v>4.5</v>
      </c>
      <c r="D24" s="26">
        <v>8.5399999999999991</v>
      </c>
      <c r="E24" s="26">
        <v>0</v>
      </c>
      <c r="L24" s="26">
        <v>12</v>
      </c>
      <c r="M24" s="26">
        <v>4.5</v>
      </c>
      <c r="N24" s="26">
        <v>8.5399999999999991</v>
      </c>
      <c r="O24" s="26">
        <v>0</v>
      </c>
      <c r="V24" s="26">
        <v>12</v>
      </c>
      <c r="W24" s="26">
        <v>4.5</v>
      </c>
      <c r="X24" s="26">
        <v>8.5399999999999991</v>
      </c>
      <c r="Y24" s="26">
        <v>0</v>
      </c>
      <c r="AF24" s="26">
        <v>12</v>
      </c>
      <c r="AG24" s="26">
        <v>4.5</v>
      </c>
      <c r="AH24" s="26">
        <v>8.5399999999999991</v>
      </c>
      <c r="AI24" s="26">
        <v>0</v>
      </c>
      <c r="AP24" s="26">
        <v>12</v>
      </c>
      <c r="AQ24" s="26">
        <v>4.5</v>
      </c>
      <c r="AR24" s="26">
        <v>8.5399999999999991</v>
      </c>
      <c r="AS24" s="26">
        <v>0</v>
      </c>
      <c r="AZ24" s="26">
        <v>12</v>
      </c>
      <c r="BA24" s="26">
        <v>4.5</v>
      </c>
      <c r="BB24" s="26">
        <v>8.5399999999999991</v>
      </c>
      <c r="BC24" s="26">
        <v>0</v>
      </c>
      <c r="BJ24" s="26">
        <v>12</v>
      </c>
      <c r="BK24" s="26">
        <v>4.5</v>
      </c>
      <c r="BL24" s="26">
        <v>8.5399999999999991</v>
      </c>
      <c r="BM24" s="26">
        <v>0</v>
      </c>
      <c r="BT24" s="26">
        <v>12</v>
      </c>
      <c r="BU24" s="26">
        <v>4.5</v>
      </c>
      <c r="BV24" s="26">
        <v>8.5399999999999991</v>
      </c>
      <c r="BW24" s="26">
        <v>0</v>
      </c>
      <c r="CD24" s="26">
        <v>12</v>
      </c>
      <c r="CE24" s="26">
        <v>4.5</v>
      </c>
      <c r="CF24" s="26">
        <v>8.5399999999999991</v>
      </c>
      <c r="CG24" s="26">
        <v>0</v>
      </c>
      <c r="CN24" s="26">
        <v>12</v>
      </c>
      <c r="CO24" s="26">
        <v>4.5</v>
      </c>
      <c r="CP24" s="26">
        <v>8.5399999999999991</v>
      </c>
      <c r="CQ24" s="26">
        <v>0</v>
      </c>
      <c r="CX24" s="26">
        <v>12</v>
      </c>
      <c r="CY24" s="26">
        <v>4.5</v>
      </c>
      <c r="CZ24" s="26">
        <v>8.5399999999999991</v>
      </c>
      <c r="DA24" s="26">
        <v>0</v>
      </c>
      <c r="DH24" s="26">
        <v>12</v>
      </c>
      <c r="DI24" s="26">
        <v>4.5</v>
      </c>
      <c r="DJ24" s="26">
        <v>8.5399999999999991</v>
      </c>
      <c r="DK24" s="26">
        <v>0</v>
      </c>
      <c r="DR24" s="26">
        <v>12</v>
      </c>
      <c r="DS24" s="26">
        <v>4.5</v>
      </c>
      <c r="DT24" s="26">
        <v>8.5399999999999991</v>
      </c>
      <c r="DU24" s="26">
        <v>0</v>
      </c>
      <c r="EB24" s="26">
        <v>12</v>
      </c>
      <c r="EC24" s="26">
        <v>4.5</v>
      </c>
      <c r="ED24" s="26">
        <v>8.5399999999999991</v>
      </c>
      <c r="EE24" s="26">
        <v>0</v>
      </c>
      <c r="EL24" s="26">
        <v>12</v>
      </c>
      <c r="EM24" s="26">
        <v>4.5</v>
      </c>
      <c r="EN24" s="26">
        <v>8.5399999999999991</v>
      </c>
      <c r="EO24" s="26">
        <v>0</v>
      </c>
      <c r="EV24" s="26">
        <v>12</v>
      </c>
      <c r="EW24" s="26">
        <v>4.5</v>
      </c>
      <c r="EX24" s="26">
        <v>8.5399999999999991</v>
      </c>
      <c r="EY24" s="26">
        <v>0</v>
      </c>
      <c r="FF24" s="26">
        <v>12</v>
      </c>
      <c r="FG24" s="26">
        <v>4.5</v>
      </c>
      <c r="FH24" s="26">
        <v>8.5399999999999991</v>
      </c>
      <c r="FI24" s="26">
        <v>0</v>
      </c>
      <c r="FP24" s="26">
        <v>12</v>
      </c>
      <c r="FQ24" s="26">
        <v>4.5</v>
      </c>
      <c r="FR24" s="26">
        <v>8.5399999999999991</v>
      </c>
      <c r="FS24" s="26">
        <v>0</v>
      </c>
      <c r="FZ24" s="26">
        <v>12</v>
      </c>
      <c r="GA24" s="26">
        <v>4.5</v>
      </c>
      <c r="GB24" s="26">
        <v>8.5399999999999991</v>
      </c>
      <c r="GC24" s="26">
        <v>0</v>
      </c>
      <c r="GJ24" s="26">
        <v>12</v>
      </c>
      <c r="GK24" s="26">
        <v>4.5</v>
      </c>
      <c r="GL24" s="26">
        <v>8.5399999999999991</v>
      </c>
      <c r="GM24" s="26">
        <v>0</v>
      </c>
      <c r="GT24" s="26">
        <v>12</v>
      </c>
      <c r="GU24" s="26">
        <v>4.5</v>
      </c>
      <c r="GV24" s="26">
        <v>8.5399999999999991</v>
      </c>
      <c r="GW24" s="26">
        <v>0</v>
      </c>
    </row>
    <row r="25" spans="2:205">
      <c r="B25" s="26">
        <v>13</v>
      </c>
      <c r="C25" s="26">
        <v>0</v>
      </c>
      <c r="D25" s="26">
        <v>11.34</v>
      </c>
      <c r="E25" s="26">
        <v>0</v>
      </c>
      <c r="L25" s="26">
        <v>13</v>
      </c>
      <c r="M25" s="26">
        <v>0</v>
      </c>
      <c r="N25" s="26">
        <v>11.34</v>
      </c>
      <c r="O25" s="26">
        <v>0</v>
      </c>
      <c r="V25" s="26">
        <v>13</v>
      </c>
      <c r="W25" s="26">
        <v>0</v>
      </c>
      <c r="X25" s="26">
        <v>11.34</v>
      </c>
      <c r="Y25" s="26">
        <v>0</v>
      </c>
      <c r="AF25" s="26">
        <v>13</v>
      </c>
      <c r="AG25" s="26">
        <v>0</v>
      </c>
      <c r="AH25" s="26">
        <v>11.34</v>
      </c>
      <c r="AI25" s="26">
        <v>0</v>
      </c>
      <c r="AP25" s="26">
        <v>13</v>
      </c>
      <c r="AQ25" s="26">
        <v>0</v>
      </c>
      <c r="AR25" s="26">
        <v>11.34</v>
      </c>
      <c r="AS25" s="26">
        <v>0</v>
      </c>
      <c r="AZ25" s="26">
        <v>13</v>
      </c>
      <c r="BA25" s="26">
        <v>0</v>
      </c>
      <c r="BB25" s="26">
        <v>11.34</v>
      </c>
      <c r="BC25" s="26">
        <v>0</v>
      </c>
      <c r="BJ25" s="26">
        <v>13</v>
      </c>
      <c r="BK25" s="26">
        <v>0</v>
      </c>
      <c r="BL25" s="26">
        <v>11.34</v>
      </c>
      <c r="BM25" s="26">
        <v>0</v>
      </c>
      <c r="BT25" s="26">
        <v>13</v>
      </c>
      <c r="BU25" s="26">
        <v>0</v>
      </c>
      <c r="BV25" s="26">
        <v>11.34</v>
      </c>
      <c r="BW25" s="26">
        <v>0</v>
      </c>
      <c r="CD25" s="26">
        <v>13</v>
      </c>
      <c r="CE25" s="26">
        <v>0</v>
      </c>
      <c r="CF25" s="26">
        <v>11.34</v>
      </c>
      <c r="CG25" s="26">
        <v>0</v>
      </c>
      <c r="CN25" s="26">
        <v>13</v>
      </c>
      <c r="CO25" s="26">
        <v>0</v>
      </c>
      <c r="CP25" s="26">
        <v>11.34</v>
      </c>
      <c r="CQ25" s="26">
        <v>0</v>
      </c>
      <c r="CX25" s="26">
        <v>13</v>
      </c>
      <c r="CY25" s="26">
        <v>0</v>
      </c>
      <c r="CZ25" s="26">
        <v>11.34</v>
      </c>
      <c r="DA25" s="26">
        <v>0</v>
      </c>
      <c r="DH25" s="26">
        <v>13</v>
      </c>
      <c r="DI25" s="26">
        <v>0</v>
      </c>
      <c r="DJ25" s="26">
        <v>11.34</v>
      </c>
      <c r="DK25" s="26">
        <v>0</v>
      </c>
      <c r="DR25" s="26">
        <v>13</v>
      </c>
      <c r="DS25" s="26">
        <v>0</v>
      </c>
      <c r="DT25" s="26">
        <v>11.34</v>
      </c>
      <c r="DU25" s="26">
        <v>0</v>
      </c>
      <c r="EB25" s="26">
        <v>13</v>
      </c>
      <c r="EC25" s="26">
        <v>0</v>
      </c>
      <c r="ED25" s="26">
        <v>11.34</v>
      </c>
      <c r="EE25" s="26">
        <v>0</v>
      </c>
      <c r="EL25" s="26">
        <v>13</v>
      </c>
      <c r="EM25" s="26">
        <v>0</v>
      </c>
      <c r="EN25" s="26">
        <v>11.34</v>
      </c>
      <c r="EO25" s="26">
        <v>0</v>
      </c>
      <c r="EV25" s="26">
        <v>13</v>
      </c>
      <c r="EW25" s="26">
        <v>0</v>
      </c>
      <c r="EX25" s="26">
        <v>11.34</v>
      </c>
      <c r="EY25" s="26">
        <v>0</v>
      </c>
      <c r="FF25" s="26">
        <v>13</v>
      </c>
      <c r="FG25" s="26">
        <v>0</v>
      </c>
      <c r="FH25" s="26">
        <v>11.34</v>
      </c>
      <c r="FI25" s="26">
        <v>0</v>
      </c>
      <c r="FP25" s="26">
        <v>13</v>
      </c>
      <c r="FQ25" s="26">
        <v>0</v>
      </c>
      <c r="FR25" s="26">
        <v>11.34</v>
      </c>
      <c r="FS25" s="26">
        <v>0</v>
      </c>
      <c r="FZ25" s="26">
        <v>13</v>
      </c>
      <c r="GA25" s="26">
        <v>0</v>
      </c>
      <c r="GB25" s="26">
        <v>11.34</v>
      </c>
      <c r="GC25" s="26">
        <v>0</v>
      </c>
      <c r="GJ25" s="26">
        <v>13</v>
      </c>
      <c r="GK25" s="26">
        <v>0</v>
      </c>
      <c r="GL25" s="26">
        <v>11.34</v>
      </c>
      <c r="GM25" s="26">
        <v>0</v>
      </c>
      <c r="GT25" s="26">
        <v>13</v>
      </c>
      <c r="GU25" s="26">
        <v>0</v>
      </c>
      <c r="GV25" s="26">
        <v>11.34</v>
      </c>
      <c r="GW25" s="26">
        <v>0</v>
      </c>
    </row>
    <row r="26" spans="2:205">
      <c r="B26" s="26">
        <v>14</v>
      </c>
      <c r="C26" s="26">
        <v>4.5</v>
      </c>
      <c r="D26" s="26">
        <v>11.34</v>
      </c>
      <c r="E26" s="26">
        <v>0</v>
      </c>
      <c r="L26" s="26">
        <v>14</v>
      </c>
      <c r="M26" s="26">
        <v>4.5</v>
      </c>
      <c r="N26" s="26">
        <v>11.34</v>
      </c>
      <c r="O26" s="26">
        <v>0</v>
      </c>
      <c r="V26" s="26">
        <v>14</v>
      </c>
      <c r="W26" s="26">
        <v>4.5</v>
      </c>
      <c r="X26" s="26">
        <v>11.34</v>
      </c>
      <c r="Y26" s="26">
        <v>0</v>
      </c>
      <c r="AF26" s="26">
        <v>14</v>
      </c>
      <c r="AG26" s="26">
        <v>4.5</v>
      </c>
      <c r="AH26" s="26">
        <v>11.34</v>
      </c>
      <c r="AI26" s="26">
        <v>0</v>
      </c>
      <c r="AP26" s="26">
        <v>14</v>
      </c>
      <c r="AQ26" s="26">
        <v>4.5</v>
      </c>
      <c r="AR26" s="26">
        <v>11.34</v>
      </c>
      <c r="AS26" s="26">
        <v>0</v>
      </c>
      <c r="AZ26" s="26">
        <v>14</v>
      </c>
      <c r="BA26" s="26">
        <v>4.5</v>
      </c>
      <c r="BB26" s="26">
        <v>11.34</v>
      </c>
      <c r="BC26" s="26">
        <v>0</v>
      </c>
      <c r="BJ26" s="26">
        <v>14</v>
      </c>
      <c r="BK26" s="26">
        <v>4.5</v>
      </c>
      <c r="BL26" s="26">
        <v>11.34</v>
      </c>
      <c r="BM26" s="26">
        <v>0</v>
      </c>
      <c r="BT26" s="26">
        <v>14</v>
      </c>
      <c r="BU26" s="26">
        <v>4.5</v>
      </c>
      <c r="BV26" s="26">
        <v>11.34</v>
      </c>
      <c r="BW26" s="26">
        <v>0</v>
      </c>
      <c r="CD26" s="26">
        <v>14</v>
      </c>
      <c r="CE26" s="26">
        <v>4.5</v>
      </c>
      <c r="CF26" s="26">
        <v>11.34</v>
      </c>
      <c r="CG26" s="26">
        <v>0</v>
      </c>
      <c r="CN26" s="26">
        <v>14</v>
      </c>
      <c r="CO26" s="26">
        <v>4.5</v>
      </c>
      <c r="CP26" s="26">
        <v>11.34</v>
      </c>
      <c r="CQ26" s="26">
        <v>0</v>
      </c>
      <c r="CX26" s="26">
        <v>14</v>
      </c>
      <c r="CY26" s="26">
        <v>4.5</v>
      </c>
      <c r="CZ26" s="26">
        <v>11.34</v>
      </c>
      <c r="DA26" s="26">
        <v>0</v>
      </c>
      <c r="DH26" s="26">
        <v>14</v>
      </c>
      <c r="DI26" s="26">
        <v>4.5</v>
      </c>
      <c r="DJ26" s="26">
        <v>11.34</v>
      </c>
      <c r="DK26" s="26">
        <v>0</v>
      </c>
      <c r="DR26" s="26">
        <v>14</v>
      </c>
      <c r="DS26" s="26">
        <v>4.5</v>
      </c>
      <c r="DT26" s="26">
        <v>11.34</v>
      </c>
      <c r="DU26" s="26">
        <v>0</v>
      </c>
      <c r="EB26" s="26">
        <v>14</v>
      </c>
      <c r="EC26" s="26">
        <v>4.5</v>
      </c>
      <c r="ED26" s="26">
        <v>11.34</v>
      </c>
      <c r="EE26" s="26">
        <v>0</v>
      </c>
      <c r="EL26" s="26">
        <v>14</v>
      </c>
      <c r="EM26" s="26">
        <v>4.5</v>
      </c>
      <c r="EN26" s="26">
        <v>11.34</v>
      </c>
      <c r="EO26" s="26">
        <v>0</v>
      </c>
      <c r="EV26" s="26">
        <v>14</v>
      </c>
      <c r="EW26" s="26">
        <v>4.5</v>
      </c>
      <c r="EX26" s="26">
        <v>11.34</v>
      </c>
      <c r="EY26" s="26">
        <v>0</v>
      </c>
      <c r="FF26" s="26">
        <v>14</v>
      </c>
      <c r="FG26" s="26">
        <v>4.5</v>
      </c>
      <c r="FH26" s="26">
        <v>11.34</v>
      </c>
      <c r="FI26" s="26">
        <v>0</v>
      </c>
      <c r="FP26" s="26">
        <v>14</v>
      </c>
      <c r="FQ26" s="26">
        <v>4.5</v>
      </c>
      <c r="FR26" s="26">
        <v>11.34</v>
      </c>
      <c r="FS26" s="26">
        <v>0</v>
      </c>
      <c r="FZ26" s="26">
        <v>14</v>
      </c>
      <c r="GA26" s="26">
        <v>4.5</v>
      </c>
      <c r="GB26" s="26">
        <v>11.34</v>
      </c>
      <c r="GC26" s="26">
        <v>0</v>
      </c>
      <c r="GJ26" s="26">
        <v>14</v>
      </c>
      <c r="GK26" s="26">
        <v>4.5</v>
      </c>
      <c r="GL26" s="26">
        <v>11.34</v>
      </c>
      <c r="GM26" s="26">
        <v>0</v>
      </c>
      <c r="GT26" s="26">
        <v>14</v>
      </c>
      <c r="GU26" s="26">
        <v>4.5</v>
      </c>
      <c r="GV26" s="26">
        <v>11.34</v>
      </c>
      <c r="GW26" s="26">
        <v>0</v>
      </c>
    </row>
    <row r="27" spans="2:205">
      <c r="B27" s="26">
        <v>15</v>
      </c>
      <c r="C27" s="26">
        <v>0</v>
      </c>
      <c r="D27" s="26">
        <v>19.5</v>
      </c>
      <c r="E27" s="26">
        <v>0</v>
      </c>
      <c r="L27" s="26">
        <v>15</v>
      </c>
      <c r="M27" s="26">
        <v>0</v>
      </c>
      <c r="N27" s="26">
        <v>19.5</v>
      </c>
      <c r="O27" s="26">
        <v>0</v>
      </c>
      <c r="V27" s="26">
        <v>15</v>
      </c>
      <c r="W27" s="26">
        <v>0</v>
      </c>
      <c r="X27" s="26">
        <v>19.5</v>
      </c>
      <c r="Y27" s="26">
        <v>0</v>
      </c>
      <c r="AF27" s="26">
        <v>15</v>
      </c>
      <c r="AG27" s="26">
        <v>0</v>
      </c>
      <c r="AH27" s="26">
        <v>19.5</v>
      </c>
      <c r="AI27" s="26">
        <v>0</v>
      </c>
      <c r="AP27" s="26">
        <v>15</v>
      </c>
      <c r="AQ27" s="26">
        <v>0</v>
      </c>
      <c r="AR27" s="26">
        <v>19.5</v>
      </c>
      <c r="AS27" s="26">
        <v>0</v>
      </c>
      <c r="AZ27" s="26">
        <v>15</v>
      </c>
      <c r="BA27" s="26">
        <v>0</v>
      </c>
      <c r="BB27" s="26">
        <v>19.5</v>
      </c>
      <c r="BC27" s="26">
        <v>0</v>
      </c>
      <c r="BJ27" s="26">
        <v>15</v>
      </c>
      <c r="BK27" s="26">
        <v>0</v>
      </c>
      <c r="BL27" s="26">
        <v>19.5</v>
      </c>
      <c r="BM27" s="26">
        <v>0</v>
      </c>
      <c r="BT27" s="26">
        <v>15</v>
      </c>
      <c r="BU27" s="26">
        <v>0</v>
      </c>
      <c r="BV27" s="26">
        <v>19.5</v>
      </c>
      <c r="BW27" s="26">
        <v>0</v>
      </c>
      <c r="CD27" s="26">
        <v>15</v>
      </c>
      <c r="CE27" s="26">
        <v>0</v>
      </c>
      <c r="CF27" s="26">
        <v>19.5</v>
      </c>
      <c r="CG27" s="26">
        <v>0</v>
      </c>
      <c r="CN27" s="26">
        <v>15</v>
      </c>
      <c r="CO27" s="26">
        <v>0</v>
      </c>
      <c r="CP27" s="26">
        <v>19.5</v>
      </c>
      <c r="CQ27" s="26">
        <v>0</v>
      </c>
      <c r="CX27" s="26">
        <v>15</v>
      </c>
      <c r="CY27" s="26">
        <v>0</v>
      </c>
      <c r="CZ27" s="26">
        <v>19.5</v>
      </c>
      <c r="DA27" s="26">
        <v>0</v>
      </c>
      <c r="DH27" s="26">
        <v>15</v>
      </c>
      <c r="DI27" s="26">
        <v>0</v>
      </c>
      <c r="DJ27" s="26">
        <v>19.5</v>
      </c>
      <c r="DK27" s="26">
        <v>0</v>
      </c>
      <c r="DR27" s="26">
        <v>15</v>
      </c>
      <c r="DS27" s="26">
        <v>0</v>
      </c>
      <c r="DT27" s="26">
        <v>19.5</v>
      </c>
      <c r="DU27" s="26">
        <v>0</v>
      </c>
      <c r="EB27" s="26">
        <v>15</v>
      </c>
      <c r="EC27" s="26">
        <v>0</v>
      </c>
      <c r="ED27" s="26">
        <v>19.5</v>
      </c>
      <c r="EE27" s="26">
        <v>0</v>
      </c>
      <c r="EL27" s="26">
        <v>15</v>
      </c>
      <c r="EM27" s="26">
        <v>0</v>
      </c>
      <c r="EN27" s="26">
        <v>19.5</v>
      </c>
      <c r="EO27" s="26">
        <v>0</v>
      </c>
      <c r="EV27" s="26">
        <v>15</v>
      </c>
      <c r="EW27" s="26">
        <v>0</v>
      </c>
      <c r="EX27" s="26">
        <v>19.5</v>
      </c>
      <c r="EY27" s="26">
        <v>0</v>
      </c>
      <c r="FF27" s="26">
        <v>15</v>
      </c>
      <c r="FG27" s="26">
        <v>0</v>
      </c>
      <c r="FH27" s="26">
        <v>19.5</v>
      </c>
      <c r="FI27" s="26">
        <v>0</v>
      </c>
      <c r="FP27" s="26">
        <v>15</v>
      </c>
      <c r="FQ27" s="26">
        <v>0</v>
      </c>
      <c r="FR27" s="26">
        <v>19.5</v>
      </c>
      <c r="FS27" s="26">
        <v>0</v>
      </c>
      <c r="FZ27" s="26">
        <v>15</v>
      </c>
      <c r="GA27" s="26">
        <v>0</v>
      </c>
      <c r="GB27" s="26">
        <v>19.5</v>
      </c>
      <c r="GC27" s="26">
        <v>0</v>
      </c>
      <c r="GJ27" s="26">
        <v>15</v>
      </c>
      <c r="GK27" s="26">
        <v>0</v>
      </c>
      <c r="GL27" s="26">
        <v>19.5</v>
      </c>
      <c r="GM27" s="26">
        <v>0</v>
      </c>
      <c r="GT27" s="26">
        <v>15</v>
      </c>
      <c r="GU27" s="26">
        <v>0</v>
      </c>
      <c r="GV27" s="26">
        <v>19.5</v>
      </c>
      <c r="GW27" s="26">
        <v>0</v>
      </c>
    </row>
    <row r="28" spans="2:205">
      <c r="B28" s="26">
        <v>16</v>
      </c>
      <c r="C28" s="26">
        <v>4.5</v>
      </c>
      <c r="D28" s="26">
        <v>19.5</v>
      </c>
      <c r="E28" s="26">
        <v>0</v>
      </c>
      <c r="L28" s="26">
        <v>16</v>
      </c>
      <c r="M28" s="26">
        <v>4.5</v>
      </c>
      <c r="N28" s="26">
        <v>19.5</v>
      </c>
      <c r="O28" s="26">
        <v>0</v>
      </c>
      <c r="V28" s="26">
        <v>16</v>
      </c>
      <c r="W28" s="26">
        <v>4.5</v>
      </c>
      <c r="X28" s="26">
        <v>19.5</v>
      </c>
      <c r="Y28" s="26">
        <v>0</v>
      </c>
      <c r="AF28" s="26">
        <v>16</v>
      </c>
      <c r="AG28" s="26">
        <v>4.5</v>
      </c>
      <c r="AH28" s="26">
        <v>19.5</v>
      </c>
      <c r="AI28" s="26">
        <v>0</v>
      </c>
      <c r="AP28" s="26">
        <v>16</v>
      </c>
      <c r="AQ28" s="26">
        <v>4.5</v>
      </c>
      <c r="AR28" s="26">
        <v>19.5</v>
      </c>
      <c r="AS28" s="26">
        <v>0</v>
      </c>
      <c r="AZ28" s="26">
        <v>16</v>
      </c>
      <c r="BA28" s="26">
        <v>4.5</v>
      </c>
      <c r="BB28" s="26">
        <v>19.5</v>
      </c>
      <c r="BC28" s="26">
        <v>0</v>
      </c>
      <c r="BJ28" s="26">
        <v>16</v>
      </c>
      <c r="BK28" s="26">
        <v>4.5</v>
      </c>
      <c r="BL28" s="26">
        <v>19.5</v>
      </c>
      <c r="BM28" s="26">
        <v>0</v>
      </c>
      <c r="BT28" s="26">
        <v>16</v>
      </c>
      <c r="BU28" s="26">
        <v>4.5</v>
      </c>
      <c r="BV28" s="26">
        <v>19.5</v>
      </c>
      <c r="BW28" s="26">
        <v>0</v>
      </c>
      <c r="CD28" s="26">
        <v>16</v>
      </c>
      <c r="CE28" s="26">
        <v>4.5</v>
      </c>
      <c r="CF28" s="26">
        <v>19.5</v>
      </c>
      <c r="CG28" s="26">
        <v>0</v>
      </c>
      <c r="CN28" s="26">
        <v>16</v>
      </c>
      <c r="CO28" s="26">
        <v>4.5</v>
      </c>
      <c r="CP28" s="26">
        <v>19.5</v>
      </c>
      <c r="CQ28" s="26">
        <v>0</v>
      </c>
      <c r="CX28" s="26">
        <v>16</v>
      </c>
      <c r="CY28" s="26">
        <v>4.5</v>
      </c>
      <c r="CZ28" s="26">
        <v>19.5</v>
      </c>
      <c r="DA28" s="26">
        <v>0</v>
      </c>
      <c r="DH28" s="26">
        <v>16</v>
      </c>
      <c r="DI28" s="26">
        <v>4.5</v>
      </c>
      <c r="DJ28" s="26">
        <v>19.5</v>
      </c>
      <c r="DK28" s="26">
        <v>0</v>
      </c>
      <c r="DR28" s="26">
        <v>16</v>
      </c>
      <c r="DS28" s="26">
        <v>4.5</v>
      </c>
      <c r="DT28" s="26">
        <v>19.5</v>
      </c>
      <c r="DU28" s="26">
        <v>0</v>
      </c>
      <c r="EB28" s="26">
        <v>16</v>
      </c>
      <c r="EC28" s="26">
        <v>4.5</v>
      </c>
      <c r="ED28" s="26">
        <v>19.5</v>
      </c>
      <c r="EE28" s="26">
        <v>0</v>
      </c>
      <c r="EL28" s="26">
        <v>16</v>
      </c>
      <c r="EM28" s="26">
        <v>4.5</v>
      </c>
      <c r="EN28" s="26">
        <v>19.5</v>
      </c>
      <c r="EO28" s="26">
        <v>0</v>
      </c>
      <c r="EV28" s="26">
        <v>16</v>
      </c>
      <c r="EW28" s="26">
        <v>4.5</v>
      </c>
      <c r="EX28" s="26">
        <v>19.5</v>
      </c>
      <c r="EY28" s="26">
        <v>0</v>
      </c>
      <c r="FF28" s="26">
        <v>16</v>
      </c>
      <c r="FG28" s="26">
        <v>4.5</v>
      </c>
      <c r="FH28" s="26">
        <v>19.5</v>
      </c>
      <c r="FI28" s="26">
        <v>0</v>
      </c>
      <c r="FP28" s="26">
        <v>16</v>
      </c>
      <c r="FQ28" s="26">
        <v>4.5</v>
      </c>
      <c r="FR28" s="26">
        <v>19.5</v>
      </c>
      <c r="FS28" s="26">
        <v>0</v>
      </c>
      <c r="FZ28" s="26">
        <v>16</v>
      </c>
      <c r="GA28" s="26">
        <v>4.5</v>
      </c>
      <c r="GB28" s="26">
        <v>19.5</v>
      </c>
      <c r="GC28" s="26">
        <v>0</v>
      </c>
      <c r="GJ28" s="26">
        <v>16</v>
      </c>
      <c r="GK28" s="26">
        <v>4.5</v>
      </c>
      <c r="GL28" s="26">
        <v>19.5</v>
      </c>
      <c r="GM28" s="26">
        <v>0</v>
      </c>
      <c r="GT28" s="26">
        <v>16</v>
      </c>
      <c r="GU28" s="26">
        <v>4.5</v>
      </c>
      <c r="GV28" s="26">
        <v>19.5</v>
      </c>
      <c r="GW28" s="26">
        <v>0</v>
      </c>
    </row>
    <row r="29" spans="2:205">
      <c r="B29" s="26">
        <v>17</v>
      </c>
      <c r="C29" s="26">
        <v>0</v>
      </c>
      <c r="D29" s="26">
        <v>21</v>
      </c>
      <c r="E29" s="26">
        <v>0</v>
      </c>
      <c r="L29" s="26">
        <v>17</v>
      </c>
      <c r="M29" s="26">
        <v>0</v>
      </c>
      <c r="N29" s="26">
        <v>21</v>
      </c>
      <c r="O29" s="26">
        <v>0</v>
      </c>
      <c r="V29" s="26">
        <v>17</v>
      </c>
      <c r="W29" s="26">
        <v>0</v>
      </c>
      <c r="X29" s="26">
        <v>21</v>
      </c>
      <c r="Y29" s="26">
        <v>0</v>
      </c>
      <c r="AF29" s="26">
        <v>17</v>
      </c>
      <c r="AG29" s="26">
        <v>0</v>
      </c>
      <c r="AH29" s="26">
        <v>21</v>
      </c>
      <c r="AI29" s="26">
        <v>0</v>
      </c>
      <c r="AP29" s="26">
        <v>17</v>
      </c>
      <c r="AQ29" s="26">
        <v>0</v>
      </c>
      <c r="AR29" s="26">
        <v>21</v>
      </c>
      <c r="AS29" s="26">
        <v>0</v>
      </c>
      <c r="AZ29" s="26">
        <v>17</v>
      </c>
      <c r="BA29" s="26">
        <v>0</v>
      </c>
      <c r="BB29" s="26">
        <v>21</v>
      </c>
      <c r="BC29" s="26">
        <v>0</v>
      </c>
      <c r="BJ29" s="26">
        <v>17</v>
      </c>
      <c r="BK29" s="26">
        <v>0</v>
      </c>
      <c r="BL29" s="26">
        <v>21</v>
      </c>
      <c r="BM29" s="26">
        <v>0</v>
      </c>
      <c r="BT29" s="26">
        <v>17</v>
      </c>
      <c r="BU29" s="26">
        <v>0</v>
      </c>
      <c r="BV29" s="26">
        <v>21</v>
      </c>
      <c r="BW29" s="26">
        <v>0</v>
      </c>
      <c r="CD29" s="26">
        <v>17</v>
      </c>
      <c r="CE29" s="26">
        <v>0</v>
      </c>
      <c r="CF29" s="26">
        <v>21</v>
      </c>
      <c r="CG29" s="26">
        <v>0</v>
      </c>
      <c r="CN29" s="26">
        <v>17</v>
      </c>
      <c r="CO29" s="26">
        <v>0</v>
      </c>
      <c r="CP29" s="26">
        <v>21</v>
      </c>
      <c r="CQ29" s="26">
        <v>0</v>
      </c>
      <c r="CX29" s="26">
        <v>17</v>
      </c>
      <c r="CY29" s="26">
        <v>0</v>
      </c>
      <c r="CZ29" s="26">
        <v>21</v>
      </c>
      <c r="DA29" s="26">
        <v>0</v>
      </c>
      <c r="DH29" s="26">
        <v>17</v>
      </c>
      <c r="DI29" s="26">
        <v>0</v>
      </c>
      <c r="DJ29" s="26">
        <v>21</v>
      </c>
      <c r="DK29" s="26">
        <v>0</v>
      </c>
      <c r="DR29" s="26">
        <v>17</v>
      </c>
      <c r="DS29" s="26">
        <v>0</v>
      </c>
      <c r="DT29" s="26">
        <v>21</v>
      </c>
      <c r="DU29" s="26">
        <v>0</v>
      </c>
      <c r="EB29" s="26">
        <v>17</v>
      </c>
      <c r="EC29" s="26">
        <v>0</v>
      </c>
      <c r="ED29" s="26">
        <v>21</v>
      </c>
      <c r="EE29" s="26">
        <v>0</v>
      </c>
      <c r="EL29" s="26">
        <v>17</v>
      </c>
      <c r="EM29" s="26">
        <v>0</v>
      </c>
      <c r="EN29" s="26">
        <v>21</v>
      </c>
      <c r="EO29" s="26">
        <v>0</v>
      </c>
      <c r="EV29" s="26">
        <v>17</v>
      </c>
      <c r="EW29" s="26">
        <v>0</v>
      </c>
      <c r="EX29" s="26">
        <v>21</v>
      </c>
      <c r="EY29" s="26">
        <v>0</v>
      </c>
      <c r="FF29" s="26">
        <v>17</v>
      </c>
      <c r="FG29" s="26">
        <v>0</v>
      </c>
      <c r="FH29" s="26">
        <v>21</v>
      </c>
      <c r="FI29" s="26">
        <v>0</v>
      </c>
      <c r="FP29" s="26">
        <v>17</v>
      </c>
      <c r="FQ29" s="26">
        <v>0</v>
      </c>
      <c r="FR29" s="26">
        <v>21</v>
      </c>
      <c r="FS29" s="26">
        <v>0</v>
      </c>
      <c r="FZ29" s="26">
        <v>17</v>
      </c>
      <c r="GA29" s="26">
        <v>0</v>
      </c>
      <c r="GB29" s="26">
        <v>21</v>
      </c>
      <c r="GC29" s="26">
        <v>0</v>
      </c>
      <c r="GJ29" s="26">
        <v>17</v>
      </c>
      <c r="GK29" s="26">
        <v>0</v>
      </c>
      <c r="GL29" s="26">
        <v>21</v>
      </c>
      <c r="GM29" s="26">
        <v>0</v>
      </c>
      <c r="GT29" s="26">
        <v>17</v>
      </c>
      <c r="GU29" s="26">
        <v>0</v>
      </c>
      <c r="GV29" s="26">
        <v>21</v>
      </c>
      <c r="GW29" s="26">
        <v>0</v>
      </c>
    </row>
    <row r="30" spans="2:205">
      <c r="B30" s="26">
        <v>18</v>
      </c>
      <c r="C30" s="26">
        <v>4.5</v>
      </c>
      <c r="D30" s="26">
        <v>21</v>
      </c>
      <c r="E30" s="26">
        <v>0</v>
      </c>
      <c r="L30" s="26">
        <v>18</v>
      </c>
      <c r="M30" s="26">
        <v>4.5</v>
      </c>
      <c r="N30" s="26">
        <v>21</v>
      </c>
      <c r="O30" s="26">
        <v>0</v>
      </c>
      <c r="V30" s="26">
        <v>18</v>
      </c>
      <c r="W30" s="26">
        <v>4.5</v>
      </c>
      <c r="X30" s="26">
        <v>21</v>
      </c>
      <c r="Y30" s="26">
        <v>0</v>
      </c>
      <c r="AF30" s="26">
        <v>18</v>
      </c>
      <c r="AG30" s="26">
        <v>4.5</v>
      </c>
      <c r="AH30" s="26">
        <v>21</v>
      </c>
      <c r="AI30" s="26">
        <v>0</v>
      </c>
      <c r="AP30" s="26">
        <v>18</v>
      </c>
      <c r="AQ30" s="26">
        <v>4.5</v>
      </c>
      <c r="AR30" s="26">
        <v>21</v>
      </c>
      <c r="AS30" s="26">
        <v>0</v>
      </c>
      <c r="AZ30" s="26">
        <v>18</v>
      </c>
      <c r="BA30" s="26">
        <v>4.5</v>
      </c>
      <c r="BB30" s="26">
        <v>21</v>
      </c>
      <c r="BC30" s="26">
        <v>0</v>
      </c>
      <c r="BJ30" s="26">
        <v>18</v>
      </c>
      <c r="BK30" s="26">
        <v>4.5</v>
      </c>
      <c r="BL30" s="26">
        <v>21</v>
      </c>
      <c r="BM30" s="26">
        <v>0</v>
      </c>
      <c r="BT30" s="26">
        <v>18</v>
      </c>
      <c r="BU30" s="26">
        <v>4.5</v>
      </c>
      <c r="BV30" s="26">
        <v>21</v>
      </c>
      <c r="BW30" s="26">
        <v>0</v>
      </c>
      <c r="CD30" s="26">
        <v>18</v>
      </c>
      <c r="CE30" s="26">
        <v>4.5</v>
      </c>
      <c r="CF30" s="26">
        <v>21</v>
      </c>
      <c r="CG30" s="26">
        <v>0</v>
      </c>
      <c r="CN30" s="26">
        <v>18</v>
      </c>
      <c r="CO30" s="26">
        <v>4.5</v>
      </c>
      <c r="CP30" s="26">
        <v>21</v>
      </c>
      <c r="CQ30" s="26">
        <v>0</v>
      </c>
      <c r="CX30" s="26">
        <v>18</v>
      </c>
      <c r="CY30" s="26">
        <v>4.5</v>
      </c>
      <c r="CZ30" s="26">
        <v>21</v>
      </c>
      <c r="DA30" s="26">
        <v>0</v>
      </c>
      <c r="DH30" s="26">
        <v>18</v>
      </c>
      <c r="DI30" s="26">
        <v>4.5</v>
      </c>
      <c r="DJ30" s="26">
        <v>21</v>
      </c>
      <c r="DK30" s="26">
        <v>0</v>
      </c>
      <c r="DR30" s="26">
        <v>18</v>
      </c>
      <c r="DS30" s="26">
        <v>4.5</v>
      </c>
      <c r="DT30" s="26">
        <v>21</v>
      </c>
      <c r="DU30" s="26">
        <v>0</v>
      </c>
      <c r="EB30" s="26">
        <v>18</v>
      </c>
      <c r="EC30" s="26">
        <v>4.5</v>
      </c>
      <c r="ED30" s="26">
        <v>21</v>
      </c>
      <c r="EE30" s="26">
        <v>0</v>
      </c>
      <c r="EL30" s="26">
        <v>18</v>
      </c>
      <c r="EM30" s="26">
        <v>4.5</v>
      </c>
      <c r="EN30" s="26">
        <v>21</v>
      </c>
      <c r="EO30" s="26">
        <v>0</v>
      </c>
      <c r="EV30" s="26">
        <v>18</v>
      </c>
      <c r="EW30" s="26">
        <v>4.5</v>
      </c>
      <c r="EX30" s="26">
        <v>21</v>
      </c>
      <c r="EY30" s="26">
        <v>0</v>
      </c>
      <c r="FF30" s="26">
        <v>18</v>
      </c>
      <c r="FG30" s="26">
        <v>4.5</v>
      </c>
      <c r="FH30" s="26">
        <v>21</v>
      </c>
      <c r="FI30" s="26">
        <v>0</v>
      </c>
      <c r="FP30" s="26">
        <v>18</v>
      </c>
      <c r="FQ30" s="26">
        <v>4.5</v>
      </c>
      <c r="FR30" s="26">
        <v>21</v>
      </c>
      <c r="FS30" s="26">
        <v>0</v>
      </c>
      <c r="FZ30" s="26">
        <v>18</v>
      </c>
      <c r="GA30" s="26">
        <v>4.5</v>
      </c>
      <c r="GB30" s="26">
        <v>21</v>
      </c>
      <c r="GC30" s="26">
        <v>0</v>
      </c>
      <c r="GJ30" s="26">
        <v>18</v>
      </c>
      <c r="GK30" s="26">
        <v>4.5</v>
      </c>
      <c r="GL30" s="26">
        <v>21</v>
      </c>
      <c r="GM30" s="26">
        <v>0</v>
      </c>
      <c r="GT30" s="26">
        <v>18</v>
      </c>
      <c r="GU30" s="26">
        <v>4.5</v>
      </c>
      <c r="GV30" s="26">
        <v>21</v>
      </c>
      <c r="GW30" s="26">
        <v>0</v>
      </c>
    </row>
    <row r="33" spans="2:208">
      <c r="B33" s="26" t="s">
        <v>122</v>
      </c>
      <c r="L33" s="26" t="s">
        <v>122</v>
      </c>
      <c r="V33" s="26" t="s">
        <v>122</v>
      </c>
      <c r="AF33" s="26" t="s">
        <v>122</v>
      </c>
      <c r="AP33" s="26" t="s">
        <v>122</v>
      </c>
      <c r="AZ33" s="26" t="s">
        <v>122</v>
      </c>
      <c r="BJ33" s="26" t="s">
        <v>122</v>
      </c>
      <c r="BT33" s="26" t="s">
        <v>122</v>
      </c>
      <c r="CD33" s="26" t="s">
        <v>122</v>
      </c>
      <c r="CN33" s="26" t="s">
        <v>122</v>
      </c>
      <c r="CX33" s="26" t="s">
        <v>122</v>
      </c>
      <c r="DH33" s="26" t="s">
        <v>122</v>
      </c>
      <c r="DR33" s="26" t="s">
        <v>122</v>
      </c>
      <c r="EB33" s="26" t="s">
        <v>122</v>
      </c>
      <c r="EL33" s="26" t="s">
        <v>122</v>
      </c>
      <c r="EV33" s="26" t="s">
        <v>122</v>
      </c>
      <c r="FF33" s="26" t="s">
        <v>122</v>
      </c>
      <c r="FP33" s="26" t="s">
        <v>122</v>
      </c>
      <c r="FZ33" s="26" t="s">
        <v>122</v>
      </c>
      <c r="GJ33" s="26" t="s">
        <v>122</v>
      </c>
      <c r="GT33" s="26" t="s">
        <v>122</v>
      </c>
    </row>
    <row r="34" spans="2:208">
      <c r="C34" s="26" t="s">
        <v>119</v>
      </c>
      <c r="D34" s="26" t="s">
        <v>120</v>
      </c>
      <c r="E34" s="26" t="s">
        <v>121</v>
      </c>
      <c r="F34" s="26" t="s">
        <v>123</v>
      </c>
      <c r="G34" s="26" t="s">
        <v>124</v>
      </c>
      <c r="H34" s="26" t="s">
        <v>125</v>
      </c>
      <c r="M34" s="26" t="s">
        <v>119</v>
      </c>
      <c r="N34" s="26" t="s">
        <v>120</v>
      </c>
      <c r="O34" s="26" t="s">
        <v>121</v>
      </c>
      <c r="P34" s="26" t="s">
        <v>123</v>
      </c>
      <c r="Q34" s="26" t="s">
        <v>124</v>
      </c>
      <c r="R34" s="26" t="s">
        <v>125</v>
      </c>
      <c r="W34" s="26" t="s">
        <v>119</v>
      </c>
      <c r="X34" s="26" t="s">
        <v>120</v>
      </c>
      <c r="Y34" s="26" t="s">
        <v>121</v>
      </c>
      <c r="Z34" s="26" t="s">
        <v>123</v>
      </c>
      <c r="AA34" s="26" t="s">
        <v>124</v>
      </c>
      <c r="AB34" s="26" t="s">
        <v>125</v>
      </c>
      <c r="AG34" s="26" t="s">
        <v>119</v>
      </c>
      <c r="AH34" s="26" t="s">
        <v>120</v>
      </c>
      <c r="AI34" s="26" t="s">
        <v>121</v>
      </c>
      <c r="AJ34" s="26" t="s">
        <v>123</v>
      </c>
      <c r="AK34" s="26" t="s">
        <v>124</v>
      </c>
      <c r="AL34" s="26" t="s">
        <v>125</v>
      </c>
      <c r="AQ34" s="26" t="s">
        <v>119</v>
      </c>
      <c r="AR34" s="26" t="s">
        <v>120</v>
      </c>
      <c r="AS34" s="26" t="s">
        <v>121</v>
      </c>
      <c r="AT34" s="26" t="s">
        <v>123</v>
      </c>
      <c r="AU34" s="26" t="s">
        <v>124</v>
      </c>
      <c r="AV34" s="26" t="s">
        <v>125</v>
      </c>
      <c r="BA34" s="26" t="s">
        <v>119</v>
      </c>
      <c r="BB34" s="26" t="s">
        <v>120</v>
      </c>
      <c r="BC34" s="26" t="s">
        <v>121</v>
      </c>
      <c r="BD34" s="26" t="s">
        <v>123</v>
      </c>
      <c r="BE34" s="26" t="s">
        <v>124</v>
      </c>
      <c r="BF34" s="26" t="s">
        <v>125</v>
      </c>
      <c r="BK34" s="26" t="s">
        <v>119</v>
      </c>
      <c r="BL34" s="26" t="s">
        <v>120</v>
      </c>
      <c r="BM34" s="26" t="s">
        <v>121</v>
      </c>
      <c r="BN34" s="26" t="s">
        <v>123</v>
      </c>
      <c r="BO34" s="26" t="s">
        <v>124</v>
      </c>
      <c r="BP34" s="26" t="s">
        <v>125</v>
      </c>
      <c r="BU34" s="26" t="s">
        <v>119</v>
      </c>
      <c r="BV34" s="26" t="s">
        <v>120</v>
      </c>
      <c r="BW34" s="26" t="s">
        <v>121</v>
      </c>
      <c r="BX34" s="26" t="s">
        <v>123</v>
      </c>
      <c r="BY34" s="26" t="s">
        <v>124</v>
      </c>
      <c r="BZ34" s="26" t="s">
        <v>125</v>
      </c>
      <c r="CE34" s="26" t="s">
        <v>119</v>
      </c>
      <c r="CF34" s="26" t="s">
        <v>120</v>
      </c>
      <c r="CG34" s="26" t="s">
        <v>121</v>
      </c>
      <c r="CH34" s="26" t="s">
        <v>123</v>
      </c>
      <c r="CI34" s="26" t="s">
        <v>124</v>
      </c>
      <c r="CJ34" s="26" t="s">
        <v>125</v>
      </c>
      <c r="CO34" s="26" t="s">
        <v>119</v>
      </c>
      <c r="CP34" s="26" t="s">
        <v>120</v>
      </c>
      <c r="CQ34" s="26" t="s">
        <v>121</v>
      </c>
      <c r="CR34" s="26" t="s">
        <v>123</v>
      </c>
      <c r="CS34" s="26" t="s">
        <v>124</v>
      </c>
      <c r="CT34" s="26" t="s">
        <v>125</v>
      </c>
      <c r="CY34" s="26" t="s">
        <v>119</v>
      </c>
      <c r="CZ34" s="26" t="s">
        <v>120</v>
      </c>
      <c r="DA34" s="26" t="s">
        <v>121</v>
      </c>
      <c r="DB34" s="26" t="s">
        <v>123</v>
      </c>
      <c r="DC34" s="26" t="s">
        <v>124</v>
      </c>
      <c r="DD34" s="26" t="s">
        <v>125</v>
      </c>
      <c r="DI34" s="26" t="s">
        <v>119</v>
      </c>
      <c r="DJ34" s="26" t="s">
        <v>120</v>
      </c>
      <c r="DK34" s="26" t="s">
        <v>121</v>
      </c>
      <c r="DL34" s="26" t="s">
        <v>123</v>
      </c>
      <c r="DM34" s="26" t="s">
        <v>124</v>
      </c>
      <c r="DN34" s="26" t="s">
        <v>125</v>
      </c>
      <c r="DS34" s="26" t="s">
        <v>119</v>
      </c>
      <c r="DT34" s="26" t="s">
        <v>120</v>
      </c>
      <c r="DU34" s="26" t="s">
        <v>121</v>
      </c>
      <c r="DV34" s="26" t="s">
        <v>123</v>
      </c>
      <c r="DW34" s="26" t="s">
        <v>124</v>
      </c>
      <c r="DX34" s="26" t="s">
        <v>125</v>
      </c>
      <c r="EC34" s="26" t="s">
        <v>119</v>
      </c>
      <c r="ED34" s="26" t="s">
        <v>120</v>
      </c>
      <c r="EE34" s="26" t="s">
        <v>121</v>
      </c>
      <c r="EF34" s="26" t="s">
        <v>123</v>
      </c>
      <c r="EG34" s="26" t="s">
        <v>124</v>
      </c>
      <c r="EH34" s="26" t="s">
        <v>125</v>
      </c>
      <c r="EM34" s="26" t="s">
        <v>119</v>
      </c>
      <c r="EN34" s="26" t="s">
        <v>120</v>
      </c>
      <c r="EO34" s="26" t="s">
        <v>121</v>
      </c>
      <c r="EP34" s="26" t="s">
        <v>123</v>
      </c>
      <c r="EQ34" s="26" t="s">
        <v>124</v>
      </c>
      <c r="ER34" s="26" t="s">
        <v>125</v>
      </c>
      <c r="EW34" s="26" t="s">
        <v>119</v>
      </c>
      <c r="EX34" s="26" t="s">
        <v>120</v>
      </c>
      <c r="EY34" s="26" t="s">
        <v>121</v>
      </c>
      <c r="EZ34" s="26" t="s">
        <v>123</v>
      </c>
      <c r="FA34" s="26" t="s">
        <v>124</v>
      </c>
      <c r="FB34" s="26" t="s">
        <v>125</v>
      </c>
      <c r="FG34" s="26" t="s">
        <v>119</v>
      </c>
      <c r="FH34" s="26" t="s">
        <v>120</v>
      </c>
      <c r="FI34" s="26" t="s">
        <v>121</v>
      </c>
      <c r="FJ34" s="26" t="s">
        <v>123</v>
      </c>
      <c r="FK34" s="26" t="s">
        <v>124</v>
      </c>
      <c r="FL34" s="26" t="s">
        <v>125</v>
      </c>
      <c r="FQ34" s="26" t="s">
        <v>119</v>
      </c>
      <c r="FR34" s="26" t="s">
        <v>120</v>
      </c>
      <c r="FS34" s="26" t="s">
        <v>121</v>
      </c>
      <c r="FT34" s="26" t="s">
        <v>123</v>
      </c>
      <c r="FU34" s="26" t="s">
        <v>124</v>
      </c>
      <c r="FV34" s="26" t="s">
        <v>125</v>
      </c>
      <c r="GA34" s="26" t="s">
        <v>119</v>
      </c>
      <c r="GB34" s="26" t="s">
        <v>120</v>
      </c>
      <c r="GC34" s="26" t="s">
        <v>121</v>
      </c>
      <c r="GD34" s="26" t="s">
        <v>123</v>
      </c>
      <c r="GE34" s="26" t="s">
        <v>124</v>
      </c>
      <c r="GF34" s="26" t="s">
        <v>125</v>
      </c>
      <c r="GK34" s="26" t="s">
        <v>119</v>
      </c>
      <c r="GL34" s="26" t="s">
        <v>120</v>
      </c>
      <c r="GM34" s="26" t="s">
        <v>121</v>
      </c>
      <c r="GN34" s="26" t="s">
        <v>123</v>
      </c>
      <c r="GO34" s="26" t="s">
        <v>124</v>
      </c>
      <c r="GP34" s="26" t="s">
        <v>125</v>
      </c>
      <c r="GU34" s="26" t="s">
        <v>119</v>
      </c>
      <c r="GV34" s="26" t="s">
        <v>120</v>
      </c>
      <c r="GW34" s="26" t="s">
        <v>121</v>
      </c>
      <c r="GX34" s="26" t="s">
        <v>123</v>
      </c>
      <c r="GY34" s="26" t="s">
        <v>124</v>
      </c>
      <c r="GZ34" s="26" t="s">
        <v>125</v>
      </c>
    </row>
    <row r="55" spans="2:208">
      <c r="B55" s="26" t="s">
        <v>126</v>
      </c>
      <c r="L55" s="26" t="s">
        <v>126</v>
      </c>
      <c r="V55" s="26" t="s">
        <v>126</v>
      </c>
      <c r="AF55" s="26" t="s">
        <v>126</v>
      </c>
      <c r="AP55" s="26" t="s">
        <v>126</v>
      </c>
      <c r="AZ55" s="26" t="s">
        <v>126</v>
      </c>
      <c r="BJ55" s="26" t="s">
        <v>126</v>
      </c>
      <c r="BT55" s="26" t="s">
        <v>126</v>
      </c>
      <c r="CD55" s="26" t="s">
        <v>126</v>
      </c>
      <c r="CN55" s="26" t="s">
        <v>126</v>
      </c>
      <c r="CX55" s="26" t="s">
        <v>126</v>
      </c>
      <c r="DH55" s="26" t="s">
        <v>126</v>
      </c>
      <c r="DR55" s="26" t="s">
        <v>126</v>
      </c>
      <c r="EB55" s="26" t="s">
        <v>126</v>
      </c>
      <c r="EL55" s="26" t="s">
        <v>126</v>
      </c>
      <c r="EV55" s="26" t="s">
        <v>126</v>
      </c>
      <c r="FF55" s="26" t="s">
        <v>126</v>
      </c>
      <c r="FP55" s="26" t="s">
        <v>126</v>
      </c>
      <c r="FZ55" s="26" t="s">
        <v>126</v>
      </c>
      <c r="GJ55" s="26" t="s">
        <v>126</v>
      </c>
      <c r="GT55" s="26" t="s">
        <v>126</v>
      </c>
    </row>
    <row r="56" spans="2:208">
      <c r="C56" s="26" t="s">
        <v>127</v>
      </c>
      <c r="D56" s="26" t="s">
        <v>128</v>
      </c>
      <c r="E56" s="26" t="s">
        <v>129</v>
      </c>
      <c r="F56" s="26" t="s">
        <v>130</v>
      </c>
      <c r="G56" s="26" t="s">
        <v>131</v>
      </c>
      <c r="H56" s="26" t="s">
        <v>132</v>
      </c>
      <c r="M56" s="26" t="s">
        <v>127</v>
      </c>
      <c r="N56" s="26" t="s">
        <v>128</v>
      </c>
      <c r="O56" s="26" t="s">
        <v>129</v>
      </c>
      <c r="P56" s="26" t="s">
        <v>130</v>
      </c>
      <c r="Q56" s="26" t="s">
        <v>131</v>
      </c>
      <c r="R56" s="26" t="s">
        <v>132</v>
      </c>
      <c r="W56" s="26" t="s">
        <v>127</v>
      </c>
      <c r="X56" s="26" t="s">
        <v>128</v>
      </c>
      <c r="Y56" s="26" t="s">
        <v>129</v>
      </c>
      <c r="Z56" s="26" t="s">
        <v>130</v>
      </c>
      <c r="AA56" s="26" t="s">
        <v>131</v>
      </c>
      <c r="AB56" s="26" t="s">
        <v>132</v>
      </c>
      <c r="AG56" s="26" t="s">
        <v>127</v>
      </c>
      <c r="AH56" s="26" t="s">
        <v>128</v>
      </c>
      <c r="AI56" s="26" t="s">
        <v>129</v>
      </c>
      <c r="AJ56" s="26" t="s">
        <v>130</v>
      </c>
      <c r="AK56" s="26" t="s">
        <v>131</v>
      </c>
      <c r="AL56" s="26" t="s">
        <v>132</v>
      </c>
      <c r="AQ56" s="26" t="s">
        <v>127</v>
      </c>
      <c r="AR56" s="26" t="s">
        <v>128</v>
      </c>
      <c r="AS56" s="26" t="s">
        <v>129</v>
      </c>
      <c r="AT56" s="26" t="s">
        <v>130</v>
      </c>
      <c r="AU56" s="26" t="s">
        <v>131</v>
      </c>
      <c r="AV56" s="26" t="s">
        <v>132</v>
      </c>
      <c r="BA56" s="26" t="s">
        <v>127</v>
      </c>
      <c r="BB56" s="26" t="s">
        <v>128</v>
      </c>
      <c r="BC56" s="26" t="s">
        <v>129</v>
      </c>
      <c r="BD56" s="26" t="s">
        <v>130</v>
      </c>
      <c r="BE56" s="26" t="s">
        <v>131</v>
      </c>
      <c r="BF56" s="26" t="s">
        <v>132</v>
      </c>
      <c r="BK56" s="26" t="s">
        <v>127</v>
      </c>
      <c r="BL56" s="26" t="s">
        <v>128</v>
      </c>
      <c r="BM56" s="26" t="s">
        <v>129</v>
      </c>
      <c r="BN56" s="26" t="s">
        <v>130</v>
      </c>
      <c r="BO56" s="26" t="s">
        <v>131</v>
      </c>
      <c r="BP56" s="26" t="s">
        <v>132</v>
      </c>
      <c r="BU56" s="26" t="s">
        <v>127</v>
      </c>
      <c r="BV56" s="26" t="s">
        <v>128</v>
      </c>
      <c r="BW56" s="26" t="s">
        <v>129</v>
      </c>
      <c r="BX56" s="26" t="s">
        <v>130</v>
      </c>
      <c r="BY56" s="26" t="s">
        <v>131</v>
      </c>
      <c r="BZ56" s="26" t="s">
        <v>132</v>
      </c>
      <c r="CE56" s="26" t="s">
        <v>127</v>
      </c>
      <c r="CF56" s="26" t="s">
        <v>128</v>
      </c>
      <c r="CG56" s="26" t="s">
        <v>129</v>
      </c>
      <c r="CH56" s="26" t="s">
        <v>130</v>
      </c>
      <c r="CI56" s="26" t="s">
        <v>131</v>
      </c>
      <c r="CJ56" s="26" t="s">
        <v>132</v>
      </c>
      <c r="CO56" s="26" t="s">
        <v>127</v>
      </c>
      <c r="CP56" s="26" t="s">
        <v>128</v>
      </c>
      <c r="CQ56" s="26" t="s">
        <v>129</v>
      </c>
      <c r="CR56" s="26" t="s">
        <v>130</v>
      </c>
      <c r="CS56" s="26" t="s">
        <v>131</v>
      </c>
      <c r="CT56" s="26" t="s">
        <v>132</v>
      </c>
      <c r="CY56" s="26" t="s">
        <v>127</v>
      </c>
      <c r="CZ56" s="26" t="s">
        <v>128</v>
      </c>
      <c r="DA56" s="26" t="s">
        <v>129</v>
      </c>
      <c r="DB56" s="26" t="s">
        <v>130</v>
      </c>
      <c r="DC56" s="26" t="s">
        <v>131</v>
      </c>
      <c r="DD56" s="26" t="s">
        <v>132</v>
      </c>
      <c r="DI56" s="26" t="s">
        <v>127</v>
      </c>
      <c r="DJ56" s="26" t="s">
        <v>128</v>
      </c>
      <c r="DK56" s="26" t="s">
        <v>129</v>
      </c>
      <c r="DL56" s="26" t="s">
        <v>130</v>
      </c>
      <c r="DM56" s="26" t="s">
        <v>131</v>
      </c>
      <c r="DN56" s="26" t="s">
        <v>132</v>
      </c>
      <c r="DS56" s="26" t="s">
        <v>127</v>
      </c>
      <c r="DT56" s="26" t="s">
        <v>128</v>
      </c>
      <c r="DU56" s="26" t="s">
        <v>129</v>
      </c>
      <c r="DV56" s="26" t="s">
        <v>130</v>
      </c>
      <c r="DW56" s="26" t="s">
        <v>131</v>
      </c>
      <c r="DX56" s="26" t="s">
        <v>132</v>
      </c>
      <c r="EC56" s="26" t="s">
        <v>127</v>
      </c>
      <c r="ED56" s="26" t="s">
        <v>128</v>
      </c>
      <c r="EE56" s="26" t="s">
        <v>129</v>
      </c>
      <c r="EF56" s="26" t="s">
        <v>130</v>
      </c>
      <c r="EG56" s="26" t="s">
        <v>131</v>
      </c>
      <c r="EH56" s="26" t="s">
        <v>132</v>
      </c>
      <c r="EM56" s="26" t="s">
        <v>127</v>
      </c>
      <c r="EN56" s="26" t="s">
        <v>128</v>
      </c>
      <c r="EO56" s="26" t="s">
        <v>129</v>
      </c>
      <c r="EP56" s="26" t="s">
        <v>130</v>
      </c>
      <c r="EQ56" s="26" t="s">
        <v>131</v>
      </c>
      <c r="ER56" s="26" t="s">
        <v>132</v>
      </c>
      <c r="EW56" s="26" t="s">
        <v>127</v>
      </c>
      <c r="EX56" s="26" t="s">
        <v>128</v>
      </c>
      <c r="EY56" s="26" t="s">
        <v>129</v>
      </c>
      <c r="EZ56" s="26" t="s">
        <v>130</v>
      </c>
      <c r="FA56" s="26" t="s">
        <v>131</v>
      </c>
      <c r="FB56" s="26" t="s">
        <v>132</v>
      </c>
      <c r="FG56" s="26" t="s">
        <v>127</v>
      </c>
      <c r="FH56" s="26" t="s">
        <v>128</v>
      </c>
      <c r="FI56" s="26" t="s">
        <v>129</v>
      </c>
      <c r="FJ56" s="26" t="s">
        <v>130</v>
      </c>
      <c r="FK56" s="26" t="s">
        <v>131</v>
      </c>
      <c r="FL56" s="26" t="s">
        <v>132</v>
      </c>
      <c r="FQ56" s="26" t="s">
        <v>127</v>
      </c>
      <c r="FR56" s="26" t="s">
        <v>128</v>
      </c>
      <c r="FS56" s="26" t="s">
        <v>129</v>
      </c>
      <c r="FT56" s="26" t="s">
        <v>130</v>
      </c>
      <c r="FU56" s="26" t="s">
        <v>131</v>
      </c>
      <c r="FV56" s="26" t="s">
        <v>132</v>
      </c>
      <c r="GA56" s="26" t="s">
        <v>127</v>
      </c>
      <c r="GB56" s="26" t="s">
        <v>128</v>
      </c>
      <c r="GC56" s="26" t="s">
        <v>129</v>
      </c>
      <c r="GD56" s="26" t="s">
        <v>130</v>
      </c>
      <c r="GE56" s="26" t="s">
        <v>131</v>
      </c>
      <c r="GF56" s="26" t="s">
        <v>132</v>
      </c>
      <c r="GK56" s="26" t="s">
        <v>127</v>
      </c>
      <c r="GL56" s="26" t="s">
        <v>128</v>
      </c>
      <c r="GM56" s="26" t="s">
        <v>129</v>
      </c>
      <c r="GN56" s="26" t="s">
        <v>130</v>
      </c>
      <c r="GO56" s="26" t="s">
        <v>131</v>
      </c>
      <c r="GP56" s="26" t="s">
        <v>132</v>
      </c>
      <c r="GU56" s="26" t="s">
        <v>127</v>
      </c>
      <c r="GV56" s="26" t="s">
        <v>128</v>
      </c>
      <c r="GW56" s="26" t="s">
        <v>129</v>
      </c>
      <c r="GX56" s="26" t="s">
        <v>130</v>
      </c>
      <c r="GY56" s="26" t="s">
        <v>131</v>
      </c>
      <c r="GZ56" s="26" t="s">
        <v>132</v>
      </c>
    </row>
    <row r="77" spans="2:210">
      <c r="B77" s="26" t="s">
        <v>133</v>
      </c>
      <c r="C77" s="26">
        <v>17</v>
      </c>
      <c r="L77" s="26" t="s">
        <v>133</v>
      </c>
      <c r="M77" s="26">
        <v>17</v>
      </c>
      <c r="V77" s="26" t="s">
        <v>133</v>
      </c>
      <c r="W77" s="26">
        <v>17</v>
      </c>
      <c r="AF77" s="26" t="s">
        <v>133</v>
      </c>
      <c r="AG77" s="26">
        <v>17</v>
      </c>
      <c r="AP77" s="26" t="s">
        <v>133</v>
      </c>
      <c r="AQ77" s="26">
        <v>17</v>
      </c>
      <c r="AZ77" s="26" t="s">
        <v>133</v>
      </c>
      <c r="BA77" s="26">
        <v>17</v>
      </c>
      <c r="BJ77" s="26" t="s">
        <v>133</v>
      </c>
      <c r="BK77" s="26">
        <v>17</v>
      </c>
      <c r="BT77" s="26" t="s">
        <v>133</v>
      </c>
      <c r="BU77" s="26">
        <v>17</v>
      </c>
      <c r="CD77" s="26" t="s">
        <v>133</v>
      </c>
      <c r="CE77" s="26">
        <v>17</v>
      </c>
      <c r="CN77" s="26" t="s">
        <v>133</v>
      </c>
      <c r="CO77" s="26">
        <v>17</v>
      </c>
      <c r="CX77" s="26" t="s">
        <v>133</v>
      </c>
      <c r="CY77" s="26">
        <v>17</v>
      </c>
      <c r="DH77" s="26" t="s">
        <v>133</v>
      </c>
      <c r="DI77" s="26">
        <v>17</v>
      </c>
      <c r="DR77" s="26" t="s">
        <v>133</v>
      </c>
      <c r="DS77" s="26">
        <v>17</v>
      </c>
      <c r="EB77" s="26" t="s">
        <v>133</v>
      </c>
      <c r="EC77" s="26">
        <v>17</v>
      </c>
      <c r="EL77" s="26" t="s">
        <v>133</v>
      </c>
      <c r="EM77" s="26">
        <v>17</v>
      </c>
      <c r="EV77" s="26" t="s">
        <v>133</v>
      </c>
      <c r="EW77" s="26">
        <v>17</v>
      </c>
      <c r="FF77" s="26" t="s">
        <v>133</v>
      </c>
      <c r="FG77" s="26">
        <v>17</v>
      </c>
      <c r="FP77" s="26" t="s">
        <v>133</v>
      </c>
      <c r="FQ77" s="26">
        <v>17</v>
      </c>
      <c r="FZ77" s="26" t="s">
        <v>133</v>
      </c>
      <c r="GA77" s="26">
        <v>17</v>
      </c>
      <c r="GJ77" s="26" t="s">
        <v>133</v>
      </c>
      <c r="GK77" s="26">
        <v>17</v>
      </c>
      <c r="GT77" s="26" t="s">
        <v>133</v>
      </c>
      <c r="GU77" s="26">
        <v>17</v>
      </c>
    </row>
    <row r="79" spans="2:210">
      <c r="B79" s="26" t="s">
        <v>134</v>
      </c>
      <c r="L79" s="26" t="s">
        <v>134</v>
      </c>
      <c r="V79" s="26" t="s">
        <v>134</v>
      </c>
      <c r="AF79" s="26" t="s">
        <v>134</v>
      </c>
      <c r="AP79" s="26" t="s">
        <v>134</v>
      </c>
      <c r="AZ79" s="26" t="s">
        <v>134</v>
      </c>
      <c r="BJ79" s="26" t="s">
        <v>134</v>
      </c>
      <c r="BT79" s="26" t="s">
        <v>134</v>
      </c>
      <c r="CD79" s="26" t="s">
        <v>134</v>
      </c>
      <c r="CN79" s="26" t="s">
        <v>134</v>
      </c>
      <c r="CX79" s="26" t="s">
        <v>134</v>
      </c>
      <c r="DH79" s="26" t="s">
        <v>134</v>
      </c>
      <c r="DR79" s="26" t="s">
        <v>134</v>
      </c>
      <c r="EB79" s="26" t="s">
        <v>134</v>
      </c>
      <c r="EL79" s="26" t="s">
        <v>134</v>
      </c>
      <c r="EV79" s="26" t="s">
        <v>134</v>
      </c>
      <c r="FF79" s="26" t="s">
        <v>134</v>
      </c>
      <c r="FP79" s="26" t="s">
        <v>134</v>
      </c>
      <c r="FZ79" s="26" t="s">
        <v>134</v>
      </c>
      <c r="GJ79" s="26" t="s">
        <v>134</v>
      </c>
      <c r="GT79" s="26" t="s">
        <v>134</v>
      </c>
    </row>
    <row r="80" spans="2:210">
      <c r="C80" s="26" t="s">
        <v>135</v>
      </c>
      <c r="D80" s="26" t="s">
        <v>139</v>
      </c>
      <c r="E80" s="26" t="s">
        <v>136</v>
      </c>
      <c r="F80" s="26" t="s">
        <v>137</v>
      </c>
      <c r="G80" s="26" t="s">
        <v>138</v>
      </c>
      <c r="H80" s="26" t="s">
        <v>130</v>
      </c>
      <c r="I80" s="26" t="s">
        <v>131</v>
      </c>
      <c r="J80" s="26" t="s">
        <v>132</v>
      </c>
      <c r="M80" s="26" t="s">
        <v>135</v>
      </c>
      <c r="N80" s="26" t="s">
        <v>139</v>
      </c>
      <c r="O80" s="26" t="s">
        <v>136</v>
      </c>
      <c r="P80" s="26" t="s">
        <v>137</v>
      </c>
      <c r="Q80" s="26" t="s">
        <v>138</v>
      </c>
      <c r="R80" s="26" t="s">
        <v>130</v>
      </c>
      <c r="S80" s="26" t="s">
        <v>131</v>
      </c>
      <c r="T80" s="26" t="s">
        <v>132</v>
      </c>
      <c r="W80" s="26" t="s">
        <v>135</v>
      </c>
      <c r="X80" s="26" t="s">
        <v>139</v>
      </c>
      <c r="Y80" s="26" t="s">
        <v>136</v>
      </c>
      <c r="Z80" s="26" t="s">
        <v>137</v>
      </c>
      <c r="AA80" s="26" t="s">
        <v>138</v>
      </c>
      <c r="AB80" s="26" t="s">
        <v>130</v>
      </c>
      <c r="AC80" s="26" t="s">
        <v>131</v>
      </c>
      <c r="AD80" s="26" t="s">
        <v>132</v>
      </c>
      <c r="AG80" s="26" t="s">
        <v>135</v>
      </c>
      <c r="AH80" s="26" t="s">
        <v>139</v>
      </c>
      <c r="AI80" s="26" t="s">
        <v>136</v>
      </c>
      <c r="AJ80" s="26" t="s">
        <v>137</v>
      </c>
      <c r="AK80" s="26" t="s">
        <v>138</v>
      </c>
      <c r="AL80" s="26" t="s">
        <v>130</v>
      </c>
      <c r="AM80" s="26" t="s">
        <v>131</v>
      </c>
      <c r="AN80" s="26" t="s">
        <v>132</v>
      </c>
      <c r="AQ80" s="26" t="s">
        <v>135</v>
      </c>
      <c r="AR80" s="26" t="s">
        <v>139</v>
      </c>
      <c r="AS80" s="26" t="s">
        <v>136</v>
      </c>
      <c r="AT80" s="26" t="s">
        <v>137</v>
      </c>
      <c r="AU80" s="26" t="s">
        <v>138</v>
      </c>
      <c r="AV80" s="26" t="s">
        <v>130</v>
      </c>
      <c r="AW80" s="26" t="s">
        <v>131</v>
      </c>
      <c r="AX80" s="26" t="s">
        <v>132</v>
      </c>
      <c r="BA80" s="26" t="s">
        <v>135</v>
      </c>
      <c r="BB80" s="26" t="s">
        <v>139</v>
      </c>
      <c r="BC80" s="26" t="s">
        <v>136</v>
      </c>
      <c r="BD80" s="26" t="s">
        <v>137</v>
      </c>
      <c r="BE80" s="26" t="s">
        <v>138</v>
      </c>
      <c r="BF80" s="26" t="s">
        <v>130</v>
      </c>
      <c r="BG80" s="26" t="s">
        <v>131</v>
      </c>
      <c r="BH80" s="26" t="s">
        <v>132</v>
      </c>
      <c r="BK80" s="26" t="s">
        <v>135</v>
      </c>
      <c r="BL80" s="26" t="s">
        <v>139</v>
      </c>
      <c r="BM80" s="26" t="s">
        <v>136</v>
      </c>
      <c r="BN80" s="26" t="s">
        <v>137</v>
      </c>
      <c r="BO80" s="26" t="s">
        <v>138</v>
      </c>
      <c r="BP80" s="26" t="s">
        <v>130</v>
      </c>
      <c r="BQ80" s="26" t="s">
        <v>131</v>
      </c>
      <c r="BR80" s="26" t="s">
        <v>132</v>
      </c>
      <c r="BU80" s="26" t="s">
        <v>135</v>
      </c>
      <c r="BV80" s="26" t="s">
        <v>139</v>
      </c>
      <c r="BW80" s="26" t="s">
        <v>136</v>
      </c>
      <c r="BX80" s="26" t="s">
        <v>137</v>
      </c>
      <c r="BY80" s="26" t="s">
        <v>138</v>
      </c>
      <c r="BZ80" s="26" t="s">
        <v>130</v>
      </c>
      <c r="CA80" s="26" t="s">
        <v>131</v>
      </c>
      <c r="CB80" s="26" t="s">
        <v>132</v>
      </c>
      <c r="CE80" s="26" t="s">
        <v>135</v>
      </c>
      <c r="CF80" s="26" t="s">
        <v>139</v>
      </c>
      <c r="CG80" s="26" t="s">
        <v>136</v>
      </c>
      <c r="CH80" s="26" t="s">
        <v>137</v>
      </c>
      <c r="CI80" s="26" t="s">
        <v>138</v>
      </c>
      <c r="CJ80" s="26" t="s">
        <v>130</v>
      </c>
      <c r="CK80" s="26" t="s">
        <v>131</v>
      </c>
      <c r="CL80" s="26" t="s">
        <v>132</v>
      </c>
      <c r="CO80" s="26" t="s">
        <v>135</v>
      </c>
      <c r="CP80" s="26" t="s">
        <v>139</v>
      </c>
      <c r="CQ80" s="26" t="s">
        <v>136</v>
      </c>
      <c r="CR80" s="26" t="s">
        <v>137</v>
      </c>
      <c r="CS80" s="26" t="s">
        <v>138</v>
      </c>
      <c r="CT80" s="26" t="s">
        <v>130</v>
      </c>
      <c r="CU80" s="26" t="s">
        <v>131</v>
      </c>
      <c r="CV80" s="26" t="s">
        <v>132</v>
      </c>
      <c r="CY80" s="26" t="s">
        <v>135</v>
      </c>
      <c r="CZ80" s="26" t="s">
        <v>139</v>
      </c>
      <c r="DA80" s="26" t="s">
        <v>136</v>
      </c>
      <c r="DB80" s="26" t="s">
        <v>137</v>
      </c>
      <c r="DC80" s="26" t="s">
        <v>138</v>
      </c>
      <c r="DD80" s="26" t="s">
        <v>130</v>
      </c>
      <c r="DE80" s="26" t="s">
        <v>131</v>
      </c>
      <c r="DF80" s="26" t="s">
        <v>132</v>
      </c>
      <c r="DI80" s="26" t="s">
        <v>135</v>
      </c>
      <c r="DJ80" s="26" t="s">
        <v>139</v>
      </c>
      <c r="DK80" s="26" t="s">
        <v>136</v>
      </c>
      <c r="DL80" s="26" t="s">
        <v>137</v>
      </c>
      <c r="DM80" s="26" t="s">
        <v>138</v>
      </c>
      <c r="DN80" s="26" t="s">
        <v>130</v>
      </c>
      <c r="DO80" s="26" t="s">
        <v>131</v>
      </c>
      <c r="DP80" s="26" t="s">
        <v>132</v>
      </c>
      <c r="DS80" s="26" t="s">
        <v>135</v>
      </c>
      <c r="DT80" s="26" t="s">
        <v>139</v>
      </c>
      <c r="DU80" s="26" t="s">
        <v>136</v>
      </c>
      <c r="DV80" s="26" t="s">
        <v>137</v>
      </c>
      <c r="DW80" s="26" t="s">
        <v>138</v>
      </c>
      <c r="DX80" s="26" t="s">
        <v>130</v>
      </c>
      <c r="DY80" s="26" t="s">
        <v>131</v>
      </c>
      <c r="DZ80" s="26" t="s">
        <v>132</v>
      </c>
      <c r="EC80" s="26" t="s">
        <v>135</v>
      </c>
      <c r="ED80" s="26" t="s">
        <v>139</v>
      </c>
      <c r="EE80" s="26" t="s">
        <v>136</v>
      </c>
      <c r="EF80" s="26" t="s">
        <v>137</v>
      </c>
      <c r="EG80" s="26" t="s">
        <v>138</v>
      </c>
      <c r="EH80" s="26" t="s">
        <v>130</v>
      </c>
      <c r="EI80" s="26" t="s">
        <v>131</v>
      </c>
      <c r="EJ80" s="26" t="s">
        <v>132</v>
      </c>
      <c r="EM80" s="26" t="s">
        <v>135</v>
      </c>
      <c r="EN80" s="26" t="s">
        <v>139</v>
      </c>
      <c r="EO80" s="26" t="s">
        <v>136</v>
      </c>
      <c r="EP80" s="26" t="s">
        <v>137</v>
      </c>
      <c r="EQ80" s="26" t="s">
        <v>138</v>
      </c>
      <c r="ER80" s="26" t="s">
        <v>130</v>
      </c>
      <c r="ES80" s="26" t="s">
        <v>131</v>
      </c>
      <c r="ET80" s="26" t="s">
        <v>132</v>
      </c>
      <c r="EW80" s="26" t="s">
        <v>135</v>
      </c>
      <c r="EX80" s="26" t="s">
        <v>139</v>
      </c>
      <c r="EY80" s="26" t="s">
        <v>136</v>
      </c>
      <c r="EZ80" s="26" t="s">
        <v>137</v>
      </c>
      <c r="FA80" s="26" t="s">
        <v>138</v>
      </c>
      <c r="FB80" s="26" t="s">
        <v>130</v>
      </c>
      <c r="FC80" s="26" t="s">
        <v>131</v>
      </c>
      <c r="FD80" s="26" t="s">
        <v>132</v>
      </c>
      <c r="FG80" s="26" t="s">
        <v>135</v>
      </c>
      <c r="FH80" s="26" t="s">
        <v>139</v>
      </c>
      <c r="FI80" s="26" t="s">
        <v>136</v>
      </c>
      <c r="FJ80" s="26" t="s">
        <v>137</v>
      </c>
      <c r="FK80" s="26" t="s">
        <v>138</v>
      </c>
      <c r="FL80" s="26" t="s">
        <v>130</v>
      </c>
      <c r="FM80" s="26" t="s">
        <v>131</v>
      </c>
      <c r="FN80" s="26" t="s">
        <v>132</v>
      </c>
      <c r="FQ80" s="26" t="s">
        <v>135</v>
      </c>
      <c r="FR80" s="26" t="s">
        <v>139</v>
      </c>
      <c r="FS80" s="26" t="s">
        <v>136</v>
      </c>
      <c r="FT80" s="26" t="s">
        <v>137</v>
      </c>
      <c r="FU80" s="26" t="s">
        <v>138</v>
      </c>
      <c r="FV80" s="26" t="s">
        <v>130</v>
      </c>
      <c r="FW80" s="26" t="s">
        <v>131</v>
      </c>
      <c r="FX80" s="26" t="s">
        <v>132</v>
      </c>
      <c r="GA80" s="26" t="s">
        <v>135</v>
      </c>
      <c r="GB80" s="26" t="s">
        <v>139</v>
      </c>
      <c r="GC80" s="26" t="s">
        <v>136</v>
      </c>
      <c r="GD80" s="26" t="s">
        <v>137</v>
      </c>
      <c r="GE80" s="26" t="s">
        <v>138</v>
      </c>
      <c r="GF80" s="26" t="s">
        <v>130</v>
      </c>
      <c r="GG80" s="26" t="s">
        <v>131</v>
      </c>
      <c r="GH80" s="26" t="s">
        <v>132</v>
      </c>
      <c r="GK80" s="26" t="s">
        <v>135</v>
      </c>
      <c r="GL80" s="26" t="s">
        <v>139</v>
      </c>
      <c r="GM80" s="26" t="s">
        <v>136</v>
      </c>
      <c r="GN80" s="26" t="s">
        <v>137</v>
      </c>
      <c r="GO80" s="26" t="s">
        <v>138</v>
      </c>
      <c r="GP80" s="26" t="s">
        <v>130</v>
      </c>
      <c r="GQ80" s="26" t="s">
        <v>131</v>
      </c>
      <c r="GR80" s="26" t="s">
        <v>132</v>
      </c>
      <c r="GU80" s="26" t="s">
        <v>135</v>
      </c>
      <c r="GV80" s="26" t="s">
        <v>139</v>
      </c>
      <c r="GW80" s="26" t="s">
        <v>136</v>
      </c>
      <c r="GX80" s="26" t="s">
        <v>137</v>
      </c>
      <c r="GY80" s="26" t="s">
        <v>138</v>
      </c>
      <c r="GZ80" s="26" t="s">
        <v>130</v>
      </c>
      <c r="HA80" s="26" t="s">
        <v>131</v>
      </c>
      <c r="HB80" s="26" t="s">
        <v>132</v>
      </c>
    </row>
    <row r="81" spans="2:202">
      <c r="B81" s="95"/>
      <c r="L81" s="95"/>
      <c r="V81" s="95"/>
      <c r="AF81" s="95"/>
      <c r="AP81" s="95"/>
      <c r="AZ81" s="95"/>
      <c r="BJ81" s="95"/>
      <c r="BT81" s="95"/>
      <c r="CD81" s="95"/>
      <c r="CN81" s="95"/>
      <c r="CX81" s="95"/>
      <c r="DH81" s="95"/>
      <c r="DR81" s="95"/>
      <c r="EB81" s="95"/>
      <c r="EL81" s="95"/>
      <c r="EV81" s="95"/>
      <c r="FF81" s="95"/>
      <c r="FP81" s="95"/>
      <c r="FZ81" s="95"/>
      <c r="GJ81" s="95"/>
      <c r="GT81" s="95"/>
    </row>
    <row r="83" spans="2:202">
      <c r="B83" s="95"/>
      <c r="L83" s="95"/>
      <c r="V83" s="95"/>
      <c r="AF83" s="95"/>
      <c r="AP83" s="95"/>
      <c r="AZ83" s="95"/>
      <c r="BJ83" s="95"/>
      <c r="BT83" s="95"/>
      <c r="CD83" s="95"/>
      <c r="CN83" s="95"/>
      <c r="CX83" s="95"/>
      <c r="DH83" s="95"/>
      <c r="DR83" s="95"/>
      <c r="EB83" s="95"/>
      <c r="EL83" s="95"/>
      <c r="EV83" s="95"/>
      <c r="FF83" s="95"/>
      <c r="FP83" s="95"/>
      <c r="FZ83" s="95"/>
      <c r="GJ83" s="95"/>
      <c r="GT83" s="95"/>
    </row>
    <row r="85" spans="2:202">
      <c r="B85" s="95"/>
      <c r="L85" s="95"/>
      <c r="V85" s="95"/>
      <c r="AF85" s="95"/>
      <c r="AP85" s="95"/>
      <c r="AZ85" s="95"/>
      <c r="BJ85" s="95"/>
      <c r="BT85" s="95"/>
      <c r="CD85" s="95"/>
      <c r="CN85" s="95"/>
      <c r="CX85" s="95"/>
      <c r="DH85" s="95"/>
      <c r="DR85" s="95"/>
      <c r="EB85" s="95"/>
      <c r="EL85" s="95"/>
      <c r="EV85" s="95"/>
      <c r="FF85" s="95"/>
      <c r="FP85" s="95"/>
      <c r="FZ85" s="95"/>
      <c r="GJ85" s="95"/>
      <c r="GT85" s="95"/>
    </row>
    <row r="87" spans="2:202">
      <c r="B87" s="95"/>
      <c r="L87" s="95"/>
      <c r="V87" s="95"/>
      <c r="AF87" s="95"/>
      <c r="AP87" s="95"/>
      <c r="AZ87" s="95"/>
      <c r="BJ87" s="95"/>
      <c r="BT87" s="95"/>
      <c r="CD87" s="95"/>
      <c r="CN87" s="95"/>
      <c r="CX87" s="95"/>
      <c r="DH87" s="95"/>
      <c r="DR87" s="95"/>
      <c r="EB87" s="95"/>
      <c r="EL87" s="95"/>
      <c r="EV87" s="95"/>
      <c r="FF87" s="95"/>
      <c r="FP87" s="95"/>
      <c r="FZ87" s="95"/>
      <c r="GJ87" s="95"/>
      <c r="GT87" s="95"/>
    </row>
    <row r="89" spans="2:202">
      <c r="B89" s="95"/>
      <c r="L89" s="95"/>
      <c r="V89" s="95"/>
      <c r="AF89" s="95"/>
      <c r="AP89" s="95"/>
      <c r="AZ89" s="95"/>
      <c r="BJ89" s="95"/>
      <c r="BT89" s="95"/>
      <c r="CD89" s="95"/>
      <c r="CN89" s="95"/>
      <c r="CX89" s="95"/>
      <c r="DH89" s="95"/>
      <c r="DR89" s="95"/>
      <c r="EB89" s="95"/>
      <c r="EL89" s="95"/>
      <c r="EV89" s="95"/>
      <c r="FF89" s="95"/>
      <c r="FP89" s="95"/>
      <c r="FZ89" s="95"/>
      <c r="GJ89" s="95"/>
      <c r="GT89" s="95"/>
    </row>
    <row r="91" spans="2:202">
      <c r="B91" s="95"/>
      <c r="L91" s="95"/>
      <c r="V91" s="95"/>
      <c r="AF91" s="95"/>
      <c r="AP91" s="95"/>
      <c r="AZ91" s="95"/>
      <c r="BJ91" s="95"/>
      <c r="BT91" s="95"/>
      <c r="CD91" s="95"/>
      <c r="CN91" s="95"/>
      <c r="CX91" s="95"/>
      <c r="DH91" s="95"/>
      <c r="DR91" s="95"/>
      <c r="EB91" s="95"/>
      <c r="EL91" s="95"/>
      <c r="EV91" s="95"/>
      <c r="FF91" s="95"/>
      <c r="FP91" s="95"/>
      <c r="FZ91" s="95"/>
      <c r="GJ91" s="95"/>
      <c r="GT91" s="95"/>
    </row>
    <row r="93" spans="2:202">
      <c r="B93" s="95"/>
      <c r="L93" s="95"/>
      <c r="V93" s="95"/>
      <c r="AF93" s="95"/>
      <c r="AP93" s="95"/>
      <c r="AZ93" s="95"/>
      <c r="BJ93" s="95"/>
      <c r="BT93" s="95"/>
      <c r="CD93" s="95"/>
      <c r="CN93" s="95"/>
      <c r="CX93" s="95"/>
      <c r="DH93" s="95"/>
      <c r="DR93" s="95"/>
      <c r="EB93" s="95"/>
      <c r="EL93" s="95"/>
      <c r="EV93" s="95"/>
      <c r="FF93" s="95"/>
      <c r="FP93" s="95"/>
      <c r="FZ93" s="95"/>
      <c r="GJ93" s="95"/>
      <c r="GT93" s="95"/>
    </row>
    <row r="95" spans="2:202">
      <c r="B95" s="95"/>
      <c r="L95" s="95"/>
      <c r="V95" s="95"/>
      <c r="AF95" s="95"/>
      <c r="AP95" s="95"/>
      <c r="AZ95" s="95"/>
      <c r="BJ95" s="95"/>
      <c r="BT95" s="95"/>
      <c r="CD95" s="95"/>
      <c r="CN95" s="95"/>
      <c r="CX95" s="95"/>
      <c r="DH95" s="95"/>
      <c r="DR95" s="95"/>
      <c r="EB95" s="95"/>
      <c r="EL95" s="95"/>
      <c r="EV95" s="95"/>
      <c r="FF95" s="95"/>
      <c r="FP95" s="95"/>
      <c r="FZ95" s="95"/>
      <c r="GJ95" s="95"/>
      <c r="GT95" s="95"/>
    </row>
    <row r="97" spans="2:202">
      <c r="B97" s="95"/>
      <c r="L97" s="95"/>
      <c r="V97" s="95"/>
      <c r="AF97" s="95"/>
      <c r="AP97" s="95"/>
      <c r="AZ97" s="95"/>
      <c r="BJ97" s="95"/>
      <c r="BT97" s="95"/>
      <c r="CD97" s="95"/>
      <c r="CN97" s="95"/>
      <c r="CX97" s="95"/>
      <c r="DH97" s="95"/>
      <c r="DR97" s="95"/>
      <c r="EB97" s="95"/>
      <c r="EL97" s="95"/>
      <c r="EV97" s="95"/>
      <c r="FF97" s="95"/>
      <c r="FP97" s="95"/>
      <c r="FZ97" s="95"/>
      <c r="GJ97" s="95"/>
      <c r="GT97" s="95"/>
    </row>
    <row r="99" spans="2:202">
      <c r="B99" s="95"/>
      <c r="L99" s="95"/>
      <c r="V99" s="95"/>
      <c r="AF99" s="95"/>
      <c r="AP99" s="95"/>
      <c r="AZ99" s="95"/>
      <c r="BJ99" s="95"/>
      <c r="BT99" s="95"/>
      <c r="CD99" s="95"/>
      <c r="CN99" s="95"/>
      <c r="CX99" s="95"/>
      <c r="DH99" s="95"/>
      <c r="DR99" s="95"/>
      <c r="EB99" s="95"/>
      <c r="EL99" s="95"/>
      <c r="EV99" s="95"/>
      <c r="FF99" s="95"/>
      <c r="FP99" s="95"/>
      <c r="FZ99" s="95"/>
      <c r="GJ99" s="95"/>
      <c r="GT99" s="95"/>
    </row>
    <row r="101" spans="2:202">
      <c r="B101" s="95"/>
      <c r="L101" s="95"/>
      <c r="V101" s="95"/>
      <c r="AF101" s="95"/>
      <c r="AP101" s="95"/>
      <c r="AZ101" s="95"/>
      <c r="BJ101" s="95"/>
      <c r="BT101" s="95"/>
      <c r="CD101" s="95"/>
      <c r="CN101" s="95"/>
      <c r="CX101" s="95"/>
      <c r="DH101" s="95"/>
      <c r="DR101" s="95"/>
      <c r="EB101" s="95"/>
      <c r="EL101" s="95"/>
      <c r="EV101" s="95"/>
      <c r="FF101" s="95"/>
      <c r="FP101" s="95"/>
      <c r="FZ101" s="95"/>
      <c r="GJ101" s="95"/>
      <c r="GT101" s="95"/>
    </row>
    <row r="103" spans="2:202">
      <c r="B103" s="95"/>
      <c r="L103" s="95"/>
      <c r="V103" s="95"/>
      <c r="AF103" s="95"/>
      <c r="AP103" s="95"/>
      <c r="AZ103" s="95"/>
      <c r="BJ103" s="95"/>
      <c r="BT103" s="95"/>
      <c r="CD103" s="95"/>
      <c r="CN103" s="95"/>
      <c r="CX103" s="95"/>
      <c r="DH103" s="95"/>
      <c r="DR103" s="95"/>
      <c r="EB103" s="95"/>
      <c r="EL103" s="95"/>
      <c r="EV103" s="95"/>
      <c r="FF103" s="95"/>
      <c r="FP103" s="95"/>
      <c r="FZ103" s="95"/>
      <c r="GJ103" s="95"/>
      <c r="GT103" s="95"/>
    </row>
    <row r="105" spans="2:202">
      <c r="B105" s="95"/>
      <c r="L105" s="95"/>
      <c r="V105" s="95"/>
      <c r="AF105" s="95"/>
      <c r="AP105" s="95"/>
      <c r="AZ105" s="95"/>
      <c r="BJ105" s="95"/>
      <c r="BT105" s="95"/>
      <c r="CD105" s="95"/>
      <c r="CN105" s="95"/>
      <c r="CX105" s="95"/>
      <c r="DH105" s="95"/>
      <c r="DR105" s="95"/>
      <c r="EB105" s="95"/>
      <c r="EL105" s="95"/>
      <c r="EV105" s="95"/>
      <c r="FF105" s="95"/>
      <c r="FP105" s="95"/>
      <c r="FZ105" s="95"/>
      <c r="GJ105" s="95"/>
      <c r="GT105" s="95"/>
    </row>
    <row r="107" spans="2:202">
      <c r="B107" s="95"/>
      <c r="L107" s="95"/>
      <c r="V107" s="95"/>
      <c r="AF107" s="95"/>
      <c r="AP107" s="95"/>
      <c r="AZ107" s="95"/>
      <c r="BJ107" s="95"/>
      <c r="BT107" s="95"/>
      <c r="CD107" s="95"/>
      <c r="CN107" s="95"/>
      <c r="CX107" s="95"/>
      <c r="DH107" s="95"/>
      <c r="DR107" s="95"/>
      <c r="EB107" s="95"/>
      <c r="EL107" s="95"/>
      <c r="EV107" s="95"/>
      <c r="FF107" s="95"/>
      <c r="FP107" s="95"/>
      <c r="FZ107" s="95"/>
      <c r="GJ107" s="95"/>
      <c r="GT107" s="95"/>
    </row>
    <row r="109" spans="2:202">
      <c r="B109" s="95"/>
      <c r="L109" s="95"/>
      <c r="V109" s="95"/>
      <c r="AF109" s="95"/>
      <c r="AP109" s="95"/>
      <c r="AZ109" s="95"/>
      <c r="BJ109" s="95"/>
      <c r="BT109" s="95"/>
      <c r="CD109" s="95"/>
      <c r="CN109" s="95"/>
      <c r="CX109" s="95"/>
      <c r="DH109" s="95"/>
      <c r="DR109" s="95"/>
      <c r="EB109" s="95"/>
      <c r="EL109" s="95"/>
      <c r="EV109" s="95"/>
      <c r="FF109" s="95"/>
      <c r="FP109" s="95"/>
      <c r="FZ109" s="95"/>
      <c r="GJ109" s="95"/>
      <c r="GT109" s="95"/>
    </row>
    <row r="111" spans="2:202">
      <c r="B111" s="95"/>
      <c r="L111" s="95"/>
      <c r="V111" s="95"/>
      <c r="AF111" s="95"/>
      <c r="AP111" s="95"/>
      <c r="AZ111" s="95"/>
      <c r="BJ111" s="95"/>
      <c r="BT111" s="95"/>
      <c r="CD111" s="95"/>
      <c r="CN111" s="95"/>
      <c r="CX111" s="95"/>
      <c r="DH111" s="95"/>
      <c r="DR111" s="95"/>
      <c r="EB111" s="95"/>
      <c r="EL111" s="95"/>
      <c r="EV111" s="95"/>
      <c r="FF111" s="95"/>
      <c r="FP111" s="95"/>
      <c r="FZ111" s="95"/>
      <c r="GJ111" s="95"/>
      <c r="GT111" s="95"/>
    </row>
    <row r="113" spans="2:202">
      <c r="B113" s="95"/>
      <c r="L113" s="95"/>
      <c r="V113" s="95"/>
      <c r="AF113" s="95"/>
      <c r="AP113" s="95"/>
      <c r="AZ113" s="95"/>
      <c r="BJ113" s="95"/>
      <c r="BT113" s="95"/>
      <c r="CD113" s="95"/>
      <c r="CN113" s="95"/>
      <c r="CX113" s="95"/>
      <c r="DH113" s="95"/>
      <c r="DR113" s="95"/>
      <c r="EB113" s="95"/>
      <c r="EL113" s="95"/>
      <c r="EV113" s="95"/>
      <c r="FF113" s="95"/>
      <c r="FP113" s="95"/>
      <c r="FZ113" s="95"/>
      <c r="GJ113" s="95"/>
      <c r="GT113" s="95"/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"/>
  <sheetViews>
    <sheetView zoomScaleNormal="100" workbookViewId="0">
      <selection activeCell="C28" sqref="C28:M29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/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15" sqref="N15"/>
    </sheetView>
  </sheetViews>
  <sheetFormatPr defaultColWidth="8.875" defaultRowHeight="16.5" customHeight="1"/>
  <cols>
    <col min="1" max="3" width="8.875" style="49"/>
    <col min="4" max="4" width="9.5" style="49" bestFit="1" customWidth="1"/>
    <col min="5" max="16384" width="8.875" style="49"/>
  </cols>
  <sheetData>
    <row r="2" spans="2:11" ht="16.5" customHeight="1">
      <c r="B2" s="78" t="s">
        <v>38</v>
      </c>
    </row>
    <row r="4" spans="2:11" ht="16.5" customHeight="1">
      <c r="B4" s="195" t="s">
        <v>39</v>
      </c>
      <c r="C4" s="196"/>
      <c r="D4" s="91" t="s">
        <v>75</v>
      </c>
      <c r="F4" s="200"/>
      <c r="G4" s="201"/>
      <c r="H4" s="201"/>
      <c r="I4" s="201"/>
      <c r="J4" s="201"/>
      <c r="K4" s="202"/>
    </row>
    <row r="5" spans="2:11" ht="16.5" customHeight="1">
      <c r="B5" s="79"/>
      <c r="C5" s="80" t="s">
        <v>40</v>
      </c>
      <c r="D5" s="91" t="s">
        <v>140</v>
      </c>
      <c r="F5" s="203"/>
      <c r="G5" s="197"/>
      <c r="H5" s="197"/>
      <c r="I5" s="197"/>
      <c r="J5" s="197"/>
      <c r="K5" s="204"/>
    </row>
    <row r="6" spans="2:11" ht="16.5" customHeight="1">
      <c r="B6" s="81"/>
      <c r="C6" s="82" t="s">
        <v>41</v>
      </c>
      <c r="D6" s="92">
        <v>1</v>
      </c>
      <c r="F6" s="203"/>
      <c r="G6" s="197"/>
      <c r="H6" s="197"/>
      <c r="I6" s="197"/>
      <c r="J6" s="197"/>
      <c r="K6" s="204"/>
    </row>
    <row r="7" spans="2:11" ht="16.5" customHeight="1">
      <c r="B7" s="195" t="s">
        <v>42</v>
      </c>
      <c r="C7" s="196"/>
      <c r="D7" s="91" t="s">
        <v>75</v>
      </c>
      <c r="F7" s="203"/>
      <c r="G7" s="197"/>
      <c r="H7" s="197"/>
      <c r="I7" s="197"/>
      <c r="J7" s="197"/>
      <c r="K7" s="204"/>
    </row>
    <row r="8" spans="2:11" ht="16.5" customHeight="1">
      <c r="B8" s="79"/>
      <c r="C8" s="80" t="s">
        <v>40</v>
      </c>
      <c r="D8" s="91" t="s">
        <v>76</v>
      </c>
      <c r="F8" s="203"/>
      <c r="G8" s="197"/>
      <c r="H8" s="197"/>
      <c r="I8" s="197"/>
      <c r="J8" s="197"/>
      <c r="K8" s="204"/>
    </row>
    <row r="9" spans="2:11" ht="16.5" customHeight="1">
      <c r="B9" s="81"/>
      <c r="C9" s="82" t="s">
        <v>41</v>
      </c>
      <c r="D9" s="93">
        <v>1</v>
      </c>
      <c r="F9" s="203"/>
      <c r="G9" s="197"/>
      <c r="H9" s="197"/>
      <c r="I9" s="197"/>
      <c r="J9" s="197"/>
      <c r="K9" s="204"/>
    </row>
    <row r="10" spans="2:11" ht="16.5" customHeight="1">
      <c r="B10" s="195" t="s">
        <v>82</v>
      </c>
      <c r="C10" s="196"/>
      <c r="D10" s="91" t="s">
        <v>83</v>
      </c>
      <c r="F10" s="203"/>
      <c r="G10" s="197"/>
      <c r="H10" s="197"/>
      <c r="I10" s="197"/>
      <c r="J10" s="197"/>
      <c r="K10" s="204"/>
    </row>
    <row r="11" spans="2:11" ht="16.5" customHeight="1">
      <c r="B11" s="81"/>
      <c r="C11" s="83" t="s">
        <v>43</v>
      </c>
      <c r="D11" s="94">
        <v>20</v>
      </c>
      <c r="F11" s="203"/>
      <c r="G11" s="197"/>
      <c r="H11" s="197"/>
      <c r="I11" s="197"/>
      <c r="J11" s="197"/>
      <c r="K11" s="204"/>
    </row>
    <row r="12" spans="2:11" ht="16.5" customHeight="1">
      <c r="D12" s="84"/>
      <c r="F12" s="203"/>
      <c r="G12" s="197"/>
      <c r="H12" s="197"/>
      <c r="I12" s="197"/>
      <c r="J12" s="197"/>
      <c r="K12" s="204"/>
    </row>
    <row r="13" spans="2:11" ht="16.5" customHeight="1">
      <c r="B13" s="85" t="s">
        <v>44</v>
      </c>
      <c r="C13" s="86"/>
      <c r="D13" s="87"/>
      <c r="F13" s="203"/>
      <c r="G13" s="197"/>
      <c r="H13" s="197"/>
      <c r="I13" s="197"/>
      <c r="J13" s="197"/>
      <c r="K13" s="204"/>
    </row>
    <row r="14" spans="2:11" ht="16.5" customHeight="1">
      <c r="B14" s="88"/>
      <c r="C14" s="89" t="s">
        <v>45</v>
      </c>
      <c r="D14" s="91">
        <v>180</v>
      </c>
      <c r="F14" s="203"/>
      <c r="G14" s="197"/>
      <c r="H14" s="197"/>
      <c r="I14" s="197"/>
      <c r="J14" s="197"/>
      <c r="K14" s="204"/>
    </row>
    <row r="15" spans="2:11" ht="16.5" customHeight="1">
      <c r="B15" s="88"/>
      <c r="C15" s="89" t="s">
        <v>46</v>
      </c>
      <c r="D15" s="91">
        <v>0</v>
      </c>
      <c r="F15" s="203"/>
      <c r="G15" s="197"/>
      <c r="H15" s="197"/>
      <c r="I15" s="197"/>
      <c r="J15" s="197"/>
      <c r="K15" s="204"/>
    </row>
    <row r="16" spans="2:11" ht="16.5" customHeight="1">
      <c r="B16" s="90"/>
      <c r="C16" s="89" t="s">
        <v>47</v>
      </c>
      <c r="D16" s="91">
        <v>0</v>
      </c>
      <c r="F16" s="203"/>
      <c r="G16" s="197"/>
      <c r="H16" s="197"/>
      <c r="I16" s="197"/>
      <c r="J16" s="197"/>
      <c r="K16" s="204"/>
    </row>
    <row r="17" spans="3:11" ht="16.5" customHeight="1">
      <c r="F17" s="203"/>
      <c r="G17" s="197"/>
      <c r="H17" s="197"/>
      <c r="I17" s="197"/>
      <c r="J17" s="197"/>
      <c r="K17" s="204"/>
    </row>
    <row r="18" spans="3:11" ht="16.5" customHeight="1">
      <c r="F18" s="203"/>
      <c r="G18" s="197"/>
      <c r="H18" s="197"/>
      <c r="I18" s="197"/>
      <c r="J18" s="197"/>
      <c r="K18" s="204"/>
    </row>
    <row r="19" spans="3:11" ht="16.5" customHeight="1">
      <c r="F19" s="203"/>
      <c r="G19" s="197"/>
      <c r="H19" s="197"/>
      <c r="I19" s="197"/>
      <c r="J19" s="197"/>
      <c r="K19" s="204"/>
    </row>
    <row r="20" spans="3:11" ht="16.5" customHeight="1">
      <c r="F20" s="203"/>
      <c r="G20" s="197"/>
      <c r="H20" s="197"/>
      <c r="I20" s="197"/>
      <c r="J20" s="197"/>
      <c r="K20" s="204"/>
    </row>
    <row r="21" spans="3:11" ht="16.5" customHeight="1">
      <c r="F21" s="203"/>
      <c r="G21" s="197"/>
      <c r="H21" s="197"/>
      <c r="I21" s="197"/>
      <c r="J21" s="197"/>
      <c r="K21" s="204"/>
    </row>
    <row r="22" spans="3:11" ht="16.5" customHeight="1">
      <c r="F22" s="203"/>
      <c r="G22" s="197"/>
      <c r="H22" s="197"/>
      <c r="I22" s="197"/>
      <c r="J22" s="197"/>
      <c r="K22" s="204"/>
    </row>
    <row r="23" spans="3:11" ht="16.5" customHeight="1">
      <c r="F23" s="203"/>
      <c r="G23" s="197"/>
      <c r="H23" s="197"/>
      <c r="I23" s="197"/>
      <c r="J23" s="197"/>
      <c r="K23" s="204"/>
    </row>
    <row r="24" spans="3:11" ht="16.5" customHeight="1">
      <c r="F24" s="203"/>
      <c r="G24" s="197"/>
      <c r="H24" s="197"/>
      <c r="I24" s="197"/>
      <c r="J24" s="197"/>
      <c r="K24" s="204"/>
    </row>
    <row r="25" spans="3:11" ht="16.5" customHeight="1">
      <c r="C25" s="89" t="s">
        <v>59</v>
      </c>
      <c r="D25" s="91">
        <v>1</v>
      </c>
      <c r="F25" s="203"/>
      <c r="G25" s="197"/>
      <c r="H25" s="197"/>
      <c r="I25" s="197"/>
      <c r="J25" s="197"/>
      <c r="K25" s="204"/>
    </row>
    <row r="26" spans="3:11" ht="16.5" customHeight="1">
      <c r="F26" s="203"/>
      <c r="G26" s="197"/>
      <c r="H26" s="197"/>
      <c r="I26" s="197"/>
      <c r="J26" s="197"/>
      <c r="K26" s="204"/>
    </row>
    <row r="27" spans="3:11" ht="16.5" customHeight="1">
      <c r="F27" s="205"/>
      <c r="G27" s="206"/>
      <c r="H27" s="206"/>
      <c r="I27" s="206"/>
      <c r="J27" s="206"/>
      <c r="K27" s="207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758</vt:i4>
      </vt:variant>
    </vt:vector>
  </HeadingPairs>
  <TitlesOfParts>
    <vt:vector size="775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計算・出力!header_回転X10</vt:lpstr>
      <vt:lpstr>計算・出力!header_回転X11</vt:lpstr>
      <vt:lpstr>計算・出力!header_回転X12</vt:lpstr>
      <vt:lpstr>計算・出力!header_回転X13</vt:lpstr>
      <vt:lpstr>計算・出力!header_回転X14</vt:lpstr>
      <vt:lpstr>計算・出力!header_回転X15</vt:lpstr>
      <vt:lpstr>計算・出力!header_回転X16</vt:lpstr>
      <vt:lpstr>計算・出力!header_回転X17</vt:lpstr>
      <vt:lpstr>計算・出力!header_回転X18</vt:lpstr>
      <vt:lpstr>計算・出力!header_回転X19</vt:lpstr>
      <vt:lpstr>計算・出力!header_回転X2</vt:lpstr>
      <vt:lpstr>計算・出力!header_回転X20</vt:lpstr>
      <vt:lpstr>計算・出力!header_回転X21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計算・出力!header_回転X8</vt:lpstr>
      <vt:lpstr>計算・出力!header_回転X9</vt:lpstr>
      <vt:lpstr>計算・出力!header_回転Y1</vt:lpstr>
      <vt:lpstr>計算・出力!header_回転Y10</vt:lpstr>
      <vt:lpstr>計算・出力!header_回転Y11</vt:lpstr>
      <vt:lpstr>計算・出力!header_回転Y12</vt:lpstr>
      <vt:lpstr>計算・出力!header_回転Y13</vt:lpstr>
      <vt:lpstr>計算・出力!header_回転Y14</vt:lpstr>
      <vt:lpstr>計算・出力!header_回転Y15</vt:lpstr>
      <vt:lpstr>計算・出力!header_回転Y16</vt:lpstr>
      <vt:lpstr>計算・出力!header_回転Y17</vt:lpstr>
      <vt:lpstr>計算・出力!header_回転Y18</vt:lpstr>
      <vt:lpstr>計算・出力!header_回転Y19</vt:lpstr>
      <vt:lpstr>計算・出力!header_回転Y2</vt:lpstr>
      <vt:lpstr>計算・出力!header_回転Y20</vt:lpstr>
      <vt:lpstr>計算・出力!header_回転Y21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計算・出力!header_回転Y8</vt:lpstr>
      <vt:lpstr>計算・出力!header_回転Y9</vt:lpstr>
      <vt:lpstr>計算・出力!header_回転Z1</vt:lpstr>
      <vt:lpstr>計算・出力!header_回転Z10</vt:lpstr>
      <vt:lpstr>計算・出力!header_回転Z11</vt:lpstr>
      <vt:lpstr>計算・出力!header_回転Z12</vt:lpstr>
      <vt:lpstr>計算・出力!header_回転Z13</vt:lpstr>
      <vt:lpstr>計算・出力!header_回転Z14</vt:lpstr>
      <vt:lpstr>計算・出力!header_回転Z15</vt:lpstr>
      <vt:lpstr>計算・出力!header_回転Z16</vt:lpstr>
      <vt:lpstr>計算・出力!header_回転Z17</vt:lpstr>
      <vt:lpstr>計算・出力!header_回転Z18</vt:lpstr>
      <vt:lpstr>計算・出力!header_回転Z19</vt:lpstr>
      <vt:lpstr>計算・出力!header_回転Z2</vt:lpstr>
      <vt:lpstr>計算・出力!header_回転Z20</vt:lpstr>
      <vt:lpstr>計算・出力!header_回転Z21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計算・出力!header_回転Z8</vt:lpstr>
      <vt:lpstr>計算・出力!header_回転Z9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計算・出力!header_節点X10</vt:lpstr>
      <vt:lpstr>計算・出力!header_節点X11</vt:lpstr>
      <vt:lpstr>計算・出力!header_節点X12</vt:lpstr>
      <vt:lpstr>計算・出力!header_節点X13</vt:lpstr>
      <vt:lpstr>計算・出力!header_節点X14</vt:lpstr>
      <vt:lpstr>計算・出力!header_節点X15</vt:lpstr>
      <vt:lpstr>計算・出力!header_節点X16</vt:lpstr>
      <vt:lpstr>計算・出力!header_節点X17</vt:lpstr>
      <vt:lpstr>計算・出力!header_節点X18</vt:lpstr>
      <vt:lpstr>計算・出力!header_節点X19</vt:lpstr>
      <vt:lpstr>計算・出力!header_節点X2</vt:lpstr>
      <vt:lpstr>計算・出力!header_節点X20</vt:lpstr>
      <vt:lpstr>計算・出力!header_節点X21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計算・出力!header_節点X8</vt:lpstr>
      <vt:lpstr>計算・出力!header_節点X9</vt:lpstr>
      <vt:lpstr>計算・出力!header_節点Y1</vt:lpstr>
      <vt:lpstr>計算・出力!header_節点Y10</vt:lpstr>
      <vt:lpstr>計算・出力!header_節点Y11</vt:lpstr>
      <vt:lpstr>計算・出力!header_節点Y12</vt:lpstr>
      <vt:lpstr>計算・出力!header_節点Y13</vt:lpstr>
      <vt:lpstr>計算・出力!header_節点Y14</vt:lpstr>
      <vt:lpstr>計算・出力!header_節点Y15</vt:lpstr>
      <vt:lpstr>計算・出力!header_節点Y16</vt:lpstr>
      <vt:lpstr>計算・出力!header_節点Y17</vt:lpstr>
      <vt:lpstr>計算・出力!header_節点Y18</vt:lpstr>
      <vt:lpstr>計算・出力!header_節点Y19</vt:lpstr>
      <vt:lpstr>計算・出力!header_節点Y2</vt:lpstr>
      <vt:lpstr>計算・出力!header_節点Y20</vt:lpstr>
      <vt:lpstr>計算・出力!header_節点Y21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計算・出力!header_節点Y8</vt:lpstr>
      <vt:lpstr>計算・出力!header_節点Y9</vt:lpstr>
      <vt:lpstr>計算・出力!header_節点Z1</vt:lpstr>
      <vt:lpstr>計算・出力!header_節点Z10</vt:lpstr>
      <vt:lpstr>計算・出力!header_節点Z11</vt:lpstr>
      <vt:lpstr>計算・出力!header_節点Z12</vt:lpstr>
      <vt:lpstr>計算・出力!header_節点Z13</vt:lpstr>
      <vt:lpstr>計算・出力!header_節点Z14</vt:lpstr>
      <vt:lpstr>計算・出力!header_節点Z15</vt:lpstr>
      <vt:lpstr>計算・出力!header_節点Z16</vt:lpstr>
      <vt:lpstr>計算・出力!header_節点Z17</vt:lpstr>
      <vt:lpstr>計算・出力!header_節点Z18</vt:lpstr>
      <vt:lpstr>計算・出力!header_節点Z19</vt:lpstr>
      <vt:lpstr>計算・出力!header_節点Z2</vt:lpstr>
      <vt:lpstr>計算・出力!header_節点Z20</vt:lpstr>
      <vt:lpstr>計算・出力!header_節点Z21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計算・出力!header_節点Z8</vt:lpstr>
      <vt:lpstr>計算・出力!header_節点Z9</vt:lpstr>
      <vt:lpstr>計算・出力!header_断面力FX1</vt:lpstr>
      <vt:lpstr>計算・出力!header_断面力FX10</vt:lpstr>
      <vt:lpstr>計算・出力!header_断面力FX11</vt:lpstr>
      <vt:lpstr>計算・出力!header_断面力FX12</vt:lpstr>
      <vt:lpstr>計算・出力!header_断面力FX13</vt:lpstr>
      <vt:lpstr>計算・出力!header_断面力FX14</vt:lpstr>
      <vt:lpstr>計算・出力!header_断面力FX15</vt:lpstr>
      <vt:lpstr>計算・出力!header_断面力FX16</vt:lpstr>
      <vt:lpstr>計算・出力!header_断面力FX17</vt:lpstr>
      <vt:lpstr>計算・出力!header_断面力FX18</vt:lpstr>
      <vt:lpstr>計算・出力!header_断面力FX19</vt:lpstr>
      <vt:lpstr>計算・出力!header_断面力FX2</vt:lpstr>
      <vt:lpstr>計算・出力!header_断面力FX20</vt:lpstr>
      <vt:lpstr>計算・出力!header_断面力FX21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計算・出力!header_断面力FX8</vt:lpstr>
      <vt:lpstr>計算・出力!header_断面力FX9</vt:lpstr>
      <vt:lpstr>計算・出力!header_断面力FY1</vt:lpstr>
      <vt:lpstr>計算・出力!header_断面力FY10</vt:lpstr>
      <vt:lpstr>計算・出力!header_断面力FY11</vt:lpstr>
      <vt:lpstr>計算・出力!header_断面力FY12</vt:lpstr>
      <vt:lpstr>計算・出力!header_断面力FY13</vt:lpstr>
      <vt:lpstr>計算・出力!header_断面力FY14</vt:lpstr>
      <vt:lpstr>計算・出力!header_断面力FY15</vt:lpstr>
      <vt:lpstr>計算・出力!header_断面力FY16</vt:lpstr>
      <vt:lpstr>計算・出力!header_断面力FY17</vt:lpstr>
      <vt:lpstr>計算・出力!header_断面力FY18</vt:lpstr>
      <vt:lpstr>計算・出力!header_断面力FY19</vt:lpstr>
      <vt:lpstr>計算・出力!header_断面力FY2</vt:lpstr>
      <vt:lpstr>計算・出力!header_断面力FY20</vt:lpstr>
      <vt:lpstr>計算・出力!header_断面力FY21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計算・出力!header_断面力FY8</vt:lpstr>
      <vt:lpstr>計算・出力!header_断面力FY9</vt:lpstr>
      <vt:lpstr>計算・出力!header_断面力FZ1</vt:lpstr>
      <vt:lpstr>計算・出力!header_断面力FZ10</vt:lpstr>
      <vt:lpstr>計算・出力!header_断面力FZ11</vt:lpstr>
      <vt:lpstr>計算・出力!header_断面力FZ12</vt:lpstr>
      <vt:lpstr>計算・出力!header_断面力FZ13</vt:lpstr>
      <vt:lpstr>計算・出力!header_断面力FZ14</vt:lpstr>
      <vt:lpstr>計算・出力!header_断面力FZ15</vt:lpstr>
      <vt:lpstr>計算・出力!header_断面力FZ16</vt:lpstr>
      <vt:lpstr>計算・出力!header_断面力FZ17</vt:lpstr>
      <vt:lpstr>計算・出力!header_断面力FZ18</vt:lpstr>
      <vt:lpstr>計算・出力!header_断面力FZ19</vt:lpstr>
      <vt:lpstr>計算・出力!header_断面力FZ2</vt:lpstr>
      <vt:lpstr>計算・出力!header_断面力FZ20</vt:lpstr>
      <vt:lpstr>計算・出力!header_断面力FZ21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計算・出力!header_断面力FZ8</vt:lpstr>
      <vt:lpstr>計算・出力!header_断面力FZ9</vt:lpstr>
      <vt:lpstr>計算・出力!header_断面力MX1</vt:lpstr>
      <vt:lpstr>計算・出力!header_断面力MX10</vt:lpstr>
      <vt:lpstr>計算・出力!header_断面力MX11</vt:lpstr>
      <vt:lpstr>計算・出力!header_断面力MX12</vt:lpstr>
      <vt:lpstr>計算・出力!header_断面力MX13</vt:lpstr>
      <vt:lpstr>計算・出力!header_断面力MX14</vt:lpstr>
      <vt:lpstr>計算・出力!header_断面力MX15</vt:lpstr>
      <vt:lpstr>計算・出力!header_断面力MX16</vt:lpstr>
      <vt:lpstr>計算・出力!header_断面力MX17</vt:lpstr>
      <vt:lpstr>計算・出力!header_断面力MX18</vt:lpstr>
      <vt:lpstr>計算・出力!header_断面力MX19</vt:lpstr>
      <vt:lpstr>計算・出力!header_断面力MX2</vt:lpstr>
      <vt:lpstr>計算・出力!header_断面力MX20</vt:lpstr>
      <vt:lpstr>計算・出力!header_断面力MX21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計算・出力!header_断面力MX8</vt:lpstr>
      <vt:lpstr>計算・出力!header_断面力MX9</vt:lpstr>
      <vt:lpstr>計算・出力!header_断面力MY1</vt:lpstr>
      <vt:lpstr>計算・出力!header_断面力MY10</vt:lpstr>
      <vt:lpstr>計算・出力!header_断面力MY11</vt:lpstr>
      <vt:lpstr>計算・出力!header_断面力MY12</vt:lpstr>
      <vt:lpstr>計算・出力!header_断面力MY13</vt:lpstr>
      <vt:lpstr>計算・出力!header_断面力MY14</vt:lpstr>
      <vt:lpstr>計算・出力!header_断面力MY15</vt:lpstr>
      <vt:lpstr>計算・出力!header_断面力MY16</vt:lpstr>
      <vt:lpstr>計算・出力!header_断面力MY17</vt:lpstr>
      <vt:lpstr>計算・出力!header_断面力MY18</vt:lpstr>
      <vt:lpstr>計算・出力!header_断面力MY19</vt:lpstr>
      <vt:lpstr>計算・出力!header_断面力MY2</vt:lpstr>
      <vt:lpstr>計算・出力!header_断面力MY20</vt:lpstr>
      <vt:lpstr>計算・出力!header_断面力MY21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計算・出力!header_断面力MY8</vt:lpstr>
      <vt:lpstr>計算・出力!header_断面力MY9</vt:lpstr>
      <vt:lpstr>計算・出力!header_断面力MZ1</vt:lpstr>
      <vt:lpstr>計算・出力!header_断面力MZ10</vt:lpstr>
      <vt:lpstr>計算・出力!header_断面力MZ11</vt:lpstr>
      <vt:lpstr>計算・出力!header_断面力MZ12</vt:lpstr>
      <vt:lpstr>計算・出力!header_断面力MZ13</vt:lpstr>
      <vt:lpstr>計算・出力!header_断面力MZ14</vt:lpstr>
      <vt:lpstr>計算・出力!header_断面力MZ15</vt:lpstr>
      <vt:lpstr>計算・出力!header_断面力MZ16</vt:lpstr>
      <vt:lpstr>計算・出力!header_断面力MZ17</vt:lpstr>
      <vt:lpstr>計算・出力!header_断面力MZ18</vt:lpstr>
      <vt:lpstr>計算・出力!header_断面力MZ19</vt:lpstr>
      <vt:lpstr>計算・出力!header_断面力MZ2</vt:lpstr>
      <vt:lpstr>計算・出力!header_断面力MZ20</vt:lpstr>
      <vt:lpstr>計算・出力!header_断面力MZ21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計算・出力!header_断面力MZ8</vt:lpstr>
      <vt:lpstr>計算・出力!header_断面力MZ9</vt:lpstr>
      <vt:lpstr>計算・出力!header_断面力節点1</vt:lpstr>
      <vt:lpstr>計算・出力!header_断面力節点10</vt:lpstr>
      <vt:lpstr>計算・出力!header_断面力節点11</vt:lpstr>
      <vt:lpstr>計算・出力!header_断面力節点12</vt:lpstr>
      <vt:lpstr>計算・出力!header_断面力節点13</vt:lpstr>
      <vt:lpstr>計算・出力!header_断面力節点14</vt:lpstr>
      <vt:lpstr>計算・出力!header_断面力節点15</vt:lpstr>
      <vt:lpstr>計算・出力!header_断面力節点16</vt:lpstr>
      <vt:lpstr>計算・出力!header_断面力節点17</vt:lpstr>
      <vt:lpstr>計算・出力!header_断面力節点18</vt:lpstr>
      <vt:lpstr>計算・出力!header_断面力節点19</vt:lpstr>
      <vt:lpstr>計算・出力!header_断面力節点2</vt:lpstr>
      <vt:lpstr>計算・出力!header_断面力節点20</vt:lpstr>
      <vt:lpstr>計算・出力!header_断面力節点21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計算・出力!header_断面力節点8</vt:lpstr>
      <vt:lpstr>計算・出力!header_断面力節点9</vt:lpstr>
      <vt:lpstr>計算・出力!header_着目点1</vt:lpstr>
      <vt:lpstr>計算・出力!header_着目点10</vt:lpstr>
      <vt:lpstr>計算・出力!header_着目点11</vt:lpstr>
      <vt:lpstr>計算・出力!header_着目点12</vt:lpstr>
      <vt:lpstr>計算・出力!header_着目点13</vt:lpstr>
      <vt:lpstr>計算・出力!header_着目点14</vt:lpstr>
      <vt:lpstr>計算・出力!header_着目点15</vt:lpstr>
      <vt:lpstr>計算・出力!header_着目点16</vt:lpstr>
      <vt:lpstr>計算・出力!header_着目点17</vt:lpstr>
      <vt:lpstr>計算・出力!header_着目点18</vt:lpstr>
      <vt:lpstr>計算・出力!header_着目点19</vt:lpstr>
      <vt:lpstr>計算・出力!header_着目点2</vt:lpstr>
      <vt:lpstr>計算・出力!header_着目点20</vt:lpstr>
      <vt:lpstr>計算・出力!header_着目点21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計算・出力!header_着目点8</vt:lpstr>
      <vt:lpstr>計算・出力!header_着目点9</vt:lpstr>
      <vt:lpstr>計算・出力!header_反力MX1</vt:lpstr>
      <vt:lpstr>計算・出力!header_反力MX10</vt:lpstr>
      <vt:lpstr>計算・出力!header_反力MX11</vt:lpstr>
      <vt:lpstr>計算・出力!header_反力MX12</vt:lpstr>
      <vt:lpstr>計算・出力!header_反力MX13</vt:lpstr>
      <vt:lpstr>計算・出力!header_反力MX14</vt:lpstr>
      <vt:lpstr>計算・出力!header_反力MX15</vt:lpstr>
      <vt:lpstr>計算・出力!header_反力MX16</vt:lpstr>
      <vt:lpstr>計算・出力!header_反力MX17</vt:lpstr>
      <vt:lpstr>計算・出力!header_反力MX18</vt:lpstr>
      <vt:lpstr>計算・出力!header_反力MX19</vt:lpstr>
      <vt:lpstr>計算・出力!header_反力MX2</vt:lpstr>
      <vt:lpstr>計算・出力!header_反力MX20</vt:lpstr>
      <vt:lpstr>計算・出力!header_反力MX21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計算・出力!header_反力MX8</vt:lpstr>
      <vt:lpstr>計算・出力!header_反力MX9</vt:lpstr>
      <vt:lpstr>計算・出力!header_反力MY1</vt:lpstr>
      <vt:lpstr>計算・出力!header_反力MY10</vt:lpstr>
      <vt:lpstr>計算・出力!header_反力MY11</vt:lpstr>
      <vt:lpstr>計算・出力!header_反力MY12</vt:lpstr>
      <vt:lpstr>計算・出力!header_反力MY13</vt:lpstr>
      <vt:lpstr>計算・出力!header_反力MY14</vt:lpstr>
      <vt:lpstr>計算・出力!header_反力MY15</vt:lpstr>
      <vt:lpstr>計算・出力!header_反力MY16</vt:lpstr>
      <vt:lpstr>計算・出力!header_反力MY17</vt:lpstr>
      <vt:lpstr>計算・出力!header_反力MY18</vt:lpstr>
      <vt:lpstr>計算・出力!header_反力MY19</vt:lpstr>
      <vt:lpstr>計算・出力!header_反力MY2</vt:lpstr>
      <vt:lpstr>計算・出力!header_反力MY20</vt:lpstr>
      <vt:lpstr>計算・出力!header_反力MY21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計算・出力!header_反力MY8</vt:lpstr>
      <vt:lpstr>計算・出力!header_反力MY9</vt:lpstr>
      <vt:lpstr>計算・出力!header_反力MZ1</vt:lpstr>
      <vt:lpstr>計算・出力!header_反力MZ10</vt:lpstr>
      <vt:lpstr>計算・出力!header_反力MZ11</vt:lpstr>
      <vt:lpstr>計算・出力!header_反力MZ12</vt:lpstr>
      <vt:lpstr>計算・出力!header_反力MZ13</vt:lpstr>
      <vt:lpstr>計算・出力!header_反力MZ14</vt:lpstr>
      <vt:lpstr>計算・出力!header_反力MZ15</vt:lpstr>
      <vt:lpstr>計算・出力!header_反力MZ16</vt:lpstr>
      <vt:lpstr>計算・出力!header_反力MZ17</vt:lpstr>
      <vt:lpstr>計算・出力!header_反力MZ18</vt:lpstr>
      <vt:lpstr>計算・出力!header_反力MZ19</vt:lpstr>
      <vt:lpstr>計算・出力!header_反力MZ2</vt:lpstr>
      <vt:lpstr>計算・出力!header_反力MZ20</vt:lpstr>
      <vt:lpstr>計算・出力!header_反力MZ21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計算・出力!header_反力MZ8</vt:lpstr>
      <vt:lpstr>計算・出力!header_反力MZ9</vt:lpstr>
      <vt:lpstr>計算・出力!header_反力RX1</vt:lpstr>
      <vt:lpstr>計算・出力!header_反力RX10</vt:lpstr>
      <vt:lpstr>計算・出力!header_反力RX11</vt:lpstr>
      <vt:lpstr>計算・出力!header_反力RX12</vt:lpstr>
      <vt:lpstr>計算・出力!header_反力RX13</vt:lpstr>
      <vt:lpstr>計算・出力!header_反力RX14</vt:lpstr>
      <vt:lpstr>計算・出力!header_反力RX15</vt:lpstr>
      <vt:lpstr>計算・出力!header_反力RX16</vt:lpstr>
      <vt:lpstr>計算・出力!header_反力RX17</vt:lpstr>
      <vt:lpstr>計算・出力!header_反力RX18</vt:lpstr>
      <vt:lpstr>計算・出力!header_反力RX19</vt:lpstr>
      <vt:lpstr>計算・出力!header_反力RX2</vt:lpstr>
      <vt:lpstr>計算・出力!header_反力RX20</vt:lpstr>
      <vt:lpstr>計算・出力!header_反力RX21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計算・出力!header_反力RX8</vt:lpstr>
      <vt:lpstr>計算・出力!header_反力RX9</vt:lpstr>
      <vt:lpstr>計算・出力!header_反力RY1</vt:lpstr>
      <vt:lpstr>計算・出力!header_反力RY10</vt:lpstr>
      <vt:lpstr>計算・出力!header_反力RY11</vt:lpstr>
      <vt:lpstr>計算・出力!header_反力RY12</vt:lpstr>
      <vt:lpstr>計算・出力!header_反力RY13</vt:lpstr>
      <vt:lpstr>計算・出力!header_反力RY14</vt:lpstr>
      <vt:lpstr>計算・出力!header_反力RY15</vt:lpstr>
      <vt:lpstr>計算・出力!header_反力RY16</vt:lpstr>
      <vt:lpstr>計算・出力!header_反力RY17</vt:lpstr>
      <vt:lpstr>計算・出力!header_反力RY18</vt:lpstr>
      <vt:lpstr>計算・出力!header_反力RY19</vt:lpstr>
      <vt:lpstr>計算・出力!header_反力RY2</vt:lpstr>
      <vt:lpstr>計算・出力!header_反力RY20</vt:lpstr>
      <vt:lpstr>計算・出力!header_反力RY21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計算・出力!header_反力RY8</vt:lpstr>
      <vt:lpstr>計算・出力!header_反力RY9</vt:lpstr>
      <vt:lpstr>計算・出力!header_反力RZ1</vt:lpstr>
      <vt:lpstr>計算・出力!header_反力RZ10</vt:lpstr>
      <vt:lpstr>計算・出力!header_反力RZ11</vt:lpstr>
      <vt:lpstr>計算・出力!header_反力RZ12</vt:lpstr>
      <vt:lpstr>計算・出力!header_反力RZ13</vt:lpstr>
      <vt:lpstr>計算・出力!header_反力RZ14</vt:lpstr>
      <vt:lpstr>計算・出力!header_反力RZ15</vt:lpstr>
      <vt:lpstr>計算・出力!header_反力RZ16</vt:lpstr>
      <vt:lpstr>計算・出力!header_反力RZ17</vt:lpstr>
      <vt:lpstr>計算・出力!header_反力RZ18</vt:lpstr>
      <vt:lpstr>計算・出力!header_反力RZ19</vt:lpstr>
      <vt:lpstr>計算・出力!header_反力RZ2</vt:lpstr>
      <vt:lpstr>計算・出力!header_反力RZ20</vt:lpstr>
      <vt:lpstr>計算・出力!header_反力RZ21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計算・出力!header_反力RZ8</vt:lpstr>
      <vt:lpstr>計算・出力!header_反力RZ9</vt:lpstr>
      <vt:lpstr>荷重強度!header_部材1</vt:lpstr>
      <vt:lpstr>荷重強度!header_部材2</vt:lpstr>
      <vt:lpstr>計算・出力!header_変位X1</vt:lpstr>
      <vt:lpstr>計算・出力!header_変位X10</vt:lpstr>
      <vt:lpstr>計算・出力!header_変位X11</vt:lpstr>
      <vt:lpstr>計算・出力!header_変位X12</vt:lpstr>
      <vt:lpstr>計算・出力!header_変位X13</vt:lpstr>
      <vt:lpstr>計算・出力!header_変位X14</vt:lpstr>
      <vt:lpstr>計算・出力!header_変位X15</vt:lpstr>
      <vt:lpstr>計算・出力!header_変位X16</vt:lpstr>
      <vt:lpstr>計算・出力!header_変位X17</vt:lpstr>
      <vt:lpstr>計算・出力!header_変位X18</vt:lpstr>
      <vt:lpstr>計算・出力!header_変位X19</vt:lpstr>
      <vt:lpstr>計算・出力!header_変位X2</vt:lpstr>
      <vt:lpstr>計算・出力!header_変位X20</vt:lpstr>
      <vt:lpstr>計算・出力!header_変位X21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計算・出力!header_変位X8</vt:lpstr>
      <vt:lpstr>計算・出力!header_変位X9</vt:lpstr>
      <vt:lpstr>計算・出力!header_変位Y1</vt:lpstr>
      <vt:lpstr>計算・出力!header_変位Y10</vt:lpstr>
      <vt:lpstr>計算・出力!header_変位Y11</vt:lpstr>
      <vt:lpstr>計算・出力!header_変位Y12</vt:lpstr>
      <vt:lpstr>計算・出力!header_変位Y13</vt:lpstr>
      <vt:lpstr>計算・出力!header_変位Y14</vt:lpstr>
      <vt:lpstr>計算・出力!header_変位Y15</vt:lpstr>
      <vt:lpstr>計算・出力!header_変位Y16</vt:lpstr>
      <vt:lpstr>計算・出力!header_変位Y17</vt:lpstr>
      <vt:lpstr>計算・出力!header_変位Y18</vt:lpstr>
      <vt:lpstr>計算・出力!header_変位Y19</vt:lpstr>
      <vt:lpstr>計算・出力!header_変位Y2</vt:lpstr>
      <vt:lpstr>計算・出力!header_変位Y20</vt:lpstr>
      <vt:lpstr>計算・出力!header_変位Y21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計算・出力!header_変位Y8</vt:lpstr>
      <vt:lpstr>計算・出力!header_変位Y9</vt:lpstr>
      <vt:lpstr>計算・出力!header_変位Z1</vt:lpstr>
      <vt:lpstr>計算・出力!header_変位Z10</vt:lpstr>
      <vt:lpstr>計算・出力!header_変位Z11</vt:lpstr>
      <vt:lpstr>計算・出力!header_変位Z12</vt:lpstr>
      <vt:lpstr>計算・出力!header_変位Z13</vt:lpstr>
      <vt:lpstr>計算・出力!header_変位Z14</vt:lpstr>
      <vt:lpstr>計算・出力!header_変位Z15</vt:lpstr>
      <vt:lpstr>計算・出力!header_変位Z16</vt:lpstr>
      <vt:lpstr>計算・出力!header_変位Z17</vt:lpstr>
      <vt:lpstr>計算・出力!header_変位Z18</vt:lpstr>
      <vt:lpstr>計算・出力!header_変位Z19</vt:lpstr>
      <vt:lpstr>計算・出力!header_変位Z2</vt:lpstr>
      <vt:lpstr>計算・出力!header_変位Z20</vt:lpstr>
      <vt:lpstr>計算・出力!header_変位Z21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計算・出力!header_変位Z8</vt:lpstr>
      <vt:lpstr>計算・出力!header_変位Z9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計算・出力!荷重No10</vt:lpstr>
      <vt:lpstr>計算・出力!荷重No11</vt:lpstr>
      <vt:lpstr>計算・出力!荷重No12</vt:lpstr>
      <vt:lpstr>計算・出力!荷重No13</vt:lpstr>
      <vt:lpstr>計算・出力!荷重No14</vt:lpstr>
      <vt:lpstr>計算・出力!荷重No15</vt:lpstr>
      <vt:lpstr>計算・出力!荷重No16</vt:lpstr>
      <vt:lpstr>計算・出力!荷重No17</vt:lpstr>
      <vt:lpstr>計算・出力!荷重No18</vt:lpstr>
      <vt:lpstr>計算・出力!荷重No19</vt:lpstr>
      <vt:lpstr>計算・出力!荷重No2</vt:lpstr>
      <vt:lpstr>計算・出力!荷重No20</vt:lpstr>
      <vt:lpstr>計算・出力!荷重No21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計算・出力!荷重No8</vt:lpstr>
      <vt:lpstr>計算・出力!荷重No9</vt:lpstr>
      <vt:lpstr>荷重名称!割増係数_header</vt:lpstr>
      <vt:lpstr>計算・出力!割増係数1</vt:lpstr>
      <vt:lpstr>計算・出力!割増係数10</vt:lpstr>
      <vt:lpstr>計算・出力!割増係数11</vt:lpstr>
      <vt:lpstr>計算・出力!割増係数12</vt:lpstr>
      <vt:lpstr>計算・出力!割増係数13</vt:lpstr>
      <vt:lpstr>計算・出力!割増係数14</vt:lpstr>
      <vt:lpstr>計算・出力!割増係数15</vt:lpstr>
      <vt:lpstr>計算・出力!割増係数16</vt:lpstr>
      <vt:lpstr>計算・出力!割増係数17</vt:lpstr>
      <vt:lpstr>計算・出力!割増係数18</vt:lpstr>
      <vt:lpstr>計算・出力!割増係数19</vt:lpstr>
      <vt:lpstr>計算・出力!割増係数2</vt:lpstr>
      <vt:lpstr>計算・出力!割増係数20</vt:lpstr>
      <vt:lpstr>計算・出力!割増係数21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計算・出力!割増係数8</vt:lpstr>
      <vt:lpstr>計算・出力!割増係数9</vt:lpstr>
      <vt:lpstr>荷重名称!記号_header</vt:lpstr>
      <vt:lpstr>計算・出力!記号1</vt:lpstr>
      <vt:lpstr>計算・出力!記号10</vt:lpstr>
      <vt:lpstr>計算・出力!記号11</vt:lpstr>
      <vt:lpstr>計算・出力!記号12</vt:lpstr>
      <vt:lpstr>計算・出力!記号13</vt:lpstr>
      <vt:lpstr>計算・出力!記号14</vt:lpstr>
      <vt:lpstr>計算・出力!記号15</vt:lpstr>
      <vt:lpstr>計算・出力!記号16</vt:lpstr>
      <vt:lpstr>計算・出力!記号17</vt:lpstr>
      <vt:lpstr>計算・出力!記号18</vt:lpstr>
      <vt:lpstr>計算・出力!記号19</vt:lpstr>
      <vt:lpstr>計算・出力!記号2</vt:lpstr>
      <vt:lpstr>計算・出力!記号20</vt:lpstr>
      <vt:lpstr>計算・出力!記号21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計算・出力!記号8</vt:lpstr>
      <vt:lpstr>計算・出力!記号9</vt:lpstr>
      <vt:lpstr>荷重名称!結合_header</vt:lpstr>
      <vt:lpstr>荷重名称!支点_header</vt:lpstr>
      <vt:lpstr>計算・出力!節点数1</vt:lpstr>
      <vt:lpstr>計算・出力!節点数10</vt:lpstr>
      <vt:lpstr>計算・出力!節点数11</vt:lpstr>
      <vt:lpstr>計算・出力!節点数12</vt:lpstr>
      <vt:lpstr>計算・出力!節点数13</vt:lpstr>
      <vt:lpstr>計算・出力!節点数14</vt:lpstr>
      <vt:lpstr>計算・出力!節点数15</vt:lpstr>
      <vt:lpstr>計算・出力!節点数16</vt:lpstr>
      <vt:lpstr>計算・出力!節点数17</vt:lpstr>
      <vt:lpstr>計算・出力!節点数18</vt:lpstr>
      <vt:lpstr>計算・出力!節点数19</vt:lpstr>
      <vt:lpstr>計算・出力!節点数2</vt:lpstr>
      <vt:lpstr>計算・出力!節点数20</vt:lpstr>
      <vt:lpstr>計算・出力!節点数21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計算・出力!節点数8</vt:lpstr>
      <vt:lpstr>計算・出力!節点数9</vt:lpstr>
      <vt:lpstr>荷重名称!断面_header</vt:lpstr>
      <vt:lpstr>荷重名称!名称_header</vt:lpstr>
      <vt:lpstr>計算・出力!名称1</vt:lpstr>
      <vt:lpstr>計算・出力!名称10</vt:lpstr>
      <vt:lpstr>計算・出力!名称11</vt:lpstr>
      <vt:lpstr>計算・出力!名称12</vt:lpstr>
      <vt:lpstr>計算・出力!名称13</vt:lpstr>
      <vt:lpstr>計算・出力!名称14</vt:lpstr>
      <vt:lpstr>計算・出力!名称15</vt:lpstr>
      <vt:lpstr>計算・出力!名称16</vt:lpstr>
      <vt:lpstr>計算・出力!名称17</vt:lpstr>
      <vt:lpstr>計算・出力!名称18</vt:lpstr>
      <vt:lpstr>計算・出力!名称19</vt:lpstr>
      <vt:lpstr>計算・出力!名称2</vt:lpstr>
      <vt:lpstr>計算・出力!名称20</vt:lpstr>
      <vt:lpstr>計算・出力!名称21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計算・出力!名称8</vt:lpstr>
      <vt:lpstr>計算・出力!名称9</vt:lpstr>
      <vt:lpstr>計算・出力!要素数1</vt:lpstr>
      <vt:lpstr>計算・出力!要素数10</vt:lpstr>
      <vt:lpstr>計算・出力!要素数11</vt:lpstr>
      <vt:lpstr>計算・出力!要素数12</vt:lpstr>
      <vt:lpstr>計算・出力!要素数13</vt:lpstr>
      <vt:lpstr>計算・出力!要素数14</vt:lpstr>
      <vt:lpstr>計算・出力!要素数15</vt:lpstr>
      <vt:lpstr>計算・出力!要素数16</vt:lpstr>
      <vt:lpstr>計算・出力!要素数17</vt:lpstr>
      <vt:lpstr>計算・出力!要素数18</vt:lpstr>
      <vt:lpstr>計算・出力!要素数19</vt:lpstr>
      <vt:lpstr>計算・出力!要素数2</vt:lpstr>
      <vt:lpstr>計算・出力!要素数20</vt:lpstr>
      <vt:lpstr>計算・出力!要素数21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  <vt:lpstr>計算・出力!要素数8</vt:lpstr>
      <vt:lpstr>計算・出力!要素数9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sasaco</cp:lastModifiedBy>
  <cp:lastPrinted>2017-08-10T08:04:39Z</cp:lastPrinted>
  <dcterms:created xsi:type="dcterms:W3CDTF">2014-11-11T12:34:56Z</dcterms:created>
  <dcterms:modified xsi:type="dcterms:W3CDTF">2018-01-07T09:15:51Z</dcterms:modified>
</cp:coreProperties>
</file>