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1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計算・出力!$F$20</definedName>
    <definedName name="header_回転X2" localSheetId="14">計算・出力!$P$20</definedName>
    <definedName name="header_回転Y1" localSheetId="14">計算・出力!$G$20</definedName>
    <definedName name="header_回転Y2" localSheetId="14">計算・出力!$Q$20</definedName>
    <definedName name="header_回転Z1" localSheetId="14">計算・出力!$H$20</definedName>
    <definedName name="header_回転Z2" localSheetId="14">計算・出力!$R$20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Y1" localSheetId="14">計算・出力!$D$12</definedName>
    <definedName name="header_節点Y2" localSheetId="14">計算・出力!$N$12</definedName>
    <definedName name="header_節点Z1" localSheetId="14">計算・出力!$E$12</definedName>
    <definedName name="header_節点Z2" localSheetId="14">計算・出力!$O$12</definedName>
    <definedName name="header_断面力FX1" localSheetId="14">計算・出力!$E$38</definedName>
    <definedName name="header_断面力FX2" localSheetId="14">計算・出力!$O$38</definedName>
    <definedName name="header_断面力FY1" localSheetId="14">計算・出力!$F$38</definedName>
    <definedName name="header_断面力FY2" localSheetId="14">計算・出力!$P$38</definedName>
    <definedName name="header_断面力FZ1" localSheetId="14">計算・出力!$G$38</definedName>
    <definedName name="header_断面力FZ2" localSheetId="14">計算・出力!$Q$38</definedName>
    <definedName name="header_断面力MX1" localSheetId="14">計算・出力!$H$38</definedName>
    <definedName name="header_断面力MX2" localSheetId="14">計算・出力!$R$38</definedName>
    <definedName name="header_断面力MY1" localSheetId="14">計算・出力!$I$38</definedName>
    <definedName name="header_断面力MY2" localSheetId="14">計算・出力!$S$38</definedName>
    <definedName name="header_断面力MZ1" localSheetId="14">計算・出力!$J$38</definedName>
    <definedName name="header_断面力MZ2" localSheetId="14">計算・出力!$T$38</definedName>
    <definedName name="header_断面力節点1" localSheetId="14">計算・出力!$C$38</definedName>
    <definedName name="header_断面力節点2" localSheetId="14">計算・出力!$M$38</definedName>
    <definedName name="header_着目点1" localSheetId="14">計算・出力!$D$38</definedName>
    <definedName name="header_着目点2" localSheetId="14">計算・出力!$N$38</definedName>
    <definedName name="header_反力MX1" localSheetId="14">計算・出力!$F$28</definedName>
    <definedName name="header_反力MX2" localSheetId="14">計算・出力!$P$28</definedName>
    <definedName name="header_反力MY1" localSheetId="14">計算・出力!$G$28</definedName>
    <definedName name="header_反力MY2" localSheetId="14">計算・出力!$Q$28</definedName>
    <definedName name="header_反力MZ1" localSheetId="14">計算・出力!$H$28</definedName>
    <definedName name="header_反力MZ2" localSheetId="14">計算・出力!$R$28</definedName>
    <definedName name="header_反力RX1" localSheetId="14">計算・出力!$C$28</definedName>
    <definedName name="header_反力RX2" localSheetId="14">計算・出力!$M$28</definedName>
    <definedName name="header_反力RY1" localSheetId="14">計算・出力!$D$28</definedName>
    <definedName name="header_反力RY2" localSheetId="14">計算・出力!$N$28</definedName>
    <definedName name="header_反力RZ1" localSheetId="14">計算・出力!$E$28</definedName>
    <definedName name="header_反力RZ2" localSheetId="14">計算・出力!$O$28</definedName>
    <definedName name="header_部材1" localSheetId="9">荷重強度!$B$5:$B$6</definedName>
    <definedName name="header_部材2" localSheetId="9">荷重強度!$C$5:$C$6</definedName>
    <definedName name="header_変位X1" localSheetId="14">計算・出力!$C$20</definedName>
    <definedName name="header_変位X2" localSheetId="14">計算・出力!$M$20</definedName>
    <definedName name="header_変位Y1" localSheetId="14">計算・出力!$D$20</definedName>
    <definedName name="header_変位Y2" localSheetId="14">計算・出力!$N$20</definedName>
    <definedName name="header_変位Z1" localSheetId="14">計算・出力!$E$20</definedName>
    <definedName name="header_変位Z2" localSheetId="14">計算・出力!$O$20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要素数1" localSheetId="14">計算・出力!$C$35</definedName>
    <definedName name="要素数2" localSheetId="14">計算・出力!$M$35</definedName>
  </definedNames>
  <calcPr calcId="152511"/>
</workbook>
</file>

<file path=xl/calcChain.xml><?xml version="1.0" encoding="utf-8"?>
<calcChain xmlns="http://schemas.openxmlformats.org/spreadsheetml/2006/main">
  <c r="B11" i="24" l="1"/>
  <c r="B12" i="24" s="1"/>
  <c r="B13" i="24" s="1"/>
  <c r="B14" i="24" s="1"/>
  <c r="C6" i="14"/>
  <c r="B7" i="14" s="1"/>
  <c r="C7" i="14" s="1"/>
  <c r="B8" i="14" s="1"/>
  <c r="C8" i="14" s="1"/>
  <c r="C9" i="18"/>
  <c r="B9" i="18"/>
  <c r="C8" i="18"/>
  <c r="B8" i="18"/>
  <c r="C7" i="18"/>
  <c r="B7" i="18"/>
</calcChain>
</file>

<file path=xl/sharedStrings.xml><?xml version="1.0" encoding="utf-8"?>
<sst xmlns="http://schemas.openxmlformats.org/spreadsheetml/2006/main" count="350" uniqueCount="194">
  <si>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</si>
  <si>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</si>
  <si>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</si>
  <si>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</si>
  <si>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</si>
  <si>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</si>
  <si>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</si>
  <si>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</si>
  <si>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</si>
  <si>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</si>
  <si>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</si>
  <si>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</si>
  <si>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</si>
  <si>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</si>
  <si>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</si>
  <si>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</si>
  <si>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</si>
  <si>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</si>
  <si>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</si>
  <si>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</si>
  <si>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</si>
  <si>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</si>
  <si>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</si>
  <si>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</si>
  <si>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</si>
  <si>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</si>
  <si>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</si>
  <si>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</si>
  <si>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</si>
  <si>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</si>
  <si>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</si>
  <si>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</si>
  <si>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</si>
  <si>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</si>
  <si>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</si>
  <si>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</si>
  <si>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</si>
  <si>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</si>
  <si>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</si>
  <si>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</si>
  <si>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</si>
  <si>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</si>
  <si>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</si>
  <si>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</si>
  <si>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</si>
  <si>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</si>
  <si>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</si>
  <si>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</si>
  <si>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</si>
  <si>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</si>
  <si>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</si>
  <si>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</si>
  <si>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</si>
  <si>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</si>
  <si>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</si>
  <si>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</si>
  <si>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</si>
  <si>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</si>
  <si>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</si>
  <si>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</si>
  <si>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</si>
  <si>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</si>
  <si>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</si>
  <si>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</si>
  <si>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</si>
  <si>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</si>
  <si>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</si>
  <si>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</si>
  <si>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</si>
  <si>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</si>
  <si>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</si>
  <si>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</si>
  <si>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</si>
  <si>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</si>
  <si>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</si>
  <si>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</si>
  <si>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</si>
  <si>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</si>
  <si>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</si>
  <si>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</si>
  <si>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</si>
  <si>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</si>
  <si>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</si>
  <si>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</si>
  <si>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</si>
  <si>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</si>
  <si>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</si>
  <si>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</si>
  <si>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</si>
  <si>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</si>
  <si>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</si>
  <si>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</si>
  <si>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</si>
  <si>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</si>
  <si>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</si>
  <si>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</si>
  <si>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</si>
  <si>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</si>
  <si>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</si>
  <si>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</si>
  <si>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</si>
  <si>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</si>
  <si>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</si>
  <si>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</si>
  <si>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</si>
  <si>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</si>
  <si>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</si>
  <si>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</si>
  <si>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</si>
  <si>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</si>
  <si>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</si>
  <si>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</si>
  <si>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</si>
  <si>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</si>
  <si>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</si>
  <si>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</si>
  <si>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</si>
  <si>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</si>
  <si>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</si>
  <si>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</si>
  <si>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</si>
  <si>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</si>
  <si>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</si>
  <si>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</si>
  <si>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</si>
  <si>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</si>
  <si>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</si>
  <si>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</si>
  <si>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</si>
  <si>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</si>
  <si>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</si>
  <si>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</si>
  <si>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</si>
  <si>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</si>
  <si>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</si>
  <si>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</si>
  <si>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</si>
  <si>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</si>
  <si>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</si>
  <si>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</si>
  <si>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</si>
  <si>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</si>
  <si>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</si>
  <si>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</si>
  <si>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</si>
  <si>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</si>
  <si>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</si>
  <si>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</si>
  <si>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</si>
  <si>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</si>
  <si>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</si>
  <si>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</si>
  <si>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</si>
  <si>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Define</t>
    <phoneticPr fontId="71"/>
  </si>
  <si>
    <t>Case</t>
    <phoneticPr fontId="71"/>
  </si>
  <si>
    <t>PickUpNo</t>
    <phoneticPr fontId="71"/>
  </si>
  <si>
    <t>CombineNo</t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</si>
  <si>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</si>
  <si>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</si>
  <si>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</si>
  <si>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</si>
  <si>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No</t>
    <phoneticPr fontId="2"/>
  </si>
  <si>
    <t>X</t>
    <phoneticPr fontId="2"/>
  </si>
  <si>
    <t>Y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</si>
  <si>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</si>
  <si>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</si>
  <si>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</si>
  <si>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</si>
  <si>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</si>
  <si>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</si>
  <si>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</si>
  <si>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</si>
  <si>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</si>
  <si>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</si>
  <si>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D1</t>
    <phoneticPr fontId="2"/>
  </si>
  <si>
    <t>D2</t>
    <phoneticPr fontId="2"/>
  </si>
  <si>
    <t>y</t>
    <phoneticPr fontId="2"/>
  </si>
  <si>
    <t>-2.5</t>
    <phoneticPr fontId="2"/>
  </si>
  <si>
    <t>17.5</t>
    <phoneticPr fontId="2"/>
  </si>
  <si>
    <t>-0</t>
    <phoneticPr fontId="2"/>
  </si>
  <si>
    <t>-4.565</t>
    <phoneticPr fontId="2"/>
  </si>
  <si>
    <t>0</t>
    <phoneticPr fontId="2"/>
  </si>
  <si>
    <t>0.875</t>
    <phoneticPr fontId="2"/>
  </si>
  <si>
    <t>6.94</t>
    <phoneticPr fontId="2"/>
  </si>
  <si>
    <t>y</t>
    <phoneticPr fontId="2"/>
  </si>
  <si>
    <t>2.375</t>
    <phoneticPr fontId="2"/>
  </si>
  <si>
    <t>17.5</t>
    <phoneticPr fontId="2"/>
  </si>
  <si>
    <t>6.94</t>
    <phoneticPr fontId="2"/>
  </si>
  <si>
    <t>0</t>
    <phoneticPr fontId="2"/>
  </si>
  <si>
    <t>基本荷重ケース</t>
    <phoneticPr fontId="71"/>
  </si>
  <si>
    <t>荷重状態</t>
  </si>
  <si>
    <t>荷重状態</t>
    <rPh sb="0" eb="2">
      <t>カジュウ</t>
    </rPh>
    <rPh sb="2" eb="4">
      <t>ジョウタイ</t>
    </rPh>
    <phoneticPr fontId="2"/>
  </si>
  <si>
    <t>Case1と同じ荷重状態</t>
  </si>
  <si>
    <t>Case1と同じ荷重状態</t>
    <rPh sb="6" eb="7">
      <t>オナ</t>
    </rPh>
    <rPh sb="8" eb="10">
      <t>カジュウ</t>
    </rPh>
    <rPh sb="10" eb="12">
      <t>ジョウタイ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</si>
</sst>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3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8877300" cy="2876550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63</xdr:row>
          <xdr:rowOff>47625</xdr:rowOff>
        </xdr:from>
        <xdr:to>
          <xdr:col>5</xdr:col>
          <xdr:colOff>695325</xdr:colOff>
          <xdr:row>96</xdr:row>
          <xdr:rowOff>47625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63</xdr:row>
          <xdr:rowOff>9525</xdr:rowOff>
        </xdr:from>
        <xdr:to>
          <xdr:col>10</xdr:col>
          <xdr:colOff>333375</xdr:colOff>
          <xdr:row>97</xdr:row>
          <xdr:rowOff>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19</xdr:row>
      <xdr:rowOff>155575</xdr:rowOff>
    </xdr:from>
    <xdr:to>
      <xdr:col>8</xdr:col>
      <xdr:colOff>152400</xdr:colOff>
      <xdr:row>20</xdr:row>
      <xdr:rowOff>25400</xdr:rowOff>
    </xdr:to>
    <xdr:sp macro="" textlink="">
      <xdr:nvSpPr>
        <xdr:cNvPr id="310147" name="円/楕円 310146"/>
        <xdr:cNvSpPr/>
      </xdr:nvSpPr>
      <xdr:spPr bwMode="auto">
        <a:xfrm>
          <a:off x="3644900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181307</xdr:colOff>
      <xdr:row>19</xdr:row>
      <xdr:rowOff>155575</xdr:rowOff>
    </xdr:from>
    <xdr:to>
      <xdr:col>9</xdr:col>
      <xdr:colOff>13032</xdr:colOff>
      <xdr:row>20</xdr:row>
      <xdr:rowOff>25400</xdr:rowOff>
    </xdr:to>
    <xdr:sp macro="" textlink="">
      <xdr:nvSpPr>
        <xdr:cNvPr id="310148" name="円/楕円 310147"/>
        <xdr:cNvSpPr/>
      </xdr:nvSpPr>
      <xdr:spPr bwMode="auto">
        <a:xfrm>
          <a:off x="3724607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206043</xdr:colOff>
      <xdr:row>19</xdr:row>
      <xdr:rowOff>155575</xdr:rowOff>
    </xdr:from>
    <xdr:to>
      <xdr:col>36</xdr:col>
      <xdr:colOff>37768</xdr:colOff>
      <xdr:row>20</xdr:row>
      <xdr:rowOff>25400</xdr:rowOff>
    </xdr:to>
    <xdr:sp macro="" textlink="">
      <xdr:nvSpPr>
        <xdr:cNvPr id="310149" name="円/楕円 310148"/>
        <xdr:cNvSpPr/>
      </xdr:nvSpPr>
      <xdr:spPr bwMode="auto">
        <a:xfrm>
          <a:off x="9664368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19</xdr:row>
      <xdr:rowOff>155575</xdr:rowOff>
    </xdr:from>
    <xdr:to>
      <xdr:col>36</xdr:col>
      <xdr:colOff>117475</xdr:colOff>
      <xdr:row>20</xdr:row>
      <xdr:rowOff>25400</xdr:rowOff>
    </xdr:to>
    <xdr:sp macro="" textlink="">
      <xdr:nvSpPr>
        <xdr:cNvPr id="310150" name="円/楕円 310149"/>
        <xdr:cNvSpPr/>
      </xdr:nvSpPr>
      <xdr:spPr bwMode="auto">
        <a:xfrm>
          <a:off x="9744075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20</xdr:row>
      <xdr:rowOff>0</xdr:rowOff>
    </xdr:from>
    <xdr:to>
      <xdr:col>8</xdr:col>
      <xdr:colOff>206707</xdr:colOff>
      <xdr:row>20</xdr:row>
      <xdr:rowOff>0</xdr:rowOff>
    </xdr:to>
    <xdr:cxnSp macro="">
      <xdr:nvCxnSpPr>
        <xdr:cNvPr id="310151" name="直線コネクタ 310150"/>
        <xdr:cNvCxnSpPr/>
      </xdr:nvCxnSpPr>
      <xdr:spPr bwMode="auto">
        <a:xfrm>
          <a:off x="3670300" y="3619500"/>
          <a:ext cx="7970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20</xdr:row>
      <xdr:rowOff>0</xdr:rowOff>
    </xdr:from>
    <xdr:to>
      <xdr:col>36</xdr:col>
      <xdr:colOff>12368</xdr:colOff>
      <xdr:row>20</xdr:row>
      <xdr:rowOff>0</xdr:rowOff>
    </xdr:to>
    <xdr:cxnSp macro="">
      <xdr:nvCxnSpPr>
        <xdr:cNvPr id="310152" name="直線コネクタ 310151"/>
        <xdr:cNvCxnSpPr/>
      </xdr:nvCxnSpPr>
      <xdr:spPr bwMode="auto">
        <a:xfrm>
          <a:off x="3750007" y="3619500"/>
          <a:ext cx="593976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20</xdr:row>
      <xdr:rowOff>0</xdr:rowOff>
    </xdr:from>
    <xdr:to>
      <xdr:col>36</xdr:col>
      <xdr:colOff>92075</xdr:colOff>
      <xdr:row>20</xdr:row>
      <xdr:rowOff>0</xdr:rowOff>
    </xdr:to>
    <xdr:cxnSp macro="">
      <xdr:nvCxnSpPr>
        <xdr:cNvPr id="310153" name="直線コネクタ 310152"/>
        <xdr:cNvCxnSpPr/>
      </xdr:nvCxnSpPr>
      <xdr:spPr bwMode="auto">
        <a:xfrm>
          <a:off x="9689768" y="3619500"/>
          <a:ext cx="7970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310154" name="直線コネクタ 310153"/>
        <xdr:cNvCxnSpPr/>
      </xdr:nvCxnSpPr>
      <xdr:spPr bwMode="auto">
        <a:xfrm flipV="1">
          <a:off x="3750007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310155" name="直線コネクタ 310154"/>
        <xdr:cNvCxnSpPr/>
      </xdr:nvCxnSpPr>
      <xdr:spPr bwMode="auto">
        <a:xfrm flipV="1">
          <a:off x="3670300" y="3606813"/>
          <a:ext cx="79707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310156" name="直線コネクタ 310155"/>
        <xdr:cNvCxnSpPr/>
      </xdr:nvCxnSpPr>
      <xdr:spPr bwMode="auto">
        <a:xfrm flipV="1">
          <a:off x="3750007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15</xdr:col>
      <xdr:colOff>187614</xdr:colOff>
      <xdr:row>20</xdr:row>
      <xdr:rowOff>0</xdr:rowOff>
    </xdr:to>
    <xdr:cxnSp macro="">
      <xdr:nvCxnSpPr>
        <xdr:cNvPr id="310157" name="直線コネクタ 310156"/>
        <xdr:cNvCxnSpPr/>
      </xdr:nvCxnSpPr>
      <xdr:spPr bwMode="auto">
        <a:xfrm flipV="1">
          <a:off x="5264439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18</xdr:row>
      <xdr:rowOff>108204</xdr:rowOff>
    </xdr:from>
    <xdr:to>
      <xdr:col>15</xdr:col>
      <xdr:colOff>187614</xdr:colOff>
      <xdr:row>19</xdr:row>
      <xdr:rowOff>168288</xdr:rowOff>
    </xdr:to>
    <xdr:cxnSp macro="">
      <xdr:nvCxnSpPr>
        <xdr:cNvPr id="310158" name="直線コネクタ 310157"/>
        <xdr:cNvCxnSpPr/>
      </xdr:nvCxnSpPr>
      <xdr:spPr bwMode="auto">
        <a:xfrm flipV="1">
          <a:off x="3750007" y="3365754"/>
          <a:ext cx="1514432" cy="2410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15</xdr:col>
      <xdr:colOff>187614</xdr:colOff>
      <xdr:row>20</xdr:row>
      <xdr:rowOff>0</xdr:rowOff>
    </xdr:to>
    <xdr:cxnSp macro="">
      <xdr:nvCxnSpPr>
        <xdr:cNvPr id="310159" name="直線コネクタ 310158"/>
        <xdr:cNvCxnSpPr/>
      </xdr:nvCxnSpPr>
      <xdr:spPr bwMode="auto">
        <a:xfrm flipV="1">
          <a:off x="5264439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29</xdr:col>
      <xdr:colOff>31462</xdr:colOff>
      <xdr:row>20</xdr:row>
      <xdr:rowOff>0</xdr:rowOff>
    </xdr:to>
    <xdr:cxnSp macro="">
      <xdr:nvCxnSpPr>
        <xdr:cNvPr id="310160" name="直線コネクタ 310159"/>
        <xdr:cNvCxnSpPr/>
      </xdr:nvCxnSpPr>
      <xdr:spPr bwMode="auto">
        <a:xfrm flipV="1">
          <a:off x="8175337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29</xdr:col>
      <xdr:colOff>31462</xdr:colOff>
      <xdr:row>18</xdr:row>
      <xdr:rowOff>108204</xdr:rowOff>
    </xdr:to>
    <xdr:cxnSp macro="">
      <xdr:nvCxnSpPr>
        <xdr:cNvPr id="310161" name="直線コネクタ 310160"/>
        <xdr:cNvCxnSpPr/>
      </xdr:nvCxnSpPr>
      <xdr:spPr bwMode="auto">
        <a:xfrm>
          <a:off x="5264439" y="3365754"/>
          <a:ext cx="291089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29</xdr:col>
      <xdr:colOff>31462</xdr:colOff>
      <xdr:row>20</xdr:row>
      <xdr:rowOff>0</xdr:rowOff>
    </xdr:to>
    <xdr:cxnSp macro="">
      <xdr:nvCxnSpPr>
        <xdr:cNvPr id="310162" name="直線コネクタ 310161"/>
        <xdr:cNvCxnSpPr/>
      </xdr:nvCxnSpPr>
      <xdr:spPr bwMode="auto">
        <a:xfrm flipV="1">
          <a:off x="8175337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12368</xdr:colOff>
      <xdr:row>20</xdr:row>
      <xdr:rowOff>0</xdr:rowOff>
    </xdr:to>
    <xdr:cxnSp macro="">
      <xdr:nvCxnSpPr>
        <xdr:cNvPr id="310163" name="直線コネクタ 310162"/>
        <xdr:cNvCxnSpPr/>
      </xdr:nvCxnSpPr>
      <xdr:spPr bwMode="auto">
        <a:xfrm flipV="1">
          <a:off x="9689768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36</xdr:col>
      <xdr:colOff>12368</xdr:colOff>
      <xdr:row>19</xdr:row>
      <xdr:rowOff>168288</xdr:rowOff>
    </xdr:to>
    <xdr:cxnSp macro="">
      <xdr:nvCxnSpPr>
        <xdr:cNvPr id="310164" name="直線コネクタ 310163"/>
        <xdr:cNvCxnSpPr/>
      </xdr:nvCxnSpPr>
      <xdr:spPr bwMode="auto">
        <a:xfrm>
          <a:off x="8175337" y="3365754"/>
          <a:ext cx="1514431" cy="2410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12368</xdr:colOff>
      <xdr:row>20</xdr:row>
      <xdr:rowOff>0</xdr:rowOff>
    </xdr:to>
    <xdr:cxnSp macro="">
      <xdr:nvCxnSpPr>
        <xdr:cNvPr id="310165" name="直線コネクタ 310164"/>
        <xdr:cNvCxnSpPr/>
      </xdr:nvCxnSpPr>
      <xdr:spPr bwMode="auto">
        <a:xfrm flipV="1">
          <a:off x="9689768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92075</xdr:colOff>
      <xdr:row>20</xdr:row>
      <xdr:rowOff>0</xdr:rowOff>
    </xdr:to>
    <xdr:cxnSp macro="">
      <xdr:nvCxnSpPr>
        <xdr:cNvPr id="310166" name="直線コネクタ 310165"/>
        <xdr:cNvCxnSpPr/>
      </xdr:nvCxnSpPr>
      <xdr:spPr bwMode="auto">
        <a:xfrm>
          <a:off x="9689768" y="3606813"/>
          <a:ext cx="79707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310167" name="テキスト ボックス 310166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310168" name="直線コネクタ 310167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310169" name="テキスト ボックス 310168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310170" name="直線コネクタ 310169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9" zoomScaleNormal="100" workbookViewId="0">
      <selection activeCell="G82" sqref="G82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77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97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41"/>
      <c r="C13" s="141"/>
      <c r="D13" s="141"/>
      <c r="E13" s="141"/>
      <c r="F13" s="141"/>
      <c r="G13" s="141"/>
      <c r="H13" s="141"/>
      <c r="I13" s="141"/>
      <c r="J13" s="14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41"/>
      <c r="C15" s="141"/>
      <c r="D15" s="141"/>
      <c r="E15" s="141"/>
      <c r="F15" s="141"/>
      <c r="G15" s="141"/>
      <c r="H15" s="141"/>
      <c r="I15" s="141"/>
      <c r="J15" s="14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94</v>
      </c>
    </row>
    <row r="22" spans="2:19" s="4" customFormat="1" ht="14.25" customHeight="1">
      <c r="B22" s="3" t="s">
        <v>95</v>
      </c>
      <c r="K22" s="5"/>
    </row>
    <row r="23" spans="2:19" s="4" customFormat="1" ht="7.5" customHeight="1"/>
    <row r="24" spans="2:19" s="4" customFormat="1" ht="14.25" customHeight="1">
      <c r="B24" s="4" t="s">
        <v>98</v>
      </c>
    </row>
    <row r="26" spans="2:19" ht="14.25" customHeight="1">
      <c r="B26" s="142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119</v>
      </c>
    </row>
    <row r="35" spans="2:21" ht="14.25" customHeight="1">
      <c r="B35" s="2" t="s">
        <v>120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76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92</v>
      </c>
      <c r="C105" s="2" t="s">
        <v>93</v>
      </c>
    </row>
    <row r="106" spans="2:11" ht="14.25" customHeight="1">
      <c r="B106" s="15" t="s">
        <v>90</v>
      </c>
      <c r="C106" s="10" t="s">
        <v>91</v>
      </c>
    </row>
    <row r="107" spans="2:11" ht="14.25" customHeight="1">
      <c r="B107" s="15" t="s">
        <v>89</v>
      </c>
      <c r="C107" s="16" t="s">
        <v>121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autoPict="0" r:id="rId8">
            <anchor moveWithCells="1">
              <from>
                <xdr:col>7</xdr:col>
                <xdr:colOff>38100</xdr:colOff>
                <xdr:row>63</xdr:row>
                <xdr:rowOff>9525</xdr:rowOff>
              </from>
              <to>
                <xdr:col>10</xdr:col>
                <xdr:colOff>333375</xdr:colOff>
                <xdr:row>97</xdr:row>
                <xdr:rowOff>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autoPict="0" r:id="rId10">
            <anchor moveWithCells="1">
              <from>
                <xdr:col>1</xdr:col>
                <xdr:colOff>895350</xdr:colOff>
                <xdr:row>63</xdr:row>
                <xdr:rowOff>47625</xdr:rowOff>
              </from>
              <to>
                <xdr:col>5</xdr:col>
                <xdr:colOff>695325</xdr:colOff>
                <xdr:row>96</xdr:row>
                <xdr:rowOff>47625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18"/>
  <sheetViews>
    <sheetView zoomScale="85" zoomScaleNormal="85" workbookViewId="0">
      <selection activeCell="F19" sqref="F19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5"/>
      <c r="B4" s="21"/>
      <c r="C4" s="21"/>
      <c r="D4" s="21"/>
    </row>
    <row r="5" spans="1:4" ht="13.5" customHeight="1">
      <c r="A5" s="22" t="s">
        <v>161</v>
      </c>
      <c r="B5" s="22" t="s">
        <v>162</v>
      </c>
      <c r="C5" s="22" t="s">
        <v>163</v>
      </c>
      <c r="D5" s="23" t="s">
        <v>22</v>
      </c>
    </row>
    <row r="6" spans="1:4" ht="13.5" customHeight="1">
      <c r="A6" s="22">
        <v>1</v>
      </c>
      <c r="B6" s="42">
        <v>0</v>
      </c>
      <c r="C6" s="42">
        <v>-7.35</v>
      </c>
      <c r="D6" s="42">
        <v>0</v>
      </c>
    </row>
    <row r="7" spans="1:4" ht="13.5" customHeight="1">
      <c r="A7" s="22">
        <v>2</v>
      </c>
      <c r="B7" s="42">
        <f>B6+0.125</f>
        <v>0.125</v>
      </c>
      <c r="C7" s="42">
        <f>C6</f>
        <v>-7.35</v>
      </c>
      <c r="D7" s="42">
        <v>0</v>
      </c>
    </row>
    <row r="8" spans="1:4" ht="13.5" customHeight="1">
      <c r="A8" s="22">
        <v>3</v>
      </c>
      <c r="B8" s="42">
        <f>B9-0.125</f>
        <v>9.44</v>
      </c>
      <c r="C8" s="42">
        <f>C9</f>
        <v>-7.35</v>
      </c>
      <c r="D8" s="42">
        <v>0</v>
      </c>
    </row>
    <row r="9" spans="1:4" ht="13.5" customHeight="1">
      <c r="A9" s="22">
        <v>4</v>
      </c>
      <c r="B9" s="42">
        <f>B6+9.565</f>
        <v>9.5649999999999995</v>
      </c>
      <c r="C9" s="42">
        <f>C6</f>
        <v>-7.35</v>
      </c>
      <c r="D9" s="42">
        <v>0</v>
      </c>
    </row>
    <row r="10" spans="1:4" ht="13.5" customHeight="1">
      <c r="D10" s="42">
        <v>0</v>
      </c>
    </row>
    <row r="11" spans="1:4" ht="13.5" customHeight="1">
      <c r="D11" s="42">
        <v>0</v>
      </c>
    </row>
    <row r="12" spans="1:4" ht="13.5" customHeight="1">
      <c r="D12" s="42">
        <v>0</v>
      </c>
    </row>
    <row r="13" spans="1:4" ht="13.5" customHeight="1">
      <c r="D13" s="42"/>
    </row>
    <row r="14" spans="1:4" ht="13.5" customHeight="1">
      <c r="D14" s="42"/>
    </row>
    <row r="15" spans="1:4" ht="13.5" customHeight="1">
      <c r="D15" s="42"/>
    </row>
    <row r="16" spans="1:4" ht="13.5" customHeight="1">
      <c r="D16" s="42"/>
    </row>
    <row r="17" spans="4:4" ht="13.5" customHeight="1">
      <c r="D17" s="42"/>
    </row>
    <row r="18" spans="4:4" ht="13.5" customHeight="1">
      <c r="D18" s="42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9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4" customWidth="1"/>
    <col min="2" max="3" width="13.625" style="41" customWidth="1"/>
    <col min="4" max="4" width="13.625" style="41" hidden="1" customWidth="1"/>
    <col min="5" max="5" width="13.625" style="41" hidden="1" customWidth="1" collapsed="1"/>
    <col min="6" max="6" width="13.625" style="41" hidden="1" customWidth="1"/>
    <col min="7" max="9" width="13.625" style="41" customWidth="1"/>
    <col min="10" max="12" width="13.625" style="41" hidden="1" customWidth="1"/>
    <col min="13" max="15" width="13.625" style="41" customWidth="1"/>
    <col min="16" max="18" width="13.625" style="41" hidden="1" customWidth="1"/>
    <col min="19" max="19" width="13.625" style="41" customWidth="1"/>
    <col min="20" max="16384" width="13.625" style="19"/>
  </cols>
  <sheetData>
    <row r="1" spans="1:19" ht="13.5" customHeight="1">
      <c r="A1" s="29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13.5" customHeight="1">
      <c r="A2" s="31" t="s">
        <v>49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3" spans="1:19" ht="13.5" customHeight="1">
      <c r="A3" s="29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</row>
    <row r="4" spans="1:19" ht="13.5" customHeight="1">
      <c r="A4" s="29"/>
      <c r="B4" s="39" t="s">
        <v>115</v>
      </c>
      <c r="C4" s="40"/>
      <c r="D4" s="40"/>
      <c r="E4" s="40"/>
      <c r="F4" s="40"/>
      <c r="G4" s="40"/>
      <c r="H4" s="40"/>
      <c r="I4" s="40"/>
      <c r="J4" s="40"/>
      <c r="K4" s="39"/>
      <c r="L4" s="40"/>
      <c r="M4" s="40"/>
      <c r="N4" s="40"/>
      <c r="O4" s="40"/>
      <c r="P4" s="40"/>
      <c r="Q4" s="39"/>
      <c r="R4" s="40"/>
      <c r="S4" s="40"/>
    </row>
    <row r="5" spans="1:19" ht="13.5" customHeight="1">
      <c r="A5" s="145" t="s">
        <v>37</v>
      </c>
      <c r="B5" s="147" t="s">
        <v>50</v>
      </c>
      <c r="C5" s="147"/>
      <c r="D5" s="147"/>
      <c r="E5" s="147"/>
      <c r="F5" s="147"/>
      <c r="G5" s="147"/>
      <c r="H5" s="148" t="s">
        <v>51</v>
      </c>
      <c r="I5" s="148"/>
      <c r="J5" s="148"/>
      <c r="K5" s="148"/>
      <c r="L5" s="148"/>
      <c r="M5" s="148"/>
      <c r="N5" s="143" t="s">
        <v>164</v>
      </c>
      <c r="O5" s="143"/>
      <c r="P5" s="143"/>
      <c r="Q5" s="143"/>
      <c r="R5" s="143"/>
      <c r="S5" s="143"/>
    </row>
    <row r="6" spans="1:19" ht="13.5" customHeight="1">
      <c r="A6" s="145"/>
      <c r="B6" s="146" t="s">
        <v>33</v>
      </c>
      <c r="C6" s="146"/>
      <c r="D6" s="146"/>
      <c r="E6" s="146" t="s">
        <v>34</v>
      </c>
      <c r="F6" s="146"/>
      <c r="G6" s="146"/>
      <c r="H6" s="149" t="s">
        <v>33</v>
      </c>
      <c r="I6" s="149"/>
      <c r="J6" s="149"/>
      <c r="K6" s="149" t="s">
        <v>34</v>
      </c>
      <c r="L6" s="149"/>
      <c r="M6" s="149"/>
      <c r="N6" s="144" t="s">
        <v>33</v>
      </c>
      <c r="O6" s="144"/>
      <c r="P6" s="144"/>
      <c r="Q6" s="144" t="s">
        <v>34</v>
      </c>
      <c r="R6" s="144"/>
      <c r="S6" s="144"/>
    </row>
    <row r="7" spans="1:19" ht="13.5" customHeight="1">
      <c r="A7" s="145"/>
      <c r="B7" s="136" t="s">
        <v>20</v>
      </c>
      <c r="C7" s="136" t="s">
        <v>21</v>
      </c>
      <c r="D7" s="136" t="s">
        <v>22</v>
      </c>
      <c r="E7" s="136" t="s">
        <v>20</v>
      </c>
      <c r="F7" s="136" t="s">
        <v>21</v>
      </c>
      <c r="G7" s="136" t="s">
        <v>22</v>
      </c>
      <c r="H7" s="137" t="s">
        <v>20</v>
      </c>
      <c r="I7" s="137" t="s">
        <v>21</v>
      </c>
      <c r="J7" s="137" t="s">
        <v>22</v>
      </c>
      <c r="K7" s="137" t="s">
        <v>20</v>
      </c>
      <c r="L7" s="137" t="s">
        <v>21</v>
      </c>
      <c r="M7" s="137" t="s">
        <v>22</v>
      </c>
      <c r="N7" s="135" t="s">
        <v>20</v>
      </c>
      <c r="O7" s="135" t="s">
        <v>21</v>
      </c>
      <c r="P7" s="135" t="s">
        <v>22</v>
      </c>
      <c r="Q7" s="135" t="s">
        <v>20</v>
      </c>
      <c r="R7" s="135" t="s">
        <v>21</v>
      </c>
      <c r="S7" s="135" t="s">
        <v>22</v>
      </c>
    </row>
    <row r="8" spans="1:19" ht="13.5" customHeight="1">
      <c r="A8" s="43">
        <v>1</v>
      </c>
      <c r="B8" s="41">
        <v>1</v>
      </c>
      <c r="C8" s="41">
        <v>1</v>
      </c>
      <c r="D8" s="41">
        <v>0</v>
      </c>
      <c r="G8" s="41">
        <v>0</v>
      </c>
    </row>
    <row r="9" spans="1:19" ht="13.5" customHeight="1">
      <c r="A9" s="43">
        <v>4</v>
      </c>
      <c r="B9" s="41">
        <v>0</v>
      </c>
      <c r="C9" s="41">
        <v>1</v>
      </c>
      <c r="D9" s="41">
        <v>0</v>
      </c>
      <c r="G9" s="41">
        <v>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8"/>
  <sheetViews>
    <sheetView zoomScale="85" zoomScaleNormal="85" workbookViewId="0">
      <selection sqref="A1:XFD1048576"/>
    </sheetView>
  </sheetViews>
  <sheetFormatPr defaultColWidth="10.875" defaultRowHeight="13.5" customHeight="1"/>
  <cols>
    <col min="1" max="1" width="10.875" style="22" customWidth="1"/>
    <col min="2" max="3" width="10.875" style="131" customWidth="1"/>
    <col min="4" max="4" width="10.875" style="36" customWidth="1"/>
    <col min="5" max="5" width="10.875" style="46" customWidth="1"/>
    <col min="6" max="6" width="10.875" style="37" hidden="1" customWidth="1"/>
    <col min="7" max="7" width="10.875" style="47" customWidth="1"/>
    <col min="8" max="16384" width="10.875" style="19"/>
  </cols>
  <sheetData>
    <row r="1" spans="1:7" ht="13.5" customHeight="1">
      <c r="A1" s="29"/>
      <c r="B1" s="75"/>
      <c r="C1" s="75"/>
      <c r="D1" s="30"/>
      <c r="E1" s="29"/>
      <c r="F1" s="18"/>
      <c r="G1" s="48"/>
    </row>
    <row r="2" spans="1:7" ht="13.5" customHeight="1">
      <c r="A2" s="31" t="s">
        <v>52</v>
      </c>
      <c r="B2" s="75"/>
      <c r="C2" s="75"/>
      <c r="D2" s="30"/>
      <c r="E2" s="29"/>
      <c r="F2" s="18"/>
      <c r="G2" s="48"/>
    </row>
    <row r="3" spans="1:7" ht="13.5" customHeight="1">
      <c r="A3" s="32"/>
      <c r="B3" s="75"/>
      <c r="C3" s="128"/>
      <c r="D3" s="30"/>
      <c r="E3" s="29"/>
      <c r="F3" s="18"/>
      <c r="G3" s="48"/>
    </row>
    <row r="4" spans="1:7" ht="13.5" customHeight="1">
      <c r="A4" s="33"/>
      <c r="B4" s="129"/>
      <c r="C4" s="129"/>
      <c r="D4" s="30"/>
      <c r="E4" s="45"/>
      <c r="F4" s="21"/>
      <c r="G4" s="48"/>
    </row>
    <row r="5" spans="1:7" ht="13.5" customHeight="1">
      <c r="A5" s="138" t="s">
        <v>165</v>
      </c>
      <c r="B5" s="139" t="s">
        <v>25</v>
      </c>
      <c r="C5" s="139" t="s">
        <v>26</v>
      </c>
      <c r="D5" s="139" t="s">
        <v>99</v>
      </c>
      <c r="E5" s="35" t="s">
        <v>114</v>
      </c>
      <c r="F5" s="35" t="s">
        <v>166</v>
      </c>
    </row>
    <row r="6" spans="1:7" ht="13.5" customHeight="1">
      <c r="A6" s="22">
        <v>1</v>
      </c>
      <c r="B6" s="130">
        <v>1</v>
      </c>
      <c r="C6" s="130">
        <f>B6+1</f>
        <v>2</v>
      </c>
      <c r="D6" s="36">
        <v>0.125</v>
      </c>
      <c r="E6" s="46">
        <v>1</v>
      </c>
      <c r="F6" s="37">
        <v>0</v>
      </c>
    </row>
    <row r="7" spans="1:7" ht="13.5" customHeight="1">
      <c r="A7" s="22">
        <v>2</v>
      </c>
      <c r="B7" s="130">
        <f>C6</f>
        <v>2</v>
      </c>
      <c r="C7" s="130">
        <f>B7+1</f>
        <v>3</v>
      </c>
      <c r="D7" s="36">
        <v>9.3149999999999995</v>
      </c>
      <c r="E7" s="46">
        <v>2</v>
      </c>
      <c r="F7" s="37">
        <v>0</v>
      </c>
    </row>
    <row r="8" spans="1:7" ht="13.5" customHeight="1">
      <c r="A8" s="22">
        <v>3</v>
      </c>
      <c r="B8" s="130">
        <f t="shared" ref="B8" si="0">C7</f>
        <v>3</v>
      </c>
      <c r="C8" s="130">
        <f t="shared" ref="C8" si="1">B8+1</f>
        <v>4</v>
      </c>
      <c r="D8" s="36">
        <v>0.125</v>
      </c>
      <c r="E8" s="46">
        <v>1</v>
      </c>
      <c r="F8" s="37">
        <v>0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8"/>
  <sheetViews>
    <sheetView zoomScale="85" zoomScaleNormal="85" workbookViewId="0">
      <selection sqref="A1:XFD1048576"/>
    </sheetView>
  </sheetViews>
  <sheetFormatPr defaultColWidth="10" defaultRowHeight="13.5" customHeight="1"/>
  <cols>
    <col min="1" max="1" width="7.125" style="25" customWidth="1"/>
    <col min="2" max="2" width="10" style="53" customWidth="1"/>
    <col min="3" max="3" width="10" style="53" hidden="1" customWidth="1"/>
    <col min="4" max="4" width="10" style="53" customWidth="1" collapsed="1"/>
    <col min="5" max="5" width="10" style="53" customWidth="1"/>
    <col min="6" max="7" width="10" style="53" hidden="1" customWidth="1"/>
    <col min="8" max="8" width="15.75" style="53" customWidth="1"/>
    <col min="9" max="9" width="10" style="53" customWidth="1"/>
    <col min="10" max="10" width="10" style="53" hidden="1" customWidth="1"/>
    <col min="11" max="11" width="10" style="53" customWidth="1" collapsed="1"/>
    <col min="12" max="12" width="10" style="53" customWidth="1"/>
    <col min="13" max="14" width="10" style="53" hidden="1" customWidth="1"/>
    <col min="15" max="15" width="15.75" style="53" customWidth="1"/>
    <col min="16" max="16" width="10" style="53" customWidth="1"/>
    <col min="17" max="17" width="10" style="53" hidden="1" customWidth="1"/>
    <col min="18" max="18" width="10" style="53" customWidth="1" collapsed="1"/>
    <col min="19" max="19" width="10" style="53" customWidth="1"/>
    <col min="20" max="21" width="10" style="53" hidden="1" customWidth="1"/>
    <col min="22" max="22" width="15.75" style="53" customWidth="1"/>
    <col min="23" max="16384" width="10" style="50"/>
  </cols>
  <sheetData>
    <row r="1" spans="1:22" ht="13.5" customHeight="1">
      <c r="A1" s="18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</row>
    <row r="2" spans="1:22" s="19" customFormat="1" ht="13.5" customHeight="1">
      <c r="A2" s="20" t="s">
        <v>83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ht="13.5" customHeight="1">
      <c r="A4" s="2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</row>
    <row r="5" spans="1:22" ht="13.5" customHeight="1">
      <c r="A5" s="152" t="s">
        <v>167</v>
      </c>
      <c r="B5" s="154" t="s">
        <v>50</v>
      </c>
      <c r="C5" s="155"/>
      <c r="D5" s="155"/>
      <c r="E5" s="155"/>
      <c r="F5" s="156"/>
      <c r="G5" s="154" t="s">
        <v>96</v>
      </c>
      <c r="H5" s="156"/>
      <c r="I5" s="157" t="s">
        <v>168</v>
      </c>
      <c r="J5" s="158"/>
      <c r="K5" s="158"/>
      <c r="L5" s="158"/>
      <c r="M5" s="159"/>
      <c r="N5" s="157" t="s">
        <v>96</v>
      </c>
      <c r="O5" s="159"/>
      <c r="P5" s="150" t="s">
        <v>164</v>
      </c>
      <c r="Q5" s="160"/>
      <c r="R5" s="160"/>
      <c r="S5" s="160"/>
      <c r="T5" s="151"/>
      <c r="U5" s="150" t="s">
        <v>96</v>
      </c>
      <c r="V5" s="151"/>
    </row>
    <row r="6" spans="1:22" ht="13.5" customHeight="1">
      <c r="A6" s="153"/>
      <c r="B6" s="54" t="s">
        <v>23</v>
      </c>
      <c r="C6" s="54" t="s">
        <v>169</v>
      </c>
      <c r="D6" s="54" t="s">
        <v>78</v>
      </c>
      <c r="E6" s="54" t="s">
        <v>24</v>
      </c>
      <c r="F6" s="54" t="s">
        <v>170</v>
      </c>
      <c r="G6" s="54" t="s">
        <v>171</v>
      </c>
      <c r="H6" s="54" t="s">
        <v>172</v>
      </c>
      <c r="I6" s="55" t="s">
        <v>23</v>
      </c>
      <c r="J6" s="55" t="s">
        <v>169</v>
      </c>
      <c r="K6" s="55" t="s">
        <v>173</v>
      </c>
      <c r="L6" s="55" t="s">
        <v>24</v>
      </c>
      <c r="M6" s="55" t="s">
        <v>170</v>
      </c>
      <c r="N6" s="55" t="s">
        <v>171</v>
      </c>
      <c r="O6" s="55" t="s">
        <v>172</v>
      </c>
      <c r="P6" s="56" t="s">
        <v>23</v>
      </c>
      <c r="Q6" s="56" t="s">
        <v>169</v>
      </c>
      <c r="R6" s="56" t="s">
        <v>173</v>
      </c>
      <c r="S6" s="56" t="s">
        <v>24</v>
      </c>
      <c r="T6" s="56" t="s">
        <v>170</v>
      </c>
      <c r="U6" s="56" t="s">
        <v>171</v>
      </c>
      <c r="V6" s="56" t="s">
        <v>172</v>
      </c>
    </row>
    <row r="7" spans="1:22" ht="13.5" customHeight="1">
      <c r="A7" s="25">
        <v>1</v>
      </c>
      <c r="B7" s="52">
        <v>26500000</v>
      </c>
      <c r="C7" s="52">
        <v>1.0000000000000001E-5</v>
      </c>
      <c r="D7" s="52">
        <v>1.0000000000000001E-5</v>
      </c>
      <c r="E7" s="53">
        <v>1000</v>
      </c>
      <c r="H7" s="53">
        <v>1000</v>
      </c>
      <c r="I7" s="52">
        <v>26500000</v>
      </c>
      <c r="J7" s="52">
        <v>1.0000000000000001E-5</v>
      </c>
      <c r="K7" s="52">
        <v>1.0000000000000001E-5</v>
      </c>
      <c r="L7" s="53">
        <v>1000</v>
      </c>
      <c r="O7" s="53">
        <v>1000</v>
      </c>
    </row>
    <row r="8" spans="1:22" ht="13.5" customHeight="1">
      <c r="A8" s="25">
        <v>2</v>
      </c>
      <c r="B8" s="52">
        <v>26500000</v>
      </c>
      <c r="C8" s="52">
        <v>1.0000000000000001E-5</v>
      </c>
      <c r="D8" s="52">
        <v>1.0000000000000001E-5</v>
      </c>
      <c r="E8" s="53">
        <v>2</v>
      </c>
      <c r="H8" s="53">
        <v>0.219</v>
      </c>
      <c r="I8" s="52">
        <v>26500000</v>
      </c>
      <c r="J8" s="52">
        <v>1.0000000000000001E-5</v>
      </c>
      <c r="K8" s="52">
        <v>1.0000000000000001E-5</v>
      </c>
      <c r="L8" s="53">
        <v>2</v>
      </c>
      <c r="O8" s="53">
        <v>0.219</v>
      </c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7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79</v>
      </c>
      <c r="B4" s="57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61" t="s">
        <v>54</v>
      </c>
      <c r="B5" s="162" t="s">
        <v>50</v>
      </c>
      <c r="C5" s="162"/>
      <c r="D5" s="162"/>
      <c r="E5" s="162"/>
      <c r="F5" s="162"/>
      <c r="G5" s="162"/>
      <c r="H5" s="163" t="s">
        <v>51</v>
      </c>
      <c r="I5" s="163"/>
      <c r="J5" s="163"/>
      <c r="K5" s="163"/>
      <c r="L5" s="163"/>
      <c r="M5" s="163"/>
      <c r="N5" s="164" t="s">
        <v>53</v>
      </c>
      <c r="O5" s="164"/>
      <c r="P5" s="164"/>
      <c r="Q5" s="164"/>
      <c r="R5" s="164"/>
      <c r="S5" s="164"/>
    </row>
    <row r="6" spans="1:19" ht="13.5" customHeight="1">
      <c r="A6" s="161"/>
      <c r="B6" s="58" t="s">
        <v>27</v>
      </c>
      <c r="C6" s="54" t="s">
        <v>28</v>
      </c>
      <c r="D6" s="54" t="s">
        <v>29</v>
      </c>
      <c r="E6" s="54" t="s">
        <v>30</v>
      </c>
      <c r="F6" s="54" t="s">
        <v>31</v>
      </c>
      <c r="G6" s="54" t="s">
        <v>32</v>
      </c>
      <c r="H6" s="59" t="s">
        <v>27</v>
      </c>
      <c r="I6" s="56" t="s">
        <v>28</v>
      </c>
      <c r="J6" s="56" t="s">
        <v>29</v>
      </c>
      <c r="K6" s="56" t="s">
        <v>30</v>
      </c>
      <c r="L6" s="56" t="s">
        <v>31</v>
      </c>
      <c r="M6" s="56" t="s">
        <v>32</v>
      </c>
      <c r="N6" s="60" t="s">
        <v>27</v>
      </c>
      <c r="O6" s="55" t="s">
        <v>28</v>
      </c>
      <c r="P6" s="55" t="s">
        <v>29</v>
      </c>
      <c r="Q6" s="55" t="s">
        <v>30</v>
      </c>
      <c r="R6" s="55" t="s">
        <v>31</v>
      </c>
      <c r="S6" s="55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activeCell="H19" sqref="H19"/>
    </sheetView>
  </sheetViews>
  <sheetFormatPr defaultRowHeight="13.5"/>
  <cols>
    <col min="1" max="1" width="9" style="62"/>
    <col min="2" max="2" width="9" style="64"/>
    <col min="3" max="14" width="9" style="62"/>
    <col min="15" max="16384" width="9" style="63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61" t="s">
        <v>54</v>
      </c>
      <c r="B4" s="161" t="s">
        <v>101</v>
      </c>
      <c r="C4" s="165" t="s">
        <v>102</v>
      </c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</row>
    <row r="5" spans="1:14" s="19" customFormat="1" ht="13.5" customHeight="1">
      <c r="A5" s="161"/>
      <c r="B5" s="161"/>
      <c r="C5" s="34" t="s">
        <v>116</v>
      </c>
      <c r="D5" s="34" t="s">
        <v>103</v>
      </c>
      <c r="E5" s="34" t="s">
        <v>104</v>
      </c>
      <c r="F5" s="34" t="s">
        <v>105</v>
      </c>
      <c r="G5" s="34" t="s">
        <v>106</v>
      </c>
      <c r="H5" s="34" t="s">
        <v>107</v>
      </c>
      <c r="I5" s="34" t="s">
        <v>108</v>
      </c>
      <c r="J5" s="34" t="s">
        <v>109</v>
      </c>
      <c r="K5" s="34" t="s">
        <v>110</v>
      </c>
      <c r="L5" s="34" t="s">
        <v>111</v>
      </c>
      <c r="M5" s="34" t="s">
        <v>112</v>
      </c>
      <c r="N5" s="34" t="s">
        <v>113</v>
      </c>
    </row>
    <row r="6" spans="1:14" s="19" customFormat="1" ht="13.5" customHeight="1">
      <c r="A6" s="25"/>
      <c r="B6" s="24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activeCell="A8" sqref="A8:XFD32"/>
    </sheetView>
  </sheetViews>
  <sheetFormatPr defaultRowHeight="13.5" customHeight="1"/>
  <cols>
    <col min="1" max="1" width="9" style="37" customWidth="1"/>
    <col min="2" max="3" width="9" style="67" customWidth="1"/>
    <col min="4" max="5" width="9" style="67" hidden="1" customWidth="1"/>
    <col min="6" max="6" width="9" style="68" customWidth="1"/>
    <col min="7" max="7" width="9" style="67" customWidth="1"/>
    <col min="8" max="8" width="9" style="69" hidden="1" customWidth="1"/>
    <col min="9" max="9" width="9" style="67" hidden="1" customWidth="1"/>
    <col min="10" max="11" width="9" style="67" customWidth="1"/>
    <col min="12" max="13" width="9" style="67" hidden="1" customWidth="1"/>
    <col min="14" max="235" width="9" style="19" customWidth="1"/>
    <col min="236" max="16384" width="9" style="19"/>
  </cols>
  <sheetData>
    <row r="1" spans="1:13" ht="13.5" customHeight="1">
      <c r="A1" s="18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13.5" customHeight="1">
      <c r="A2" s="20" t="s">
        <v>84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</row>
    <row r="3" spans="1:13" ht="13.5" customHeight="1">
      <c r="A3" s="20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13" ht="13.5" customHeight="1">
      <c r="A4" s="27"/>
      <c r="B4" s="28" t="s">
        <v>55</v>
      </c>
      <c r="C4" s="66"/>
      <c r="D4" s="66"/>
      <c r="E4" s="66"/>
      <c r="F4" s="66"/>
      <c r="G4" s="66"/>
      <c r="H4" s="66"/>
      <c r="I4" s="28"/>
      <c r="J4" s="66"/>
      <c r="K4" s="66"/>
      <c r="L4" s="66"/>
      <c r="M4" s="28"/>
    </row>
    <row r="5" spans="1:13" ht="13.5" customHeight="1">
      <c r="A5" s="166" t="s">
        <v>54</v>
      </c>
      <c r="B5" s="150" t="s">
        <v>50</v>
      </c>
      <c r="C5" s="160"/>
      <c r="D5" s="160"/>
      <c r="E5" s="151"/>
      <c r="F5" s="169" t="s">
        <v>59</v>
      </c>
      <c r="G5" s="170"/>
      <c r="H5" s="170"/>
      <c r="I5" s="171"/>
      <c r="J5" s="172" t="s">
        <v>58</v>
      </c>
      <c r="K5" s="173"/>
      <c r="L5" s="173"/>
      <c r="M5" s="174"/>
    </row>
    <row r="6" spans="1:13" ht="13.5" customHeight="1">
      <c r="A6" s="167"/>
      <c r="B6" s="150" t="s">
        <v>33</v>
      </c>
      <c r="C6" s="160"/>
      <c r="D6" s="151"/>
      <c r="E6" s="70" t="s">
        <v>56</v>
      </c>
      <c r="F6" s="169" t="s">
        <v>33</v>
      </c>
      <c r="G6" s="170"/>
      <c r="H6" s="171"/>
      <c r="I6" s="71" t="s">
        <v>56</v>
      </c>
      <c r="J6" s="172" t="s">
        <v>33</v>
      </c>
      <c r="K6" s="173"/>
      <c r="L6" s="174"/>
      <c r="M6" s="72" t="s">
        <v>56</v>
      </c>
    </row>
    <row r="7" spans="1:13" ht="13.5" customHeight="1">
      <c r="A7" s="168"/>
      <c r="B7" s="124" t="s">
        <v>20</v>
      </c>
      <c r="C7" s="124" t="s">
        <v>21</v>
      </c>
      <c r="D7" s="124" t="s">
        <v>22</v>
      </c>
      <c r="E7" s="124" t="s">
        <v>57</v>
      </c>
      <c r="F7" s="125" t="s">
        <v>20</v>
      </c>
      <c r="G7" s="73" t="s">
        <v>21</v>
      </c>
      <c r="H7" s="126" t="s">
        <v>22</v>
      </c>
      <c r="I7" s="73" t="s">
        <v>57</v>
      </c>
      <c r="J7" s="74" t="s">
        <v>20</v>
      </c>
      <c r="K7" s="74" t="s">
        <v>21</v>
      </c>
      <c r="L7" s="74" t="s">
        <v>22</v>
      </c>
      <c r="M7" s="74" t="s">
        <v>57</v>
      </c>
    </row>
    <row r="8" spans="1:13" ht="13.5" customHeight="1">
      <c r="F8" s="67"/>
    </row>
    <row r="9" spans="1:13" ht="13.5" customHeight="1">
      <c r="F9" s="67"/>
    </row>
    <row r="10" spans="1:13" ht="13.5" customHeight="1">
      <c r="F10" s="67"/>
    </row>
    <row r="11" spans="1:13" ht="13.5" customHeight="1">
      <c r="F11" s="67"/>
    </row>
    <row r="12" spans="1:13" ht="13.5" customHeight="1">
      <c r="F12" s="67"/>
    </row>
    <row r="13" spans="1:13" ht="13.5" customHeight="1">
      <c r="F13" s="67"/>
    </row>
    <row r="14" spans="1:13" ht="13.5" customHeight="1">
      <c r="F14" s="67"/>
    </row>
    <row r="15" spans="1:13" ht="13.5" customHeight="1">
      <c r="F15" s="67"/>
    </row>
    <row r="16" spans="1:13" ht="13.5" customHeight="1">
      <c r="F16" s="67"/>
    </row>
    <row r="17" spans="6:6" ht="13.5" customHeight="1">
      <c r="F17" s="67"/>
    </row>
    <row r="18" spans="6:6" ht="13.5" customHeight="1">
      <c r="F18" s="67"/>
    </row>
    <row r="19" spans="6:6" ht="13.5" customHeight="1">
      <c r="F19" s="67"/>
    </row>
    <row r="20" spans="6:6" ht="13.5" customHeight="1">
      <c r="F20" s="67"/>
    </row>
    <row r="21" spans="6:6" ht="13.5" customHeight="1">
      <c r="F21" s="67"/>
    </row>
    <row r="22" spans="6:6" ht="13.5" customHeight="1">
      <c r="F22" s="67"/>
    </row>
    <row r="23" spans="6:6" ht="13.5" customHeight="1">
      <c r="F23" s="67"/>
    </row>
    <row r="24" spans="6:6" ht="13.5" customHeight="1">
      <c r="F24" s="67"/>
    </row>
    <row r="25" spans="6:6" ht="13.5" customHeight="1">
      <c r="F25" s="67"/>
    </row>
    <row r="26" spans="6:6" ht="13.5" customHeight="1">
      <c r="F26" s="67"/>
    </row>
    <row r="27" spans="6:6" ht="13.5" customHeight="1">
      <c r="F27" s="67"/>
    </row>
    <row r="28" spans="6:6" ht="13.5" customHeight="1">
      <c r="F28" s="67"/>
    </row>
    <row r="29" spans="6:6" ht="13.5" customHeight="1">
      <c r="F29" s="67"/>
    </row>
    <row r="30" spans="6:6" ht="13.5" customHeight="1">
      <c r="F30" s="67"/>
    </row>
    <row r="31" spans="6:6" ht="13.5" customHeight="1">
      <c r="F31" s="67"/>
    </row>
    <row r="32" spans="6:6" ht="13.5" customHeight="1">
      <c r="F32" s="67"/>
    </row>
    <row r="33" spans="6:6" ht="13.5" customHeight="1">
      <c r="F33" s="67"/>
    </row>
    <row r="34" spans="6:6" ht="13.5" customHeight="1">
      <c r="F34" s="67"/>
    </row>
    <row r="35" spans="6:6" ht="13.5" customHeight="1">
      <c r="F35" s="67"/>
    </row>
    <row r="36" spans="6:6" ht="13.5" customHeight="1">
      <c r="F36" s="67"/>
    </row>
    <row r="37" spans="6:6" ht="13.5" customHeight="1">
      <c r="F37" s="67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7"/>
  <sheetViews>
    <sheetView view="pageBreakPreview" zoomScale="60" zoomScaleNormal="85" workbookViewId="0">
      <selection activeCell="D8" sqref="D8"/>
    </sheetView>
  </sheetViews>
  <sheetFormatPr defaultRowHeight="13.5" customHeight="1"/>
  <cols>
    <col min="1" max="1" width="9" style="122" bestFit="1" customWidth="1"/>
    <col min="2" max="2" width="7.5" style="25" bestFit="1" customWidth="1"/>
    <col min="3" max="3" width="6.125" style="44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0"/>
  </cols>
  <sheetData>
    <row r="1" spans="1:8" s="19" customFormat="1" ht="13.5" customHeight="1">
      <c r="A1" s="120"/>
      <c r="B1" s="65"/>
      <c r="C1" s="75"/>
      <c r="D1" s="65"/>
      <c r="E1" s="65"/>
      <c r="F1" s="65"/>
      <c r="G1" s="65"/>
      <c r="H1" s="65"/>
    </row>
    <row r="2" spans="1:8" s="19" customFormat="1" ht="13.5" customHeight="1">
      <c r="A2" s="123" t="s">
        <v>69</v>
      </c>
      <c r="C2" s="76"/>
    </row>
    <row r="3" spans="1:8" s="19" customFormat="1" ht="13.5" customHeight="1">
      <c r="A3" s="121"/>
      <c r="C3" s="76"/>
    </row>
    <row r="4" spans="1:8" ht="13.5" customHeight="1">
      <c r="A4" s="176" t="s">
        <v>60</v>
      </c>
      <c r="B4" s="175" t="s">
        <v>61</v>
      </c>
      <c r="C4" s="175" t="s">
        <v>62</v>
      </c>
      <c r="D4" s="175" t="s">
        <v>63</v>
      </c>
      <c r="E4" s="175" t="s">
        <v>64</v>
      </c>
      <c r="F4" s="175"/>
      <c r="G4" s="175"/>
      <c r="H4" s="175"/>
    </row>
    <row r="5" spans="1:8" ht="13.5" customHeight="1">
      <c r="A5" s="176"/>
      <c r="B5" s="175"/>
      <c r="C5" s="175"/>
      <c r="D5" s="175"/>
      <c r="E5" s="78" t="s">
        <v>65</v>
      </c>
      <c r="F5" s="78" t="s">
        <v>66</v>
      </c>
      <c r="G5" s="78" t="s">
        <v>67</v>
      </c>
      <c r="H5" s="78" t="s">
        <v>68</v>
      </c>
    </row>
    <row r="6" spans="1:8" ht="13.5" customHeight="1">
      <c r="A6" s="122">
        <v>1</v>
      </c>
      <c r="B6" s="77">
        <v>1</v>
      </c>
      <c r="C6" s="43" t="s">
        <v>174</v>
      </c>
      <c r="D6" s="25" t="s">
        <v>191</v>
      </c>
      <c r="E6" s="77">
        <v>1</v>
      </c>
      <c r="F6" s="25">
        <v>1</v>
      </c>
      <c r="G6" s="25">
        <v>1</v>
      </c>
      <c r="H6" s="25">
        <v>1</v>
      </c>
    </row>
    <row r="7" spans="1:8" ht="13.5" customHeight="1">
      <c r="A7" s="122">
        <v>1</v>
      </c>
      <c r="B7" s="25">
        <v>2</v>
      </c>
      <c r="C7" s="44" t="s">
        <v>175</v>
      </c>
      <c r="D7" s="25" t="s">
        <v>193</v>
      </c>
      <c r="E7" s="77">
        <v>1</v>
      </c>
      <c r="F7" s="25">
        <v>1</v>
      </c>
      <c r="G7" s="25">
        <v>1</v>
      </c>
      <c r="H7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4"/>
  <sheetViews>
    <sheetView zoomScaleNormal="100" zoomScaleSheetLayoutView="100" workbookViewId="0">
      <pane ySplit="6" topLeftCell="A7" activePane="bottomLeft" state="frozen"/>
      <selection pane="bottomLeft" activeCell="I14" sqref="I14"/>
    </sheetView>
  </sheetViews>
  <sheetFormatPr defaultRowHeight="13.5" customHeight="1"/>
  <cols>
    <col min="1" max="1" width="7.125" style="25" customWidth="1"/>
    <col min="2" max="5" width="7.125" style="44" customWidth="1"/>
    <col min="6" max="7" width="9" style="81" customWidth="1"/>
    <col min="8" max="9" width="9" style="25" customWidth="1"/>
    <col min="10" max="10" width="7.125" style="44" customWidth="1"/>
    <col min="11" max="12" width="9" style="25" customWidth="1"/>
    <col min="13" max="15" width="9" style="25" hidden="1" customWidth="1"/>
    <col min="16" max="16" width="9" style="25" customWidth="1"/>
    <col min="17" max="16384" width="9" style="50"/>
  </cols>
  <sheetData>
    <row r="1" spans="1:16" s="19" customFormat="1" ht="13.5" customHeight="1">
      <c r="A1" s="18"/>
      <c r="B1" s="75"/>
      <c r="C1" s="75"/>
      <c r="D1" s="75"/>
      <c r="E1" s="75"/>
      <c r="F1" s="79"/>
      <c r="G1" s="79"/>
      <c r="H1" s="65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157</v>
      </c>
      <c r="B2" s="32"/>
      <c r="C2" s="32"/>
      <c r="D2" s="32"/>
      <c r="E2" s="32"/>
      <c r="F2" s="79"/>
      <c r="G2" s="79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0"/>
      <c r="G3" s="80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5" t="s">
        <v>61</v>
      </c>
      <c r="B4" s="178" t="s">
        <v>74</v>
      </c>
      <c r="C4" s="178"/>
      <c r="D4" s="178"/>
      <c r="E4" s="178"/>
      <c r="F4" s="178"/>
      <c r="G4" s="178"/>
      <c r="H4" s="178"/>
      <c r="I4" s="178"/>
      <c r="J4" s="177" t="s">
        <v>75</v>
      </c>
      <c r="K4" s="177"/>
      <c r="L4" s="177"/>
      <c r="M4" s="177"/>
      <c r="N4" s="177"/>
      <c r="O4" s="177"/>
      <c r="P4" s="177"/>
    </row>
    <row r="5" spans="1:16" ht="13.5" customHeight="1">
      <c r="A5" s="175"/>
      <c r="B5" s="178" t="s">
        <v>70</v>
      </c>
      <c r="C5" s="178" t="s">
        <v>71</v>
      </c>
      <c r="D5" s="179" t="s">
        <v>82</v>
      </c>
      <c r="E5" s="178" t="s">
        <v>72</v>
      </c>
      <c r="F5" s="180" t="s">
        <v>116</v>
      </c>
      <c r="G5" s="180" t="s">
        <v>73</v>
      </c>
      <c r="H5" s="178" t="s">
        <v>117</v>
      </c>
      <c r="I5" s="178" t="s">
        <v>118</v>
      </c>
      <c r="J5" s="177" t="s">
        <v>37</v>
      </c>
      <c r="K5" s="177" t="s">
        <v>35</v>
      </c>
      <c r="L5" s="177"/>
      <c r="M5" s="177"/>
      <c r="N5" s="177" t="s">
        <v>36</v>
      </c>
      <c r="O5" s="177"/>
      <c r="P5" s="177"/>
    </row>
    <row r="6" spans="1:16" ht="13.5" customHeight="1">
      <c r="A6" s="175"/>
      <c r="B6" s="178"/>
      <c r="C6" s="178"/>
      <c r="D6" s="178"/>
      <c r="E6" s="178"/>
      <c r="F6" s="180"/>
      <c r="G6" s="180"/>
      <c r="H6" s="178"/>
      <c r="I6" s="178"/>
      <c r="J6" s="177"/>
      <c r="K6" s="127" t="s">
        <v>20</v>
      </c>
      <c r="L6" s="127" t="s">
        <v>21</v>
      </c>
      <c r="M6" s="127" t="s">
        <v>22</v>
      </c>
      <c r="N6" s="127" t="s">
        <v>20</v>
      </c>
      <c r="O6" s="127" t="s">
        <v>21</v>
      </c>
      <c r="P6" s="127" t="s">
        <v>22</v>
      </c>
    </row>
    <row r="7" spans="1:16" s="19" customFormat="1" ht="13.5" customHeight="1">
      <c r="A7" s="25">
        <v>1</v>
      </c>
      <c r="B7" s="44">
        <v>1</v>
      </c>
      <c r="C7" s="44">
        <v>-3</v>
      </c>
      <c r="D7" s="44" t="s">
        <v>176</v>
      </c>
      <c r="E7" s="44">
        <v>2</v>
      </c>
      <c r="F7" s="44">
        <v>0</v>
      </c>
      <c r="G7" s="81" t="s">
        <v>177</v>
      </c>
      <c r="H7" s="25">
        <v>0</v>
      </c>
      <c r="I7" s="81" t="s">
        <v>178</v>
      </c>
      <c r="J7" s="44"/>
      <c r="K7" s="25"/>
      <c r="L7" s="140"/>
      <c r="M7" s="25"/>
      <c r="N7" s="25"/>
      <c r="O7" s="25"/>
      <c r="P7" s="25"/>
    </row>
    <row r="8" spans="1:16" s="19" customFormat="1" ht="13.5" customHeight="1">
      <c r="A8" s="25">
        <v>1</v>
      </c>
      <c r="B8" s="44">
        <v>1</v>
      </c>
      <c r="C8" s="44">
        <v>-3</v>
      </c>
      <c r="D8" s="44" t="s">
        <v>176</v>
      </c>
      <c r="E8" s="44">
        <v>2</v>
      </c>
      <c r="F8" s="81" t="s">
        <v>179</v>
      </c>
      <c r="G8" s="81" t="s">
        <v>180</v>
      </c>
      <c r="H8" s="81" t="s">
        <v>178</v>
      </c>
      <c r="I8" s="81" t="s">
        <v>178</v>
      </c>
      <c r="J8" s="44"/>
      <c r="K8" s="25"/>
      <c r="L8" s="140"/>
      <c r="M8" s="25"/>
      <c r="N8" s="25"/>
      <c r="O8" s="25"/>
      <c r="P8" s="25"/>
    </row>
    <row r="9" spans="1:16" s="19" customFormat="1" ht="13.5" customHeight="1">
      <c r="A9" s="25">
        <v>1</v>
      </c>
      <c r="B9" s="44">
        <v>1</v>
      </c>
      <c r="C9" s="44">
        <v>-3</v>
      </c>
      <c r="D9" s="44" t="s">
        <v>176</v>
      </c>
      <c r="E9" s="44">
        <v>2</v>
      </c>
      <c r="F9" s="81" t="s">
        <v>179</v>
      </c>
      <c r="G9" s="81" t="s">
        <v>181</v>
      </c>
      <c r="H9" s="25">
        <v>17.5</v>
      </c>
      <c r="I9" s="81" t="s">
        <v>181</v>
      </c>
      <c r="J9" s="44"/>
      <c r="K9" s="25"/>
      <c r="L9" s="140"/>
      <c r="M9" s="25"/>
      <c r="N9" s="25"/>
      <c r="O9" s="25"/>
      <c r="P9" s="25"/>
    </row>
    <row r="10" spans="1:16" ht="13.5" customHeight="1">
      <c r="A10" s="25">
        <v>2</v>
      </c>
      <c r="B10" s="44">
        <v>1</v>
      </c>
      <c r="D10" s="44" t="s">
        <v>176</v>
      </c>
      <c r="E10" s="44">
        <v>2</v>
      </c>
      <c r="F10" s="44">
        <v>0</v>
      </c>
      <c r="G10" s="81" t="s">
        <v>181</v>
      </c>
      <c r="H10" s="25">
        <v>0</v>
      </c>
      <c r="I10" s="81" t="s">
        <v>182</v>
      </c>
    </row>
    <row r="11" spans="1:16" ht="13.5" customHeight="1">
      <c r="A11" s="25">
        <v>2</v>
      </c>
      <c r="B11" s="44">
        <f>B10+1</f>
        <v>2</v>
      </c>
      <c r="D11" s="44" t="s">
        <v>176</v>
      </c>
      <c r="E11" s="44">
        <v>2</v>
      </c>
      <c r="F11" s="81" t="s">
        <v>181</v>
      </c>
      <c r="G11" s="81" t="s">
        <v>183</v>
      </c>
      <c r="H11" s="25">
        <v>0.875</v>
      </c>
      <c r="I11" s="81" t="s">
        <v>178</v>
      </c>
    </row>
    <row r="12" spans="1:16" ht="13.5" customHeight="1">
      <c r="A12" s="25">
        <v>2</v>
      </c>
      <c r="B12" s="44">
        <f>B11</f>
        <v>2</v>
      </c>
      <c r="D12" s="44" t="s">
        <v>184</v>
      </c>
      <c r="E12" s="44">
        <v>2</v>
      </c>
      <c r="F12" s="81" t="s">
        <v>185</v>
      </c>
      <c r="G12" s="81" t="s">
        <v>185</v>
      </c>
      <c r="H12" s="25">
        <v>17.5</v>
      </c>
      <c r="I12" s="81" t="s">
        <v>186</v>
      </c>
    </row>
    <row r="13" spans="1:16" ht="13.5" customHeight="1">
      <c r="A13" s="25">
        <v>2</v>
      </c>
      <c r="B13" s="44">
        <f>B12</f>
        <v>2</v>
      </c>
      <c r="D13" s="44" t="s">
        <v>184</v>
      </c>
      <c r="E13" s="44">
        <v>2</v>
      </c>
      <c r="F13" s="81" t="s">
        <v>187</v>
      </c>
      <c r="G13" s="81" t="s">
        <v>188</v>
      </c>
      <c r="H13" s="25">
        <v>17.5</v>
      </c>
      <c r="I13" s="25">
        <v>0.875</v>
      </c>
    </row>
    <row r="14" spans="1:16" ht="13.5" customHeight="1">
      <c r="A14" s="25">
        <v>2</v>
      </c>
      <c r="B14" s="44">
        <f>B13+1</f>
        <v>3</v>
      </c>
      <c r="D14" s="44" t="s">
        <v>184</v>
      </c>
      <c r="E14" s="44">
        <v>2</v>
      </c>
      <c r="F14" s="140">
        <v>0</v>
      </c>
      <c r="G14" s="81" t="s">
        <v>188</v>
      </c>
      <c r="H14" s="25">
        <v>0.875</v>
      </c>
      <c r="I14" s="81" t="s">
        <v>188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zoomScale="70" zoomScaleNormal="70" workbookViewId="0">
      <selection activeCell="AM14" sqref="AM14"/>
    </sheetView>
  </sheetViews>
  <sheetFormatPr defaultColWidth="8.875" defaultRowHeight="14.25" customHeight="1"/>
  <cols>
    <col min="1" max="4" width="8.875" style="50"/>
    <col min="5" max="8" width="2.75" style="50" customWidth="1"/>
    <col min="9" max="37" width="2.875" style="50" customWidth="1"/>
    <col min="38" max="16384" width="8.875" style="50"/>
  </cols>
  <sheetData>
    <row r="2" spans="2:37" ht="14.25" customHeight="1">
      <c r="B2" s="82" t="s">
        <v>38</v>
      </c>
    </row>
    <row r="4" spans="2:37" ht="14.25" customHeight="1">
      <c r="B4" s="181" t="s">
        <v>39</v>
      </c>
      <c r="C4" s="182"/>
      <c r="D4" s="95" t="s">
        <v>80</v>
      </c>
    </row>
    <row r="5" spans="2:37" ht="14.25" customHeight="1">
      <c r="B5" s="83"/>
      <c r="C5" s="84" t="s">
        <v>40</v>
      </c>
      <c r="D5" s="95" t="s">
        <v>160</v>
      </c>
    </row>
    <row r="6" spans="2:37" ht="14.25" customHeight="1">
      <c r="B6" s="85"/>
      <c r="C6" s="86" t="s">
        <v>41</v>
      </c>
      <c r="D6" s="96">
        <v>2</v>
      </c>
    </row>
    <row r="7" spans="2:37" ht="14.25" customHeight="1">
      <c r="B7" s="181" t="s">
        <v>42</v>
      </c>
      <c r="C7" s="182"/>
      <c r="D7" s="95" t="s">
        <v>80</v>
      </c>
    </row>
    <row r="8" spans="2:37" ht="14.25" customHeight="1">
      <c r="B8" s="83"/>
      <c r="C8" s="84" t="s">
        <v>40</v>
      </c>
      <c r="D8" s="95" t="s">
        <v>160</v>
      </c>
    </row>
    <row r="9" spans="2:37" ht="14.25" customHeight="1">
      <c r="B9" s="85"/>
      <c r="C9" s="86" t="s">
        <v>41</v>
      </c>
      <c r="D9" s="97">
        <v>2</v>
      </c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</row>
    <row r="10" spans="2:37" ht="14.25" customHeight="1">
      <c r="B10" s="181" t="s">
        <v>86</v>
      </c>
      <c r="C10" s="182"/>
      <c r="D10" s="95" t="s">
        <v>80</v>
      </c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</row>
    <row r="11" spans="2:37" ht="14.25" customHeight="1">
      <c r="B11" s="85"/>
      <c r="C11" s="87" t="s">
        <v>43</v>
      </c>
      <c r="D11" s="95">
        <v>30</v>
      </c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</row>
    <row r="12" spans="2:37" ht="14.25" customHeight="1">
      <c r="D12" s="88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</row>
    <row r="13" spans="2:37" ht="14.25" customHeight="1">
      <c r="B13" s="89" t="s">
        <v>44</v>
      </c>
      <c r="C13" s="90"/>
      <c r="D13" s="91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</row>
    <row r="14" spans="2:37" ht="14.25" customHeight="1">
      <c r="B14" s="92"/>
      <c r="C14" s="93" t="s">
        <v>20</v>
      </c>
      <c r="D14" s="95">
        <v>180</v>
      </c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</row>
    <row r="15" spans="2:37" ht="14.25" customHeight="1">
      <c r="B15" s="92"/>
      <c r="C15" s="93" t="s">
        <v>21</v>
      </c>
      <c r="D15" s="95">
        <v>0</v>
      </c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83"/>
      <c r="AG15" s="183"/>
      <c r="AH15" s="183"/>
      <c r="AI15" s="183"/>
      <c r="AJ15" s="183"/>
      <c r="AK15" s="183"/>
    </row>
    <row r="16" spans="2:37" ht="14.25" customHeight="1">
      <c r="B16" s="94"/>
      <c r="C16" s="93" t="s">
        <v>22</v>
      </c>
      <c r="D16" s="95">
        <v>0</v>
      </c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83"/>
      <c r="AJ16" s="183"/>
      <c r="AK16" s="183"/>
    </row>
    <row r="17" spans="3:37" ht="14.25" customHeight="1"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83"/>
      <c r="AF17" s="183"/>
      <c r="AG17" s="183"/>
      <c r="AH17" s="183"/>
      <c r="AI17" s="183"/>
      <c r="AJ17" s="183"/>
      <c r="AK17" s="183"/>
    </row>
    <row r="18" spans="3:37" ht="14.25" customHeight="1"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  <c r="AI18" s="183"/>
      <c r="AJ18" s="183"/>
      <c r="AK18" s="183"/>
    </row>
    <row r="19" spans="3:37" ht="14.25" customHeight="1"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</row>
    <row r="20" spans="3:37" ht="14.25" customHeight="1"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83"/>
      <c r="AF20" s="183"/>
      <c r="AG20" s="183"/>
      <c r="AH20" s="183"/>
      <c r="AI20" s="183"/>
      <c r="AJ20" s="183"/>
      <c r="AK20" s="183"/>
    </row>
    <row r="21" spans="3:37" ht="14.25" customHeight="1"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83"/>
      <c r="AJ21" s="183"/>
      <c r="AK21" s="183"/>
    </row>
    <row r="22" spans="3:37" ht="14.25" customHeight="1"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</row>
    <row r="23" spans="3:37" ht="14.25" customHeight="1"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83"/>
      <c r="AJ23" s="183"/>
      <c r="AK23" s="183"/>
    </row>
    <row r="24" spans="3:37" ht="14.25" customHeight="1">
      <c r="C24" s="93" t="s">
        <v>61</v>
      </c>
      <c r="D24" s="95">
        <v>1</v>
      </c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</row>
    <row r="25" spans="3:37" ht="14.25" customHeight="1"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</row>
    <row r="26" spans="3:37" ht="14.25" customHeight="1"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</row>
    <row r="27" spans="3:37" ht="14.25" customHeight="1"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83"/>
      <c r="AJ27" s="183"/>
      <c r="AK27" s="183"/>
    </row>
    <row r="28" spans="3:37" ht="14.25" customHeight="1"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3"/>
    </row>
    <row r="29" spans="3:37" ht="14.25" customHeight="1"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  <c r="AI29" s="183"/>
      <c r="AJ29" s="183"/>
      <c r="AK29" s="183"/>
    </row>
    <row r="30" spans="3:37" ht="14.25" customHeight="1"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  <c r="AI30" s="183"/>
      <c r="AJ30" s="183"/>
      <c r="AK30" s="183"/>
    </row>
    <row r="31" spans="3:37" ht="14.25" customHeight="1"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83"/>
      <c r="AF31" s="183"/>
      <c r="AG31" s="183"/>
      <c r="AH31" s="183"/>
      <c r="AI31" s="183"/>
      <c r="AJ31" s="183"/>
      <c r="AK31" s="183"/>
    </row>
    <row r="32" spans="3:37" ht="14.25" customHeight="1"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83"/>
      <c r="AF32" s="183"/>
      <c r="AG32" s="183"/>
      <c r="AH32" s="183"/>
      <c r="AI32" s="183"/>
      <c r="AJ32" s="183"/>
      <c r="AK32" s="183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P4"/>
  <sheetViews>
    <sheetView zoomScale="85" zoomScaleNormal="85" workbookViewId="0">
      <selection activeCell="A5" sqref="A5:XFD23"/>
    </sheetView>
  </sheetViews>
  <sheetFormatPr defaultRowHeight="16.5" customHeight="1"/>
  <cols>
    <col min="1" max="1" width="9" style="134"/>
    <col min="2" max="16384" width="9" style="108"/>
  </cols>
  <sheetData>
    <row r="1" spans="1:16" s="101" customFormat="1" ht="16.5" customHeight="1">
      <c r="A1" s="132"/>
    </row>
    <row r="2" spans="1:16" s="101" customFormat="1" ht="16.5" customHeight="1">
      <c r="A2" s="119" t="s">
        <v>150</v>
      </c>
    </row>
    <row r="3" spans="1:16" s="102" customFormat="1" ht="16.5" customHeight="1">
      <c r="A3" s="133"/>
    </row>
    <row r="4" spans="1:16" s="103" customFormat="1" ht="16.5" customHeight="1">
      <c r="A4" s="109" t="s">
        <v>153</v>
      </c>
      <c r="B4" s="112" t="s">
        <v>154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11"/>
      <c r="O4" s="111"/>
      <c r="P4" s="111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C5"/>
  <sheetViews>
    <sheetView zoomScale="85" zoomScaleNormal="85" workbookViewId="0">
      <selection activeCell="C11" sqref="C11"/>
    </sheetView>
  </sheetViews>
  <sheetFormatPr defaultRowHeight="15.75" customHeight="1"/>
  <cols>
    <col min="1" max="1" width="9" style="114"/>
    <col min="2" max="16384" width="9" style="116"/>
  </cols>
  <sheetData>
    <row r="1" spans="1:3" s="115" customFormat="1" ht="15.75" customHeight="1">
      <c r="A1" s="113"/>
    </row>
    <row r="2" spans="1:3" s="115" customFormat="1" ht="15.75" customHeight="1">
      <c r="A2" s="119" t="s">
        <v>151</v>
      </c>
    </row>
    <row r="3" spans="1:3" s="115" customFormat="1" ht="15.75" customHeight="1">
      <c r="A3" s="113"/>
    </row>
    <row r="4" spans="1:3" s="118" customFormat="1" ht="15.75" customHeight="1">
      <c r="A4" s="184" t="s">
        <v>156</v>
      </c>
      <c r="B4" s="117" t="s">
        <v>189</v>
      </c>
    </row>
    <row r="5" spans="1:3" s="114" customFormat="1" ht="15.75" customHeight="1">
      <c r="A5" s="184"/>
      <c r="B5" s="114">
        <v>1</v>
      </c>
      <c r="C5" s="114">
        <v>2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A5" sqref="A5:XFD19"/>
    </sheetView>
  </sheetViews>
  <sheetFormatPr defaultRowHeight="16.5" customHeight="1"/>
  <cols>
    <col min="1" max="1" width="9" style="134"/>
    <col min="2" max="16384" width="9" style="108"/>
  </cols>
  <sheetData>
    <row r="1" spans="1:17" s="101" customFormat="1" ht="16.5" customHeight="1">
      <c r="A1" s="132"/>
    </row>
    <row r="2" spans="1:17" s="101" customFormat="1" ht="16.5" customHeight="1">
      <c r="A2" s="119" t="s">
        <v>152</v>
      </c>
    </row>
    <row r="3" spans="1:17" s="102" customFormat="1" ht="16.5" customHeight="1">
      <c r="A3" s="133"/>
    </row>
    <row r="4" spans="1:17" s="103" customFormat="1" ht="16.5" customHeight="1">
      <c r="A4" s="109" t="s">
        <v>155</v>
      </c>
      <c r="B4" s="112" t="s">
        <v>154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11"/>
      <c r="O4" s="111"/>
      <c r="P4" s="111"/>
    </row>
    <row r="5" spans="1:17" s="107" customFormat="1" ht="16.5" customHeight="1">
      <c r="A5" s="105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10"/>
      <c r="O5" s="110"/>
      <c r="P5" s="110"/>
      <c r="Q5" s="106"/>
    </row>
    <row r="6" spans="1:17" s="107" customFormat="1" ht="16.5" customHeight="1">
      <c r="A6" s="105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10"/>
      <c r="O6" s="110"/>
      <c r="P6" s="110"/>
      <c r="Q6" s="106"/>
    </row>
    <row r="7" spans="1:17" s="107" customFormat="1" ht="16.5" customHeight="1">
      <c r="A7" s="105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10"/>
      <c r="O7" s="110"/>
      <c r="P7" s="110"/>
      <c r="Q7" s="10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T44"/>
  <sheetViews>
    <sheetView tabSelected="1" zoomScale="85" zoomScaleNormal="85" workbookViewId="0">
      <selection activeCell="K18" sqref="K18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15">
      <c r="B6" s="26" t="s">
        <v>122</v>
      </c>
      <c r="C6" s="26" t="s">
        <v>123</v>
      </c>
      <c r="D6" s="26" t="s">
        <v>124</v>
      </c>
      <c r="E6" s="26" t="s">
        <v>125</v>
      </c>
      <c r="L6" s="26" t="s">
        <v>122</v>
      </c>
      <c r="M6" s="26" t="s">
        <v>123</v>
      </c>
      <c r="N6" s="26" t="s">
        <v>124</v>
      </c>
      <c r="O6" s="26" t="s">
        <v>125</v>
      </c>
    </row>
    <row r="7" spans="2:15">
      <c r="B7" s="26">
        <v>1</v>
      </c>
      <c r="C7" s="26">
        <v>1</v>
      </c>
      <c r="D7" s="26" t="s">
        <v>158</v>
      </c>
      <c r="E7" s="26" t="s">
        <v>190</v>
      </c>
      <c r="L7" s="26">
        <v>1</v>
      </c>
      <c r="M7" s="26">
        <v>2</v>
      </c>
      <c r="N7" s="26" t="s">
        <v>159</v>
      </c>
      <c r="O7" s="26" t="s">
        <v>192</v>
      </c>
    </row>
    <row r="9" spans="2:15">
      <c r="B9" s="26" t="s">
        <v>126</v>
      </c>
      <c r="C9" s="26">
        <v>4</v>
      </c>
      <c r="L9" s="26" t="s">
        <v>126</v>
      </c>
      <c r="M9" s="26">
        <v>4</v>
      </c>
    </row>
    <row r="11" spans="2:15">
      <c r="B11" s="26" t="s">
        <v>127</v>
      </c>
      <c r="L11" s="26" t="s">
        <v>127</v>
      </c>
    </row>
    <row r="12" spans="2:15">
      <c r="C12" s="26" t="s">
        <v>128</v>
      </c>
      <c r="D12" s="26" t="s">
        <v>129</v>
      </c>
      <c r="E12" s="26" t="s">
        <v>130</v>
      </c>
      <c r="M12" s="26" t="s">
        <v>128</v>
      </c>
      <c r="N12" s="26" t="s">
        <v>129</v>
      </c>
      <c r="O12" s="26" t="s">
        <v>130</v>
      </c>
    </row>
    <row r="13" spans="2:15">
      <c r="B13" s="26">
        <v>1</v>
      </c>
      <c r="C13" s="26">
        <v>0</v>
      </c>
      <c r="D13" s="26">
        <v>-7.35</v>
      </c>
      <c r="E13" s="26">
        <v>0</v>
      </c>
      <c r="L13" s="26">
        <v>1</v>
      </c>
      <c r="M13" s="26">
        <v>0</v>
      </c>
      <c r="N13" s="26">
        <v>-7.35</v>
      </c>
      <c r="O13" s="26">
        <v>0</v>
      </c>
    </row>
    <row r="14" spans="2:15">
      <c r="B14" s="26">
        <v>2</v>
      </c>
      <c r="C14" s="26">
        <v>0.125</v>
      </c>
      <c r="D14" s="26">
        <v>-7.35</v>
      </c>
      <c r="E14" s="26">
        <v>0</v>
      </c>
      <c r="L14" s="26">
        <v>2</v>
      </c>
      <c r="M14" s="26">
        <v>0.125</v>
      </c>
      <c r="N14" s="26">
        <v>-7.35</v>
      </c>
      <c r="O14" s="26">
        <v>0</v>
      </c>
    </row>
    <row r="15" spans="2:15">
      <c r="B15" s="26">
        <v>3</v>
      </c>
      <c r="C15" s="26">
        <v>9.44</v>
      </c>
      <c r="D15" s="26">
        <v>-7.35</v>
      </c>
      <c r="E15" s="26">
        <v>0</v>
      </c>
      <c r="L15" s="26">
        <v>3</v>
      </c>
      <c r="M15" s="26">
        <v>9.44</v>
      </c>
      <c r="N15" s="26">
        <v>-7.35</v>
      </c>
      <c r="O15" s="26">
        <v>0</v>
      </c>
    </row>
    <row r="16" spans="2:15">
      <c r="B16" s="26">
        <v>4</v>
      </c>
      <c r="C16" s="26">
        <v>9.5649999999999995</v>
      </c>
      <c r="D16" s="26">
        <v>-7.35</v>
      </c>
      <c r="E16" s="26">
        <v>0</v>
      </c>
      <c r="L16" s="26">
        <v>4</v>
      </c>
      <c r="M16" s="26">
        <v>9.5649999999999995</v>
      </c>
      <c r="N16" s="26">
        <v>-7.35</v>
      </c>
      <c r="O16" s="26">
        <v>0</v>
      </c>
    </row>
    <row r="19" spans="2:18">
      <c r="B19" s="26" t="s">
        <v>131</v>
      </c>
      <c r="L19" s="26" t="s">
        <v>131</v>
      </c>
    </row>
    <row r="20" spans="2:18">
      <c r="C20" s="26" t="s">
        <v>128</v>
      </c>
      <c r="D20" s="26" t="s">
        <v>129</v>
      </c>
      <c r="E20" s="26" t="s">
        <v>130</v>
      </c>
      <c r="F20" s="26" t="s">
        <v>132</v>
      </c>
      <c r="G20" s="26" t="s">
        <v>133</v>
      </c>
      <c r="H20" s="26" t="s">
        <v>134</v>
      </c>
      <c r="M20" s="26" t="s">
        <v>128</v>
      </c>
      <c r="N20" s="26" t="s">
        <v>129</v>
      </c>
      <c r="O20" s="26" t="s">
        <v>130</v>
      </c>
      <c r="P20" s="26" t="s">
        <v>132</v>
      </c>
      <c r="Q20" s="26" t="s">
        <v>133</v>
      </c>
      <c r="R20" s="26" t="s">
        <v>134</v>
      </c>
    </row>
    <row r="21" spans="2:18">
      <c r="B21" s="26">
        <v>1</v>
      </c>
      <c r="C21" s="26">
        <v>0</v>
      </c>
      <c r="D21" s="26">
        <v>0</v>
      </c>
      <c r="E21" s="26">
        <v>0</v>
      </c>
      <c r="F21" s="26">
        <v>0</v>
      </c>
      <c r="G21" s="26">
        <v>0</v>
      </c>
      <c r="H21" s="26">
        <v>9.6806950750760734E-5</v>
      </c>
      <c r="L21" s="26">
        <v>1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9.6806950750760734E-5</v>
      </c>
    </row>
    <row r="22" spans="2:18">
      <c r="B22" s="26">
        <v>2</v>
      </c>
      <c r="C22" s="26">
        <v>0</v>
      </c>
      <c r="D22" s="26">
        <v>1.210086793435039E-5</v>
      </c>
      <c r="E22" s="26">
        <v>0</v>
      </c>
      <c r="F22" s="26">
        <v>0</v>
      </c>
      <c r="G22" s="26">
        <v>0</v>
      </c>
      <c r="H22" s="26">
        <v>9.6806936198845506E-5</v>
      </c>
      <c r="L22" s="26">
        <v>2</v>
      </c>
      <c r="M22" s="26">
        <v>0</v>
      </c>
      <c r="N22" s="26">
        <v>1.210086793435039E-5</v>
      </c>
      <c r="O22" s="26">
        <v>0</v>
      </c>
      <c r="P22" s="26">
        <v>0</v>
      </c>
      <c r="Q22" s="26">
        <v>0</v>
      </c>
      <c r="R22" s="26">
        <v>9.6806936198845506E-5</v>
      </c>
    </row>
    <row r="23" spans="2:18">
      <c r="B23" s="26">
        <v>3</v>
      </c>
      <c r="C23" s="26">
        <v>0</v>
      </c>
      <c r="D23" s="26">
        <v>1.210086793435039E-5</v>
      </c>
      <c r="E23" s="26">
        <v>0</v>
      </c>
      <c r="F23" s="26">
        <v>0</v>
      </c>
      <c r="G23" s="26">
        <v>0</v>
      </c>
      <c r="H23" s="26">
        <v>-9.6806936198845506E-5</v>
      </c>
      <c r="L23" s="26">
        <v>3</v>
      </c>
      <c r="M23" s="26">
        <v>0</v>
      </c>
      <c r="N23" s="26">
        <v>1.210086793435039E-5</v>
      </c>
      <c r="O23" s="26">
        <v>0</v>
      </c>
      <c r="P23" s="26">
        <v>0</v>
      </c>
      <c r="Q23" s="26">
        <v>0</v>
      </c>
      <c r="R23" s="26">
        <v>-9.6806936198845506E-5</v>
      </c>
    </row>
    <row r="24" spans="2:18">
      <c r="B24" s="26">
        <v>4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-9.6806950750760734E-5</v>
      </c>
      <c r="L24" s="26">
        <v>4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-9.6806950750760734E-5</v>
      </c>
    </row>
    <row r="27" spans="2:18">
      <c r="B27" s="26" t="s">
        <v>135</v>
      </c>
      <c r="L27" s="26" t="s">
        <v>135</v>
      </c>
    </row>
    <row r="28" spans="2:18">
      <c r="C28" s="26" t="s">
        <v>136</v>
      </c>
      <c r="D28" s="26" t="s">
        <v>137</v>
      </c>
      <c r="E28" s="26" t="s">
        <v>138</v>
      </c>
      <c r="F28" s="26" t="s">
        <v>139</v>
      </c>
      <c r="G28" s="26" t="s">
        <v>140</v>
      </c>
      <c r="H28" s="26" t="s">
        <v>141</v>
      </c>
      <c r="M28" s="26" t="s">
        <v>136</v>
      </c>
      <c r="N28" s="26" t="s">
        <v>137</v>
      </c>
      <c r="O28" s="26" t="s">
        <v>138</v>
      </c>
      <c r="P28" s="26" t="s">
        <v>139</v>
      </c>
      <c r="Q28" s="26" t="s">
        <v>140</v>
      </c>
      <c r="R28" s="26" t="s">
        <v>141</v>
      </c>
    </row>
    <row r="29" spans="2:18">
      <c r="B29" s="26">
        <v>1</v>
      </c>
      <c r="C29" s="26">
        <v>0</v>
      </c>
      <c r="D29" s="26">
        <v>61.785938262939453</v>
      </c>
      <c r="E29" s="26">
        <v>0</v>
      </c>
      <c r="F29" s="26">
        <v>0</v>
      </c>
      <c r="G29" s="26">
        <v>0</v>
      </c>
      <c r="H29" s="26">
        <v>0</v>
      </c>
      <c r="L29" s="26">
        <v>1</v>
      </c>
      <c r="M29" s="26">
        <v>0</v>
      </c>
      <c r="N29" s="26">
        <v>61.785938262939453</v>
      </c>
      <c r="O29" s="26">
        <v>0</v>
      </c>
      <c r="P29" s="26">
        <v>0</v>
      </c>
      <c r="Q29" s="26">
        <v>0</v>
      </c>
      <c r="R29" s="26">
        <v>0</v>
      </c>
    </row>
    <row r="30" spans="2:18">
      <c r="B30" s="26">
        <v>4</v>
      </c>
      <c r="C30" s="26">
        <v>0</v>
      </c>
      <c r="D30" s="26">
        <v>61.785938262939453</v>
      </c>
      <c r="E30" s="26">
        <v>0</v>
      </c>
      <c r="F30" s="26">
        <v>0</v>
      </c>
      <c r="G30" s="26">
        <v>0</v>
      </c>
      <c r="H30" s="26">
        <v>0</v>
      </c>
      <c r="L30" s="26">
        <v>4</v>
      </c>
      <c r="M30" s="26">
        <v>0</v>
      </c>
      <c r="N30" s="26">
        <v>61.785938262939453</v>
      </c>
      <c r="O30" s="26">
        <v>0</v>
      </c>
      <c r="P30" s="26">
        <v>0</v>
      </c>
      <c r="Q30" s="26">
        <v>0</v>
      </c>
      <c r="R30" s="26">
        <v>0</v>
      </c>
    </row>
    <row r="35" spans="2:20">
      <c r="B35" s="26" t="s">
        <v>142</v>
      </c>
      <c r="C35" s="26">
        <v>3</v>
      </c>
      <c r="L35" s="26" t="s">
        <v>142</v>
      </c>
      <c r="M35" s="26">
        <v>0</v>
      </c>
    </row>
    <row r="37" spans="2:20">
      <c r="B37" s="26" t="s">
        <v>143</v>
      </c>
      <c r="L37" s="26" t="s">
        <v>143</v>
      </c>
    </row>
    <row r="38" spans="2:20">
      <c r="C38" s="26" t="s">
        <v>144</v>
      </c>
      <c r="D38" s="26" t="s">
        <v>148</v>
      </c>
      <c r="E38" s="26" t="s">
        <v>145</v>
      </c>
      <c r="F38" s="26" t="s">
        <v>146</v>
      </c>
      <c r="G38" s="26" t="s">
        <v>147</v>
      </c>
      <c r="H38" s="26" t="s">
        <v>139</v>
      </c>
      <c r="I38" s="26" t="s">
        <v>140</v>
      </c>
      <c r="J38" s="26" t="s">
        <v>141</v>
      </c>
      <c r="M38" s="26" t="s">
        <v>144</v>
      </c>
      <c r="N38" s="26" t="s">
        <v>148</v>
      </c>
      <c r="O38" s="26" t="s">
        <v>145</v>
      </c>
      <c r="P38" s="26" t="s">
        <v>146</v>
      </c>
      <c r="Q38" s="26" t="s">
        <v>147</v>
      </c>
      <c r="R38" s="26" t="s">
        <v>139</v>
      </c>
      <c r="S38" s="26" t="s">
        <v>140</v>
      </c>
      <c r="T38" s="26" t="s">
        <v>141</v>
      </c>
    </row>
    <row r="39" spans="2:20">
      <c r="B39" s="99">
        <v>1</v>
      </c>
      <c r="C39" s="26">
        <v>1</v>
      </c>
      <c r="D39" s="26">
        <v>0</v>
      </c>
      <c r="E39" s="26">
        <v>0</v>
      </c>
      <c r="F39" s="26">
        <v>61.818748474121094</v>
      </c>
      <c r="G39" s="26">
        <v>0</v>
      </c>
      <c r="H39" s="26">
        <v>0</v>
      </c>
      <c r="I39" s="26">
        <v>0</v>
      </c>
      <c r="J39" s="26">
        <v>-2.1855036891338386E-8</v>
      </c>
    </row>
    <row r="40" spans="2:20">
      <c r="C40" s="26">
        <v>2</v>
      </c>
      <c r="D40" s="26">
        <v>0.125</v>
      </c>
      <c r="E40" s="26">
        <v>0</v>
      </c>
      <c r="F40" s="26">
        <v>61.764060974121094</v>
      </c>
      <c r="G40" s="26">
        <v>0</v>
      </c>
      <c r="H40" s="26">
        <v>0</v>
      </c>
      <c r="I40" s="26">
        <v>0</v>
      </c>
      <c r="J40" s="26">
        <v>7.7250652313232422</v>
      </c>
    </row>
    <row r="41" spans="2:20">
      <c r="B41" s="99">
        <v>2</v>
      </c>
      <c r="C41" s="26">
        <v>2</v>
      </c>
      <c r="D41" s="26">
        <v>0</v>
      </c>
      <c r="E41" s="26">
        <v>0</v>
      </c>
      <c r="F41" s="26">
        <v>61.764060974121094</v>
      </c>
      <c r="G41" s="26">
        <v>0</v>
      </c>
      <c r="H41" s="26">
        <v>0</v>
      </c>
      <c r="I41" s="26">
        <v>0</v>
      </c>
      <c r="J41" s="26">
        <v>7.7250652313232422</v>
      </c>
    </row>
    <row r="42" spans="2:20">
      <c r="C42" s="26">
        <v>3</v>
      </c>
      <c r="D42" s="26">
        <v>9.3149995803833008</v>
      </c>
      <c r="E42" s="26">
        <v>0</v>
      </c>
      <c r="F42" s="26">
        <v>-61.764064788818359</v>
      </c>
      <c r="G42" s="26">
        <v>0</v>
      </c>
      <c r="H42" s="26">
        <v>0</v>
      </c>
      <c r="I42" s="26">
        <v>0</v>
      </c>
      <c r="J42" s="26">
        <v>7.7250652313232422</v>
      </c>
    </row>
    <row r="43" spans="2:20">
      <c r="B43" s="99">
        <v>3</v>
      </c>
      <c r="C43" s="26">
        <v>3</v>
      </c>
      <c r="D43" s="26">
        <v>0</v>
      </c>
      <c r="E43" s="26">
        <v>0</v>
      </c>
      <c r="F43" s="26">
        <v>-61.764064788818359</v>
      </c>
      <c r="G43" s="26">
        <v>0</v>
      </c>
      <c r="H43" s="26">
        <v>0</v>
      </c>
      <c r="I43" s="26">
        <v>0</v>
      </c>
      <c r="J43" s="26">
        <v>7.7250652313232422</v>
      </c>
    </row>
    <row r="44" spans="2:20">
      <c r="C44" s="26">
        <v>4</v>
      </c>
      <c r="D44" s="26">
        <v>0.125</v>
      </c>
      <c r="E44" s="26">
        <v>0</v>
      </c>
      <c r="F44" s="26">
        <v>-61.818752288818359</v>
      </c>
      <c r="G44" s="26">
        <v>0</v>
      </c>
      <c r="H44" s="26">
        <v>0</v>
      </c>
      <c r="I44" s="26">
        <v>0</v>
      </c>
      <c r="J44" s="26">
        <v>-7.1622086039724309E-9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A2" sqref="A2:XFD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50"/>
    <col min="4" max="4" width="9.5" style="50" bestFit="1" customWidth="1"/>
    <col min="5" max="16384" width="8.875" style="50"/>
  </cols>
  <sheetData>
    <row r="2" spans="2:11" ht="16.5" customHeight="1">
      <c r="B2" s="82" t="s">
        <v>38</v>
      </c>
    </row>
    <row r="4" spans="2:11" ht="16.5" customHeight="1">
      <c r="B4" s="181" t="s">
        <v>39</v>
      </c>
      <c r="C4" s="182"/>
      <c r="D4" s="95" t="s">
        <v>80</v>
      </c>
      <c r="F4" s="185"/>
      <c r="G4" s="186"/>
      <c r="H4" s="186"/>
      <c r="I4" s="186"/>
      <c r="J4" s="186"/>
      <c r="K4" s="187"/>
    </row>
    <row r="5" spans="2:11" ht="16.5" customHeight="1">
      <c r="B5" s="83"/>
      <c r="C5" s="84" t="s">
        <v>40</v>
      </c>
      <c r="D5" s="95" t="s">
        <v>149</v>
      </c>
      <c r="F5" s="188"/>
      <c r="G5" s="183"/>
      <c r="H5" s="183"/>
      <c r="I5" s="183"/>
      <c r="J5" s="183"/>
      <c r="K5" s="189"/>
    </row>
    <row r="6" spans="2:11" ht="16.5" customHeight="1">
      <c r="B6" s="85"/>
      <c r="C6" s="86" t="s">
        <v>41</v>
      </c>
      <c r="D6" s="96">
        <v>1</v>
      </c>
      <c r="F6" s="188"/>
      <c r="G6" s="183"/>
      <c r="H6" s="183"/>
      <c r="I6" s="183"/>
      <c r="J6" s="183"/>
      <c r="K6" s="189"/>
    </row>
    <row r="7" spans="2:11" ht="16.5" customHeight="1">
      <c r="B7" s="181" t="s">
        <v>42</v>
      </c>
      <c r="C7" s="182"/>
      <c r="D7" s="95" t="s">
        <v>80</v>
      </c>
      <c r="F7" s="188"/>
      <c r="G7" s="183"/>
      <c r="H7" s="183"/>
      <c r="I7" s="183"/>
      <c r="J7" s="183"/>
      <c r="K7" s="189"/>
    </row>
    <row r="8" spans="2:11" ht="16.5" customHeight="1">
      <c r="B8" s="83"/>
      <c r="C8" s="84" t="s">
        <v>40</v>
      </c>
      <c r="D8" s="95" t="s">
        <v>81</v>
      </c>
      <c r="F8" s="188"/>
      <c r="G8" s="183"/>
      <c r="H8" s="183"/>
      <c r="I8" s="183"/>
      <c r="J8" s="183"/>
      <c r="K8" s="189"/>
    </row>
    <row r="9" spans="2:11" ht="16.5" customHeight="1">
      <c r="B9" s="85"/>
      <c r="C9" s="86" t="s">
        <v>41</v>
      </c>
      <c r="D9" s="97">
        <v>1</v>
      </c>
      <c r="F9" s="188"/>
      <c r="G9" s="183"/>
      <c r="H9" s="183"/>
      <c r="I9" s="183"/>
      <c r="J9" s="183"/>
      <c r="K9" s="189"/>
    </row>
    <row r="10" spans="2:11" ht="16.5" customHeight="1">
      <c r="B10" s="181" t="s">
        <v>87</v>
      </c>
      <c r="C10" s="182"/>
      <c r="D10" s="95" t="s">
        <v>88</v>
      </c>
      <c r="F10" s="188"/>
      <c r="G10" s="183"/>
      <c r="H10" s="183"/>
      <c r="I10" s="183"/>
      <c r="J10" s="183"/>
      <c r="K10" s="189"/>
    </row>
    <row r="11" spans="2:11" ht="16.5" customHeight="1">
      <c r="B11" s="85"/>
      <c r="C11" s="87" t="s">
        <v>43</v>
      </c>
      <c r="D11" s="98">
        <v>20</v>
      </c>
      <c r="F11" s="188"/>
      <c r="G11" s="183"/>
      <c r="H11" s="183"/>
      <c r="I11" s="183"/>
      <c r="J11" s="183"/>
      <c r="K11" s="189"/>
    </row>
    <row r="12" spans="2:11" ht="16.5" customHeight="1">
      <c r="D12" s="88"/>
      <c r="F12" s="188"/>
      <c r="G12" s="183"/>
      <c r="H12" s="183"/>
      <c r="I12" s="183"/>
      <c r="J12" s="183"/>
      <c r="K12" s="189"/>
    </row>
    <row r="13" spans="2:11" ht="16.5" customHeight="1">
      <c r="B13" s="89" t="s">
        <v>44</v>
      </c>
      <c r="C13" s="90"/>
      <c r="D13" s="91"/>
      <c r="F13" s="188"/>
      <c r="G13" s="183"/>
      <c r="H13" s="183"/>
      <c r="I13" s="183"/>
      <c r="J13" s="183"/>
      <c r="K13" s="189"/>
    </row>
    <row r="14" spans="2:11" ht="16.5" customHeight="1">
      <c r="B14" s="92"/>
      <c r="C14" s="93" t="s">
        <v>45</v>
      </c>
      <c r="D14" s="95">
        <v>180</v>
      </c>
      <c r="F14" s="188"/>
      <c r="G14" s="183"/>
      <c r="H14" s="183"/>
      <c r="I14" s="183"/>
      <c r="J14" s="183"/>
      <c r="K14" s="189"/>
    </row>
    <row r="15" spans="2:11" ht="16.5" customHeight="1">
      <c r="B15" s="92"/>
      <c r="C15" s="93" t="s">
        <v>46</v>
      </c>
      <c r="D15" s="95">
        <v>0</v>
      </c>
      <c r="F15" s="188"/>
      <c r="G15" s="183"/>
      <c r="H15" s="183"/>
      <c r="I15" s="183"/>
      <c r="J15" s="183"/>
      <c r="K15" s="189"/>
    </row>
    <row r="16" spans="2:11" ht="16.5" customHeight="1">
      <c r="B16" s="94"/>
      <c r="C16" s="93" t="s">
        <v>47</v>
      </c>
      <c r="D16" s="95">
        <v>0</v>
      </c>
      <c r="F16" s="188"/>
      <c r="G16" s="183"/>
      <c r="H16" s="183"/>
      <c r="I16" s="183"/>
      <c r="J16" s="183"/>
      <c r="K16" s="189"/>
    </row>
    <row r="17" spans="3:11" ht="16.5" customHeight="1">
      <c r="F17" s="188"/>
      <c r="G17" s="183"/>
      <c r="H17" s="183"/>
      <c r="I17" s="183"/>
      <c r="J17" s="183"/>
      <c r="K17" s="189"/>
    </row>
    <row r="18" spans="3:11" ht="16.5" customHeight="1">
      <c r="F18" s="188"/>
      <c r="G18" s="183"/>
      <c r="H18" s="183"/>
      <c r="I18" s="183"/>
      <c r="J18" s="183"/>
      <c r="K18" s="189"/>
    </row>
    <row r="19" spans="3:11" ht="16.5" customHeight="1">
      <c r="F19" s="188"/>
      <c r="G19" s="183"/>
      <c r="H19" s="183"/>
      <c r="I19" s="183"/>
      <c r="J19" s="183"/>
      <c r="K19" s="189"/>
    </row>
    <row r="20" spans="3:11" ht="16.5" customHeight="1">
      <c r="F20" s="188"/>
      <c r="G20" s="183"/>
      <c r="H20" s="183"/>
      <c r="I20" s="183"/>
      <c r="J20" s="183"/>
      <c r="K20" s="189"/>
    </row>
    <row r="21" spans="3:11" ht="16.5" customHeight="1">
      <c r="F21" s="188"/>
      <c r="G21" s="183"/>
      <c r="H21" s="183"/>
      <c r="I21" s="183"/>
      <c r="J21" s="183"/>
      <c r="K21" s="189"/>
    </row>
    <row r="22" spans="3:11" ht="16.5" customHeight="1">
      <c r="F22" s="188"/>
      <c r="G22" s="183"/>
      <c r="H22" s="183"/>
      <c r="I22" s="183"/>
      <c r="J22" s="183"/>
      <c r="K22" s="189"/>
    </row>
    <row r="23" spans="3:11" ht="16.5" customHeight="1">
      <c r="F23" s="188"/>
      <c r="G23" s="183"/>
      <c r="H23" s="183"/>
      <c r="I23" s="183"/>
      <c r="J23" s="183"/>
      <c r="K23" s="189"/>
    </row>
    <row r="24" spans="3:11" ht="16.5" customHeight="1">
      <c r="F24" s="188"/>
      <c r="G24" s="183"/>
      <c r="H24" s="183"/>
      <c r="I24" s="183"/>
      <c r="J24" s="183"/>
      <c r="K24" s="189"/>
    </row>
    <row r="25" spans="3:11" ht="16.5" customHeight="1">
      <c r="C25" s="93" t="s">
        <v>61</v>
      </c>
      <c r="D25" s="95">
        <v>1</v>
      </c>
      <c r="F25" s="188"/>
      <c r="G25" s="183"/>
      <c r="H25" s="183"/>
      <c r="I25" s="183"/>
      <c r="J25" s="183"/>
      <c r="K25" s="189"/>
    </row>
    <row r="26" spans="3:11" ht="16.5" customHeight="1">
      <c r="F26" s="188"/>
      <c r="G26" s="183"/>
      <c r="H26" s="183"/>
      <c r="I26" s="183"/>
      <c r="J26" s="183"/>
      <c r="K26" s="189"/>
    </row>
    <row r="27" spans="3:11" ht="16.5" customHeight="1">
      <c r="F27" s="190"/>
      <c r="G27" s="191"/>
      <c r="H27" s="191"/>
      <c r="I27" s="191"/>
      <c r="J27" s="191"/>
      <c r="K27" s="192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206</vt:i4>
      </vt:variant>
    </vt:vector>
  </HeadingPairs>
  <TitlesOfParts>
    <vt:vector size="223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計算・出力!header_回転Y1</vt:lpstr>
      <vt:lpstr>計算・出力!header_回転Y2</vt:lpstr>
      <vt:lpstr>計算・出力!header_回転Z1</vt:lpstr>
      <vt:lpstr>計算・出力!header_回転Z2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計算・出力!header_節点Y1</vt:lpstr>
      <vt:lpstr>計算・出力!header_節点Y2</vt:lpstr>
      <vt:lpstr>計算・出力!header_節点Z1</vt:lpstr>
      <vt:lpstr>計算・出力!header_節点Z2</vt:lpstr>
      <vt:lpstr>計算・出力!header_断面力FX1</vt:lpstr>
      <vt:lpstr>計算・出力!header_断面力FX2</vt:lpstr>
      <vt:lpstr>計算・出力!header_断面力FY1</vt:lpstr>
      <vt:lpstr>計算・出力!header_断面力FY2</vt:lpstr>
      <vt:lpstr>計算・出力!header_断面力FZ1</vt:lpstr>
      <vt:lpstr>計算・出力!header_断面力FZ2</vt:lpstr>
      <vt:lpstr>計算・出力!header_断面力MX1</vt:lpstr>
      <vt:lpstr>計算・出力!header_断面力MX2</vt:lpstr>
      <vt:lpstr>計算・出力!header_断面力MY1</vt:lpstr>
      <vt:lpstr>計算・出力!header_断面力MY2</vt:lpstr>
      <vt:lpstr>計算・出力!header_断面力MZ1</vt:lpstr>
      <vt:lpstr>計算・出力!header_断面力MZ2</vt:lpstr>
      <vt:lpstr>計算・出力!header_断面力節点1</vt:lpstr>
      <vt:lpstr>計算・出力!header_断面力節点2</vt:lpstr>
      <vt:lpstr>計算・出力!header_着目点1</vt:lpstr>
      <vt:lpstr>計算・出力!header_着目点2</vt:lpstr>
      <vt:lpstr>計算・出力!header_反力MX1</vt:lpstr>
      <vt:lpstr>計算・出力!header_反力MX2</vt:lpstr>
      <vt:lpstr>計算・出力!header_反力MY1</vt:lpstr>
      <vt:lpstr>計算・出力!header_反力MY2</vt:lpstr>
      <vt:lpstr>計算・出力!header_反力MZ1</vt:lpstr>
      <vt:lpstr>計算・出力!header_反力MZ2</vt:lpstr>
      <vt:lpstr>計算・出力!header_反力RX1</vt:lpstr>
      <vt:lpstr>計算・出力!header_反力RX2</vt:lpstr>
      <vt:lpstr>計算・出力!header_反力RY1</vt:lpstr>
      <vt:lpstr>計算・出力!header_反力RY2</vt:lpstr>
      <vt:lpstr>計算・出力!header_反力RZ1</vt:lpstr>
      <vt:lpstr>計算・出力!header_反力RZ2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計算・出力!header_変位Y1</vt:lpstr>
      <vt:lpstr>計算・出力!header_変位Y2</vt:lpstr>
      <vt:lpstr>計算・出力!header_変位Z1</vt:lpstr>
      <vt:lpstr>計算・出力!header_変位Z2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荷重名称!割増係数_header</vt:lpstr>
      <vt:lpstr>計算・出力!割増係数1</vt:lpstr>
      <vt:lpstr>計算・出力!割増係数2</vt:lpstr>
      <vt:lpstr>荷重名称!記号_header</vt:lpstr>
      <vt:lpstr>計算・出力!記号1</vt:lpstr>
      <vt:lpstr>計算・出力!記号2</vt:lpstr>
      <vt:lpstr>荷重名称!結合_header</vt:lpstr>
      <vt:lpstr>荷重名称!支点_header</vt:lpstr>
      <vt:lpstr>計算・出力!節点数1</vt:lpstr>
      <vt:lpstr>計算・出力!節点数2</vt:lpstr>
      <vt:lpstr>荷重名称!断面_header</vt:lpstr>
      <vt:lpstr>荷重名称!名称_header</vt:lpstr>
      <vt:lpstr>計算・出力!名称1</vt:lpstr>
      <vt:lpstr>計算・出力!名称2</vt:lpstr>
      <vt:lpstr>計算・出力!要素数1</vt:lpstr>
      <vt:lpstr>計算・出力!要素数2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2017-08-10T08:53:44Z</dcterms:modified>
</cp:coreProperties>
</file>