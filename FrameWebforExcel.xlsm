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2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計算・出力!$F$53</definedName>
    <definedName name="header_回転Y1" localSheetId="14">計算・出力!$G$53</definedName>
    <definedName name="header_回転Z1" localSheetId="14">計算・出力!$H$53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Y1" localSheetId="14">計算・出力!$D$12</definedName>
    <definedName name="header_節点Z1" localSheetId="14">計算・出力!$E$12</definedName>
    <definedName name="header_断面力FX1" localSheetId="14">計算・出力!$E$137</definedName>
    <definedName name="header_断面力FY1" localSheetId="14">計算・出力!$F$137</definedName>
    <definedName name="header_断面力FZ1" localSheetId="14">計算・出力!$G$137</definedName>
    <definedName name="header_断面力MX1" localSheetId="14">計算・出力!$H$137</definedName>
    <definedName name="header_断面力MY1" localSheetId="14">計算・出力!$I$137</definedName>
    <definedName name="header_断面力MZ1" localSheetId="14">計算・出力!$J$137</definedName>
    <definedName name="header_断面力節点1" localSheetId="14">計算・出力!$C$137</definedName>
    <definedName name="header_着目点1" localSheetId="14">計算・出力!$D$137</definedName>
    <definedName name="header_反力MX1" localSheetId="14">計算・出力!$F$94</definedName>
    <definedName name="header_反力MY1" localSheetId="14">計算・出力!$G$94</definedName>
    <definedName name="header_反力MZ1" localSheetId="14">計算・出力!$H$94</definedName>
    <definedName name="header_反力RX1" localSheetId="14">計算・出力!$C$94</definedName>
    <definedName name="header_反力RY1" localSheetId="14">計算・出力!$D$94</definedName>
    <definedName name="header_反力RZ1" localSheetId="14">計算・出力!$E$94</definedName>
    <definedName name="header_部材1" localSheetId="9">荷重強度!$B$5:$B$6</definedName>
    <definedName name="header_部材2" localSheetId="9">荷重強度!$C$5:$C$6</definedName>
    <definedName name="header_変位X1" localSheetId="14">計算・出力!$C$53</definedName>
    <definedName name="header_変位Y1" localSheetId="14">計算・出力!$D$53</definedName>
    <definedName name="header_変位Z1" localSheetId="14">計算・出力!$E$53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荷重強度!$A$1:$O$163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割増係数_header" localSheetId="8">荷重名称!$A$4:$A$5</definedName>
    <definedName name="割増係数1" localSheetId="14">計算・出力!$B$7</definedName>
    <definedName name="記号_header" localSheetId="8">荷重名称!$C$4:$C$5</definedName>
    <definedName name="記号1" localSheetId="14">計算・出力!$D$7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要素数1" localSheetId="14">計算・出力!$C$134</definedName>
  </definedNames>
  <calcPr calcId="152511"/>
</workbook>
</file>

<file path=xl/calcChain.xml><?xml version="1.0" encoding="utf-8"?>
<calcChain xmlns="http://schemas.openxmlformats.org/spreadsheetml/2006/main">
  <c r="E8" i="14" l="1"/>
  <c r="D10" i="19"/>
  <c r="D11" i="19" s="1"/>
  <c r="D12" i="19" s="1"/>
  <c r="D13" i="19" s="1"/>
  <c r="D14" i="19" s="1"/>
  <c r="G9" i="19"/>
  <c r="G10" i="19" s="1"/>
  <c r="G11" i="19" s="1"/>
  <c r="G12" i="19" s="1"/>
  <c r="G13" i="19" s="1"/>
  <c r="G14" i="19" s="1"/>
  <c r="F9" i="19"/>
  <c r="F10" i="19" s="1"/>
  <c r="F11" i="19" s="1"/>
  <c r="F12" i="19" s="1"/>
  <c r="F13" i="19" s="1"/>
  <c r="F14" i="19" s="1"/>
  <c r="E9" i="19"/>
  <c r="E10" i="19" s="1"/>
  <c r="E11" i="19" s="1"/>
  <c r="E12" i="19" s="1"/>
  <c r="E13" i="19" s="1"/>
  <c r="E14" i="19" s="1"/>
  <c r="D9" i="19"/>
  <c r="C9" i="19"/>
  <c r="C10" i="19" s="1"/>
  <c r="C11" i="19" s="1"/>
  <c r="C12" i="19" s="1"/>
  <c r="C13" i="19" s="1"/>
  <c r="C14" i="19" s="1"/>
  <c r="B9" i="19"/>
  <c r="B10" i="19" s="1"/>
  <c r="B11" i="19" s="1"/>
  <c r="B12" i="19" s="1"/>
  <c r="B13" i="19" s="1"/>
  <c r="B14" i="19" s="1"/>
</calcChain>
</file>

<file path=xl/sharedStrings.xml><?xml version="1.0" encoding="utf-8"?>
<sst xmlns="http://schemas.openxmlformats.org/spreadsheetml/2006/main" count="287" uniqueCount="183">
  <si>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</si>
  <si>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</si>
  <si>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</si>
  <si>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</si>
  <si>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</si>
  <si>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</si>
  <si>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</si>
  <si>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</si>
  <si>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</si>
  <si>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</si>
  <si>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</si>
  <si>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</si>
  <si>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</si>
  <si>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</si>
  <si>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</si>
  <si>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</si>
  <si>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</si>
  <si>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</si>
  <si>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</si>
  <si>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</si>
  <si>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</si>
  <si>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</si>
  <si>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</si>
  <si>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</si>
  <si>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</si>
  <si>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</si>
  <si>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</si>
  <si>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</si>
  <si>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</si>
  <si>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</si>
  <si>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</si>
  <si>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</si>
  <si>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</si>
  <si>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</si>
  <si>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</si>
  <si>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</si>
  <si>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</si>
  <si>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</si>
  <si>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</si>
  <si>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</si>
  <si>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</si>
  <si>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</si>
  <si>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</si>
  <si>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</si>
  <si>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</si>
  <si>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</si>
  <si>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</si>
  <si>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</si>
  <si>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</si>
  <si>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</si>
  <si>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</si>
  <si>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</si>
  <si>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</si>
  <si>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</si>
  <si>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</si>
  <si>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</si>
  <si>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</si>
  <si>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</si>
  <si>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</si>
  <si>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</si>
  <si>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</si>
  <si>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</si>
  <si>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</si>
  <si>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</si>
  <si>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</si>
  <si>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</si>
  <si>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</si>
  <si>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</si>
  <si>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</si>
  <si>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</si>
  <si>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</si>
  <si>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</si>
  <si>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</si>
  <si>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</si>
  <si>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</si>
  <si>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</si>
  <si>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</si>
  <si>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</si>
  <si>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</si>
  <si>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</si>
  <si>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</si>
  <si>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</si>
  <si>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</si>
  <si>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</si>
  <si>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</si>
  <si>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</si>
  <si>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</si>
  <si>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</si>
  <si>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</si>
  <si>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</si>
  <si>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</si>
  <si>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</si>
  <si>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</si>
  <si>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</si>
  <si>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</si>
  <si>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</si>
  <si>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</si>
  <si>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</si>
  <si>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</si>
  <si>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</si>
  <si>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</si>
  <si>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</si>
  <si>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</si>
  <si>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</si>
  <si>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</si>
  <si>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</si>
  <si>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</si>
  <si>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</si>
  <si>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</si>
  <si>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</si>
  <si>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</si>
  <si>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</si>
  <si>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</si>
  <si>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</si>
  <si>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</si>
  <si>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</si>
  <si>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</si>
  <si>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</si>
  <si>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</si>
  <si>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</si>
  <si>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</si>
  <si>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</si>
  <si>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</si>
  <si>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</si>
  <si>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</si>
  <si>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</si>
  <si>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</si>
  <si>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</si>
  <si>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</si>
  <si>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</si>
  <si>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</si>
  <si>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</si>
  <si>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</si>
  <si>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</si>
  <si>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</si>
  <si>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</si>
  <si>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</si>
  <si>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</si>
  <si>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</si>
  <si>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</si>
  <si>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</si>
  <si>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</si>
  <si>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</si>
  <si>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</si>
  <si>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</si>
  <si>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</si>
  <si>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</si>
  <si>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</si>
  <si>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</si>
  <si>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</si>
  <si>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</si>
  <si>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</si>
  <si>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</si>
  <si>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</si>
  <si>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</si>
  <si>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</si>
  <si>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</si>
  <si>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</si>
  <si>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</si>
  <si>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</si>
  <si>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</si>
  <si>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</si>
  <si>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</si>
  <si>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</si>
  <si>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</si>
  <si>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</si>
  <si>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</si>
  <si>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</si>
  <si>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</si>
  <si>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</si>
  <si>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</si>
  <si>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</si>
  <si>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</si>
  <si>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</si>
  <si>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</si>
  <si>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http://structuralengine.com</t>
    <phoneticPr fontId="2"/>
  </si>
  <si>
    <t>乾燥収縮</t>
    <rPh sb="0" eb="2">
      <t>カンソウ</t>
    </rPh>
    <rPh sb="2" eb="4">
      <t>シュウシュク</t>
    </rPh>
    <phoneticPr fontId="2"/>
  </si>
  <si>
    <t>x</t>
    <phoneticPr fontId="2"/>
  </si>
  <si>
    <t>SH</t>
  </si>
  <si>
    <t>乾燥収縮</t>
  </si>
  <si>
    <t>test1105</t>
    <phoneticPr fontId="2"/>
  </si>
  <si>
    <t>SH</t>
    <phoneticPr fontId="2"/>
  </si>
  <si>
    <t>基本荷重ケース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</si>
</sst>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9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183" fontId="43" fillId="0" borderId="14" xfId="374" applyNumberFormat="1" applyFont="1" applyFill="1" applyBorder="1" applyProtection="1">
      <alignment vertical="center"/>
      <protection locked="0"/>
    </xf>
    <xf numFmtId="183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0" xfId="374" applyFont="1" applyProtection="1">
      <alignment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184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0" xfId="374" applyFont="1" applyFill="1" applyProtection="1">
      <alignment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16</xdr:row>
      <xdr:rowOff>171101</xdr:rowOff>
    </xdr:from>
    <xdr:to>
      <xdr:col>8</xdr:col>
      <xdr:colOff>152400</xdr:colOff>
      <xdr:row>17</xdr:row>
      <xdr:rowOff>40926</xdr:rowOff>
    </xdr:to>
    <xdr:sp macro="" textlink="">
      <xdr:nvSpPr>
        <xdr:cNvPr id="2" name="円/楕円 1"/>
        <xdr:cNvSpPr/>
      </xdr:nvSpPr>
      <xdr:spPr bwMode="auto">
        <a:xfrm>
          <a:off x="3644900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107118</xdr:colOff>
      <xdr:row>16</xdr:row>
      <xdr:rowOff>171101</xdr:rowOff>
    </xdr:from>
    <xdr:to>
      <xdr:col>9</xdr:col>
      <xdr:colOff>157918</xdr:colOff>
      <xdr:row>17</xdr:row>
      <xdr:rowOff>40926</xdr:rowOff>
    </xdr:to>
    <xdr:sp macro="" textlink="">
      <xdr:nvSpPr>
        <xdr:cNvPr id="3" name="円/楕円 2"/>
        <xdr:cNvSpPr/>
      </xdr:nvSpPr>
      <xdr:spPr bwMode="auto">
        <a:xfrm>
          <a:off x="386949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16</xdr:row>
      <xdr:rowOff>171101</xdr:rowOff>
    </xdr:from>
    <xdr:to>
      <xdr:col>9</xdr:col>
      <xdr:colOff>197384</xdr:colOff>
      <xdr:row>17</xdr:row>
      <xdr:rowOff>40926</xdr:rowOff>
    </xdr:to>
    <xdr:sp macro="" textlink="">
      <xdr:nvSpPr>
        <xdr:cNvPr id="4" name="円/楕円 3"/>
        <xdr:cNvSpPr/>
      </xdr:nvSpPr>
      <xdr:spPr bwMode="auto">
        <a:xfrm>
          <a:off x="3908959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186049</xdr:colOff>
      <xdr:row>16</xdr:row>
      <xdr:rowOff>171101</xdr:rowOff>
    </xdr:from>
    <xdr:to>
      <xdr:col>10</xdr:col>
      <xdr:colOff>17774</xdr:colOff>
      <xdr:row>17</xdr:row>
      <xdr:rowOff>40926</xdr:rowOff>
    </xdr:to>
    <xdr:sp macro="" textlink="">
      <xdr:nvSpPr>
        <xdr:cNvPr id="5" name="円/楕円 4"/>
        <xdr:cNvSpPr/>
      </xdr:nvSpPr>
      <xdr:spPr bwMode="auto">
        <a:xfrm>
          <a:off x="3948424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159328</xdr:colOff>
      <xdr:row>16</xdr:row>
      <xdr:rowOff>171101</xdr:rowOff>
    </xdr:from>
    <xdr:to>
      <xdr:col>13</xdr:col>
      <xdr:colOff>210128</xdr:colOff>
      <xdr:row>17</xdr:row>
      <xdr:rowOff>40926</xdr:rowOff>
    </xdr:to>
    <xdr:sp macro="" textlink="">
      <xdr:nvSpPr>
        <xdr:cNvPr id="6" name="円/楕円 5"/>
        <xdr:cNvSpPr/>
      </xdr:nvSpPr>
      <xdr:spPr bwMode="auto">
        <a:xfrm>
          <a:off x="479800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16</xdr:row>
      <xdr:rowOff>171101</xdr:rowOff>
    </xdr:from>
    <xdr:to>
      <xdr:col>14</xdr:col>
      <xdr:colOff>30518</xdr:colOff>
      <xdr:row>17</xdr:row>
      <xdr:rowOff>40926</xdr:rowOff>
    </xdr:to>
    <xdr:sp macro="" textlink="">
      <xdr:nvSpPr>
        <xdr:cNvPr id="7" name="円/楕円 6"/>
        <xdr:cNvSpPr/>
      </xdr:nvSpPr>
      <xdr:spPr bwMode="auto">
        <a:xfrm>
          <a:off x="483746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19183</xdr:colOff>
      <xdr:row>16</xdr:row>
      <xdr:rowOff>171101</xdr:rowOff>
    </xdr:from>
    <xdr:to>
      <xdr:col>14</xdr:col>
      <xdr:colOff>69983</xdr:colOff>
      <xdr:row>17</xdr:row>
      <xdr:rowOff>40926</xdr:rowOff>
    </xdr:to>
    <xdr:sp macro="" textlink="">
      <xdr:nvSpPr>
        <xdr:cNvPr id="8" name="円/楕円 7"/>
        <xdr:cNvSpPr/>
      </xdr:nvSpPr>
      <xdr:spPr bwMode="auto">
        <a:xfrm>
          <a:off x="487693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211538</xdr:colOff>
      <xdr:row>16</xdr:row>
      <xdr:rowOff>171101</xdr:rowOff>
    </xdr:from>
    <xdr:to>
      <xdr:col>18</xdr:col>
      <xdr:colOff>43263</xdr:colOff>
      <xdr:row>17</xdr:row>
      <xdr:rowOff>40926</xdr:rowOff>
    </xdr:to>
    <xdr:sp macro="" textlink="">
      <xdr:nvSpPr>
        <xdr:cNvPr id="9" name="円/楕円 8"/>
        <xdr:cNvSpPr/>
      </xdr:nvSpPr>
      <xdr:spPr bwMode="auto">
        <a:xfrm>
          <a:off x="572651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16</xdr:row>
      <xdr:rowOff>171101</xdr:rowOff>
    </xdr:from>
    <xdr:to>
      <xdr:col>18</xdr:col>
      <xdr:colOff>82728</xdr:colOff>
      <xdr:row>17</xdr:row>
      <xdr:rowOff>40926</xdr:rowOff>
    </xdr:to>
    <xdr:sp macro="" textlink="">
      <xdr:nvSpPr>
        <xdr:cNvPr id="10" name="円/楕円 9"/>
        <xdr:cNvSpPr/>
      </xdr:nvSpPr>
      <xdr:spPr bwMode="auto">
        <a:xfrm>
          <a:off x="576597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71393</xdr:colOff>
      <xdr:row>16</xdr:row>
      <xdr:rowOff>171101</xdr:rowOff>
    </xdr:from>
    <xdr:to>
      <xdr:col>18</xdr:col>
      <xdr:colOff>122193</xdr:colOff>
      <xdr:row>17</xdr:row>
      <xdr:rowOff>40926</xdr:rowOff>
    </xdr:to>
    <xdr:sp macro="" textlink="">
      <xdr:nvSpPr>
        <xdr:cNvPr id="11" name="円/楕円 10"/>
        <xdr:cNvSpPr/>
      </xdr:nvSpPr>
      <xdr:spPr bwMode="auto">
        <a:xfrm>
          <a:off x="580544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44672</xdr:colOff>
      <xdr:row>16</xdr:row>
      <xdr:rowOff>171101</xdr:rowOff>
    </xdr:from>
    <xdr:to>
      <xdr:col>22</xdr:col>
      <xdr:colOff>95472</xdr:colOff>
      <xdr:row>17</xdr:row>
      <xdr:rowOff>40926</xdr:rowOff>
    </xdr:to>
    <xdr:sp macro="" textlink="">
      <xdr:nvSpPr>
        <xdr:cNvPr id="12" name="円/楕円 11"/>
        <xdr:cNvSpPr/>
      </xdr:nvSpPr>
      <xdr:spPr bwMode="auto">
        <a:xfrm>
          <a:off x="665502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16</xdr:row>
      <xdr:rowOff>171101</xdr:rowOff>
    </xdr:from>
    <xdr:to>
      <xdr:col>22</xdr:col>
      <xdr:colOff>134938</xdr:colOff>
      <xdr:row>17</xdr:row>
      <xdr:rowOff>40926</xdr:rowOff>
    </xdr:to>
    <xdr:sp macro="" textlink="">
      <xdr:nvSpPr>
        <xdr:cNvPr id="13" name="円/楕円 12"/>
        <xdr:cNvSpPr/>
      </xdr:nvSpPr>
      <xdr:spPr bwMode="auto">
        <a:xfrm>
          <a:off x="669448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123603</xdr:colOff>
      <xdr:row>16</xdr:row>
      <xdr:rowOff>171101</xdr:rowOff>
    </xdr:from>
    <xdr:to>
      <xdr:col>22</xdr:col>
      <xdr:colOff>174403</xdr:colOff>
      <xdr:row>17</xdr:row>
      <xdr:rowOff>40926</xdr:rowOff>
    </xdr:to>
    <xdr:sp macro="" textlink="">
      <xdr:nvSpPr>
        <xdr:cNvPr id="14" name="円/楕円 13"/>
        <xdr:cNvSpPr/>
      </xdr:nvSpPr>
      <xdr:spPr bwMode="auto">
        <a:xfrm>
          <a:off x="673395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96882</xdr:colOff>
      <xdr:row>16</xdr:row>
      <xdr:rowOff>171101</xdr:rowOff>
    </xdr:from>
    <xdr:to>
      <xdr:col>26</xdr:col>
      <xdr:colOff>147682</xdr:colOff>
      <xdr:row>17</xdr:row>
      <xdr:rowOff>40926</xdr:rowOff>
    </xdr:to>
    <xdr:sp macro="" textlink="">
      <xdr:nvSpPr>
        <xdr:cNvPr id="15" name="円/楕円 14"/>
        <xdr:cNvSpPr/>
      </xdr:nvSpPr>
      <xdr:spPr bwMode="auto">
        <a:xfrm>
          <a:off x="758353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16</xdr:row>
      <xdr:rowOff>171101</xdr:rowOff>
    </xdr:from>
    <xdr:to>
      <xdr:col>26</xdr:col>
      <xdr:colOff>187147</xdr:colOff>
      <xdr:row>17</xdr:row>
      <xdr:rowOff>40926</xdr:rowOff>
    </xdr:to>
    <xdr:sp macro="" textlink="">
      <xdr:nvSpPr>
        <xdr:cNvPr id="16" name="円/楕円 15"/>
        <xdr:cNvSpPr/>
      </xdr:nvSpPr>
      <xdr:spPr bwMode="auto">
        <a:xfrm>
          <a:off x="762299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175813</xdr:colOff>
      <xdr:row>16</xdr:row>
      <xdr:rowOff>171101</xdr:rowOff>
    </xdr:from>
    <xdr:to>
      <xdr:col>27</xdr:col>
      <xdr:colOff>7538</xdr:colOff>
      <xdr:row>17</xdr:row>
      <xdr:rowOff>40926</xdr:rowOff>
    </xdr:to>
    <xdr:sp macro="" textlink="">
      <xdr:nvSpPr>
        <xdr:cNvPr id="17" name="円/楕円 16"/>
        <xdr:cNvSpPr/>
      </xdr:nvSpPr>
      <xdr:spPr bwMode="auto">
        <a:xfrm>
          <a:off x="766246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149092</xdr:colOff>
      <xdr:row>16</xdr:row>
      <xdr:rowOff>171101</xdr:rowOff>
    </xdr:from>
    <xdr:to>
      <xdr:col>30</xdr:col>
      <xdr:colOff>199892</xdr:colOff>
      <xdr:row>17</xdr:row>
      <xdr:rowOff>40926</xdr:rowOff>
    </xdr:to>
    <xdr:sp macro="" textlink="">
      <xdr:nvSpPr>
        <xdr:cNvPr id="18" name="円/楕円 17"/>
        <xdr:cNvSpPr/>
      </xdr:nvSpPr>
      <xdr:spPr bwMode="auto">
        <a:xfrm>
          <a:off x="851204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16</xdr:row>
      <xdr:rowOff>171101</xdr:rowOff>
    </xdr:from>
    <xdr:to>
      <xdr:col>31</xdr:col>
      <xdr:colOff>20282</xdr:colOff>
      <xdr:row>17</xdr:row>
      <xdr:rowOff>40926</xdr:rowOff>
    </xdr:to>
    <xdr:sp macro="" textlink="">
      <xdr:nvSpPr>
        <xdr:cNvPr id="19" name="円/楕円 18"/>
        <xdr:cNvSpPr/>
      </xdr:nvSpPr>
      <xdr:spPr bwMode="auto">
        <a:xfrm>
          <a:off x="855150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8948</xdr:colOff>
      <xdr:row>16</xdr:row>
      <xdr:rowOff>171101</xdr:rowOff>
    </xdr:from>
    <xdr:to>
      <xdr:col>31</xdr:col>
      <xdr:colOff>59748</xdr:colOff>
      <xdr:row>17</xdr:row>
      <xdr:rowOff>40926</xdr:rowOff>
    </xdr:to>
    <xdr:sp macro="" textlink="">
      <xdr:nvSpPr>
        <xdr:cNvPr id="20" name="円/楕円 19"/>
        <xdr:cNvSpPr/>
      </xdr:nvSpPr>
      <xdr:spPr bwMode="auto">
        <a:xfrm>
          <a:off x="859097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201302</xdr:colOff>
      <xdr:row>16</xdr:row>
      <xdr:rowOff>171101</xdr:rowOff>
    </xdr:from>
    <xdr:to>
      <xdr:col>35</xdr:col>
      <xdr:colOff>33027</xdr:colOff>
      <xdr:row>17</xdr:row>
      <xdr:rowOff>40926</xdr:rowOff>
    </xdr:to>
    <xdr:sp macro="" textlink="">
      <xdr:nvSpPr>
        <xdr:cNvPr id="21" name="円/楕円 20"/>
        <xdr:cNvSpPr/>
      </xdr:nvSpPr>
      <xdr:spPr bwMode="auto">
        <a:xfrm>
          <a:off x="944055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16</xdr:row>
      <xdr:rowOff>171101</xdr:rowOff>
    </xdr:from>
    <xdr:to>
      <xdr:col>35</xdr:col>
      <xdr:colOff>72492</xdr:colOff>
      <xdr:row>17</xdr:row>
      <xdr:rowOff>40926</xdr:rowOff>
    </xdr:to>
    <xdr:sp macro="" textlink="">
      <xdr:nvSpPr>
        <xdr:cNvPr id="22" name="円/楕円 21"/>
        <xdr:cNvSpPr/>
      </xdr:nvSpPr>
      <xdr:spPr bwMode="auto">
        <a:xfrm>
          <a:off x="948001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61157</xdr:colOff>
      <xdr:row>16</xdr:row>
      <xdr:rowOff>171101</xdr:rowOff>
    </xdr:from>
    <xdr:to>
      <xdr:col>35</xdr:col>
      <xdr:colOff>111957</xdr:colOff>
      <xdr:row>17</xdr:row>
      <xdr:rowOff>40926</xdr:rowOff>
    </xdr:to>
    <xdr:sp macro="" textlink="">
      <xdr:nvSpPr>
        <xdr:cNvPr id="23" name="円/楕円 22"/>
        <xdr:cNvSpPr/>
      </xdr:nvSpPr>
      <xdr:spPr bwMode="auto">
        <a:xfrm>
          <a:off x="951948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16</xdr:row>
      <xdr:rowOff>171101</xdr:rowOff>
    </xdr:from>
    <xdr:to>
      <xdr:col>36</xdr:col>
      <xdr:colOff>117475</xdr:colOff>
      <xdr:row>17</xdr:row>
      <xdr:rowOff>40926</xdr:rowOff>
    </xdr:to>
    <xdr:sp macro="" textlink="">
      <xdr:nvSpPr>
        <xdr:cNvPr id="24" name="円/楕円 23"/>
        <xdr:cNvSpPr/>
      </xdr:nvSpPr>
      <xdr:spPr bwMode="auto">
        <a:xfrm>
          <a:off x="9744075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17</xdr:row>
      <xdr:rowOff>158750</xdr:rowOff>
    </xdr:from>
    <xdr:to>
      <xdr:col>9</xdr:col>
      <xdr:colOff>197384</xdr:colOff>
      <xdr:row>18</xdr:row>
      <xdr:rowOff>28575</xdr:rowOff>
    </xdr:to>
    <xdr:sp macro="" textlink="">
      <xdr:nvSpPr>
        <xdr:cNvPr id="25" name="円/楕円 24"/>
        <xdr:cNvSpPr/>
      </xdr:nvSpPr>
      <xdr:spPr bwMode="auto">
        <a:xfrm>
          <a:off x="3908959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17</xdr:row>
      <xdr:rowOff>158750</xdr:rowOff>
    </xdr:from>
    <xdr:to>
      <xdr:col>14</xdr:col>
      <xdr:colOff>30518</xdr:colOff>
      <xdr:row>18</xdr:row>
      <xdr:rowOff>28575</xdr:rowOff>
    </xdr:to>
    <xdr:sp macro="" textlink="">
      <xdr:nvSpPr>
        <xdr:cNvPr id="67764" name="円/楕円 67763"/>
        <xdr:cNvSpPr/>
      </xdr:nvSpPr>
      <xdr:spPr bwMode="auto">
        <a:xfrm>
          <a:off x="483746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17</xdr:row>
      <xdr:rowOff>158750</xdr:rowOff>
    </xdr:from>
    <xdr:to>
      <xdr:col>18</xdr:col>
      <xdr:colOff>82728</xdr:colOff>
      <xdr:row>18</xdr:row>
      <xdr:rowOff>28575</xdr:rowOff>
    </xdr:to>
    <xdr:sp macro="" textlink="">
      <xdr:nvSpPr>
        <xdr:cNvPr id="67765" name="円/楕円 67764"/>
        <xdr:cNvSpPr/>
      </xdr:nvSpPr>
      <xdr:spPr bwMode="auto">
        <a:xfrm>
          <a:off x="576597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17</xdr:row>
      <xdr:rowOff>158750</xdr:rowOff>
    </xdr:from>
    <xdr:to>
      <xdr:col>22</xdr:col>
      <xdr:colOff>134938</xdr:colOff>
      <xdr:row>18</xdr:row>
      <xdr:rowOff>28575</xdr:rowOff>
    </xdr:to>
    <xdr:sp macro="" textlink="">
      <xdr:nvSpPr>
        <xdr:cNvPr id="67766" name="円/楕円 67765"/>
        <xdr:cNvSpPr/>
      </xdr:nvSpPr>
      <xdr:spPr bwMode="auto">
        <a:xfrm>
          <a:off x="669448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17</xdr:row>
      <xdr:rowOff>158750</xdr:rowOff>
    </xdr:from>
    <xdr:to>
      <xdr:col>26</xdr:col>
      <xdr:colOff>187147</xdr:colOff>
      <xdr:row>18</xdr:row>
      <xdr:rowOff>28575</xdr:rowOff>
    </xdr:to>
    <xdr:sp macro="" textlink="">
      <xdr:nvSpPr>
        <xdr:cNvPr id="67767" name="円/楕円 67766"/>
        <xdr:cNvSpPr/>
      </xdr:nvSpPr>
      <xdr:spPr bwMode="auto">
        <a:xfrm>
          <a:off x="762299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17</xdr:row>
      <xdr:rowOff>158750</xdr:rowOff>
    </xdr:from>
    <xdr:to>
      <xdr:col>31</xdr:col>
      <xdr:colOff>20282</xdr:colOff>
      <xdr:row>18</xdr:row>
      <xdr:rowOff>28575</xdr:rowOff>
    </xdr:to>
    <xdr:sp macro="" textlink="">
      <xdr:nvSpPr>
        <xdr:cNvPr id="67768" name="円/楕円 67767"/>
        <xdr:cNvSpPr/>
      </xdr:nvSpPr>
      <xdr:spPr bwMode="auto">
        <a:xfrm>
          <a:off x="855150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17</xdr:row>
      <xdr:rowOff>158750</xdr:rowOff>
    </xdr:from>
    <xdr:to>
      <xdr:col>35</xdr:col>
      <xdr:colOff>72492</xdr:colOff>
      <xdr:row>18</xdr:row>
      <xdr:rowOff>28575</xdr:rowOff>
    </xdr:to>
    <xdr:sp macro="" textlink="">
      <xdr:nvSpPr>
        <xdr:cNvPr id="67769" name="円/楕円 67768"/>
        <xdr:cNvSpPr/>
      </xdr:nvSpPr>
      <xdr:spPr bwMode="auto">
        <a:xfrm>
          <a:off x="948001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22</xdr:row>
      <xdr:rowOff>140050</xdr:rowOff>
    </xdr:from>
    <xdr:to>
      <xdr:col>35</xdr:col>
      <xdr:colOff>72492</xdr:colOff>
      <xdr:row>23</xdr:row>
      <xdr:rowOff>9875</xdr:rowOff>
    </xdr:to>
    <xdr:sp macro="" textlink="">
      <xdr:nvSpPr>
        <xdr:cNvPr id="67770" name="円/楕円 67769"/>
        <xdr:cNvSpPr/>
      </xdr:nvSpPr>
      <xdr:spPr bwMode="auto">
        <a:xfrm>
          <a:off x="948001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22</xdr:row>
      <xdr:rowOff>140050</xdr:rowOff>
    </xdr:from>
    <xdr:to>
      <xdr:col>31</xdr:col>
      <xdr:colOff>20282</xdr:colOff>
      <xdr:row>23</xdr:row>
      <xdr:rowOff>9875</xdr:rowOff>
    </xdr:to>
    <xdr:sp macro="" textlink="">
      <xdr:nvSpPr>
        <xdr:cNvPr id="67771" name="円/楕円 67770"/>
        <xdr:cNvSpPr/>
      </xdr:nvSpPr>
      <xdr:spPr bwMode="auto">
        <a:xfrm>
          <a:off x="855150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22</xdr:row>
      <xdr:rowOff>140050</xdr:rowOff>
    </xdr:from>
    <xdr:to>
      <xdr:col>26</xdr:col>
      <xdr:colOff>187147</xdr:colOff>
      <xdr:row>23</xdr:row>
      <xdr:rowOff>9875</xdr:rowOff>
    </xdr:to>
    <xdr:sp macro="" textlink="">
      <xdr:nvSpPr>
        <xdr:cNvPr id="67772" name="円/楕円 67771"/>
        <xdr:cNvSpPr/>
      </xdr:nvSpPr>
      <xdr:spPr bwMode="auto">
        <a:xfrm>
          <a:off x="762299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22</xdr:row>
      <xdr:rowOff>140050</xdr:rowOff>
    </xdr:from>
    <xdr:to>
      <xdr:col>22</xdr:col>
      <xdr:colOff>134938</xdr:colOff>
      <xdr:row>23</xdr:row>
      <xdr:rowOff>9875</xdr:rowOff>
    </xdr:to>
    <xdr:sp macro="" textlink="">
      <xdr:nvSpPr>
        <xdr:cNvPr id="67773" name="円/楕円 67772"/>
        <xdr:cNvSpPr/>
      </xdr:nvSpPr>
      <xdr:spPr bwMode="auto">
        <a:xfrm>
          <a:off x="669448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22</xdr:row>
      <xdr:rowOff>140050</xdr:rowOff>
    </xdr:from>
    <xdr:to>
      <xdr:col>26</xdr:col>
      <xdr:colOff>187147</xdr:colOff>
      <xdr:row>23</xdr:row>
      <xdr:rowOff>9875</xdr:rowOff>
    </xdr:to>
    <xdr:sp macro="" textlink="">
      <xdr:nvSpPr>
        <xdr:cNvPr id="67774" name="円/楕円 67773"/>
        <xdr:cNvSpPr/>
      </xdr:nvSpPr>
      <xdr:spPr bwMode="auto">
        <a:xfrm>
          <a:off x="762299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22</xdr:row>
      <xdr:rowOff>140050</xdr:rowOff>
    </xdr:from>
    <xdr:to>
      <xdr:col>31</xdr:col>
      <xdr:colOff>20282</xdr:colOff>
      <xdr:row>23</xdr:row>
      <xdr:rowOff>9875</xdr:rowOff>
    </xdr:to>
    <xdr:sp macro="" textlink="">
      <xdr:nvSpPr>
        <xdr:cNvPr id="67775" name="円/楕円 67774"/>
        <xdr:cNvSpPr/>
      </xdr:nvSpPr>
      <xdr:spPr bwMode="auto">
        <a:xfrm>
          <a:off x="855150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22</xdr:row>
      <xdr:rowOff>140050</xdr:rowOff>
    </xdr:from>
    <xdr:to>
      <xdr:col>35</xdr:col>
      <xdr:colOff>72492</xdr:colOff>
      <xdr:row>23</xdr:row>
      <xdr:rowOff>9875</xdr:rowOff>
    </xdr:to>
    <xdr:sp macro="" textlink="">
      <xdr:nvSpPr>
        <xdr:cNvPr id="67776" name="円/楕円 67775"/>
        <xdr:cNvSpPr/>
      </xdr:nvSpPr>
      <xdr:spPr bwMode="auto">
        <a:xfrm>
          <a:off x="948001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17</xdr:row>
      <xdr:rowOff>15526</xdr:rowOff>
    </xdr:from>
    <xdr:to>
      <xdr:col>9</xdr:col>
      <xdr:colOff>132518</xdr:colOff>
      <xdr:row>17</xdr:row>
      <xdr:rowOff>15526</xdr:rowOff>
    </xdr:to>
    <xdr:cxnSp macro="">
      <xdr:nvCxnSpPr>
        <xdr:cNvPr id="67777" name="直線コネクタ 67776"/>
        <xdr:cNvCxnSpPr/>
      </xdr:nvCxnSpPr>
      <xdr:spPr bwMode="auto">
        <a:xfrm>
          <a:off x="3670300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132518</xdr:colOff>
      <xdr:row>17</xdr:row>
      <xdr:rowOff>15526</xdr:rowOff>
    </xdr:from>
    <xdr:to>
      <xdr:col>9</xdr:col>
      <xdr:colOff>171984</xdr:colOff>
      <xdr:row>17</xdr:row>
      <xdr:rowOff>15526</xdr:rowOff>
    </xdr:to>
    <xdr:cxnSp macro="">
      <xdr:nvCxnSpPr>
        <xdr:cNvPr id="67778" name="直線コネクタ 67777"/>
        <xdr:cNvCxnSpPr/>
      </xdr:nvCxnSpPr>
      <xdr:spPr bwMode="auto">
        <a:xfrm>
          <a:off x="3894893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211449</xdr:colOff>
      <xdr:row>17</xdr:row>
      <xdr:rowOff>15526</xdr:rowOff>
    </xdr:to>
    <xdr:cxnSp macro="">
      <xdr:nvCxnSpPr>
        <xdr:cNvPr id="67779" name="直線コネクタ 67778"/>
        <xdr:cNvCxnSpPr/>
      </xdr:nvCxnSpPr>
      <xdr:spPr bwMode="auto">
        <a:xfrm>
          <a:off x="3934359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211449</xdr:colOff>
      <xdr:row>17</xdr:row>
      <xdr:rowOff>15526</xdr:rowOff>
    </xdr:from>
    <xdr:to>
      <xdr:col>13</xdr:col>
      <xdr:colOff>184728</xdr:colOff>
      <xdr:row>17</xdr:row>
      <xdr:rowOff>15526</xdr:rowOff>
    </xdr:to>
    <xdr:cxnSp macro="">
      <xdr:nvCxnSpPr>
        <xdr:cNvPr id="67780" name="直線コネクタ 67779"/>
        <xdr:cNvCxnSpPr/>
      </xdr:nvCxnSpPr>
      <xdr:spPr bwMode="auto">
        <a:xfrm>
          <a:off x="3973824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184728</xdr:colOff>
      <xdr:row>17</xdr:row>
      <xdr:rowOff>15526</xdr:rowOff>
    </xdr:from>
    <xdr:to>
      <xdr:col>14</xdr:col>
      <xdr:colOff>5118</xdr:colOff>
      <xdr:row>17</xdr:row>
      <xdr:rowOff>15526</xdr:rowOff>
    </xdr:to>
    <xdr:cxnSp macro="">
      <xdr:nvCxnSpPr>
        <xdr:cNvPr id="67781" name="直線コネクタ 67780"/>
        <xdr:cNvCxnSpPr/>
      </xdr:nvCxnSpPr>
      <xdr:spPr bwMode="auto">
        <a:xfrm>
          <a:off x="482340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44583</xdr:colOff>
      <xdr:row>17</xdr:row>
      <xdr:rowOff>15526</xdr:rowOff>
    </xdr:to>
    <xdr:cxnSp macro="">
      <xdr:nvCxnSpPr>
        <xdr:cNvPr id="67782" name="直線コネクタ 67781"/>
        <xdr:cNvCxnSpPr/>
      </xdr:nvCxnSpPr>
      <xdr:spPr bwMode="auto">
        <a:xfrm>
          <a:off x="486286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44583</xdr:colOff>
      <xdr:row>17</xdr:row>
      <xdr:rowOff>15526</xdr:rowOff>
    </xdr:from>
    <xdr:to>
      <xdr:col>18</xdr:col>
      <xdr:colOff>17863</xdr:colOff>
      <xdr:row>17</xdr:row>
      <xdr:rowOff>15526</xdr:rowOff>
    </xdr:to>
    <xdr:cxnSp macro="">
      <xdr:nvCxnSpPr>
        <xdr:cNvPr id="67783" name="直線コネクタ 67782"/>
        <xdr:cNvCxnSpPr/>
      </xdr:nvCxnSpPr>
      <xdr:spPr bwMode="auto">
        <a:xfrm>
          <a:off x="4902333" y="3092101"/>
          <a:ext cx="84958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17863</xdr:colOff>
      <xdr:row>17</xdr:row>
      <xdr:rowOff>15526</xdr:rowOff>
    </xdr:from>
    <xdr:to>
      <xdr:col>18</xdr:col>
      <xdr:colOff>57328</xdr:colOff>
      <xdr:row>17</xdr:row>
      <xdr:rowOff>15526</xdr:rowOff>
    </xdr:to>
    <xdr:cxnSp macro="">
      <xdr:nvCxnSpPr>
        <xdr:cNvPr id="67784" name="直線コネクタ 67783"/>
        <xdr:cNvCxnSpPr/>
      </xdr:nvCxnSpPr>
      <xdr:spPr bwMode="auto">
        <a:xfrm>
          <a:off x="575191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96793</xdr:colOff>
      <xdr:row>17</xdr:row>
      <xdr:rowOff>15526</xdr:rowOff>
    </xdr:to>
    <xdr:cxnSp macro="">
      <xdr:nvCxnSpPr>
        <xdr:cNvPr id="67785" name="直線コネクタ 67784"/>
        <xdr:cNvCxnSpPr/>
      </xdr:nvCxnSpPr>
      <xdr:spPr bwMode="auto">
        <a:xfrm>
          <a:off x="579137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96793</xdr:colOff>
      <xdr:row>17</xdr:row>
      <xdr:rowOff>15526</xdr:rowOff>
    </xdr:from>
    <xdr:to>
      <xdr:col>22</xdr:col>
      <xdr:colOff>70072</xdr:colOff>
      <xdr:row>17</xdr:row>
      <xdr:rowOff>15526</xdr:rowOff>
    </xdr:to>
    <xdr:cxnSp macro="">
      <xdr:nvCxnSpPr>
        <xdr:cNvPr id="67786" name="直線コネクタ 67785"/>
        <xdr:cNvCxnSpPr/>
      </xdr:nvCxnSpPr>
      <xdr:spPr bwMode="auto">
        <a:xfrm>
          <a:off x="583084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70072</xdr:colOff>
      <xdr:row>17</xdr:row>
      <xdr:rowOff>15526</xdr:rowOff>
    </xdr:from>
    <xdr:to>
      <xdr:col>22</xdr:col>
      <xdr:colOff>109538</xdr:colOff>
      <xdr:row>17</xdr:row>
      <xdr:rowOff>15526</xdr:rowOff>
    </xdr:to>
    <xdr:cxnSp macro="">
      <xdr:nvCxnSpPr>
        <xdr:cNvPr id="67787" name="直線コネクタ 67786"/>
        <xdr:cNvCxnSpPr/>
      </xdr:nvCxnSpPr>
      <xdr:spPr bwMode="auto">
        <a:xfrm>
          <a:off x="6680422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149003</xdr:colOff>
      <xdr:row>17</xdr:row>
      <xdr:rowOff>15526</xdr:rowOff>
    </xdr:to>
    <xdr:cxnSp macro="">
      <xdr:nvCxnSpPr>
        <xdr:cNvPr id="67788" name="直線コネクタ 67787"/>
        <xdr:cNvCxnSpPr/>
      </xdr:nvCxnSpPr>
      <xdr:spPr bwMode="auto">
        <a:xfrm>
          <a:off x="671988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149003</xdr:colOff>
      <xdr:row>17</xdr:row>
      <xdr:rowOff>15526</xdr:rowOff>
    </xdr:from>
    <xdr:to>
      <xdr:col>26</xdr:col>
      <xdr:colOff>122282</xdr:colOff>
      <xdr:row>17</xdr:row>
      <xdr:rowOff>15526</xdr:rowOff>
    </xdr:to>
    <xdr:cxnSp macro="">
      <xdr:nvCxnSpPr>
        <xdr:cNvPr id="67789" name="直線コネクタ 67788"/>
        <xdr:cNvCxnSpPr/>
      </xdr:nvCxnSpPr>
      <xdr:spPr bwMode="auto">
        <a:xfrm>
          <a:off x="675935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122282</xdr:colOff>
      <xdr:row>17</xdr:row>
      <xdr:rowOff>15526</xdr:rowOff>
    </xdr:from>
    <xdr:to>
      <xdr:col>26</xdr:col>
      <xdr:colOff>161747</xdr:colOff>
      <xdr:row>17</xdr:row>
      <xdr:rowOff>15526</xdr:rowOff>
    </xdr:to>
    <xdr:cxnSp macro="">
      <xdr:nvCxnSpPr>
        <xdr:cNvPr id="67790" name="直線コネクタ 67789"/>
        <xdr:cNvCxnSpPr/>
      </xdr:nvCxnSpPr>
      <xdr:spPr bwMode="auto">
        <a:xfrm>
          <a:off x="760893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201213</xdr:colOff>
      <xdr:row>17</xdr:row>
      <xdr:rowOff>15526</xdr:rowOff>
    </xdr:to>
    <xdr:cxnSp macro="">
      <xdr:nvCxnSpPr>
        <xdr:cNvPr id="67791" name="直線コネクタ 67790"/>
        <xdr:cNvCxnSpPr/>
      </xdr:nvCxnSpPr>
      <xdr:spPr bwMode="auto">
        <a:xfrm>
          <a:off x="764839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201213</xdr:colOff>
      <xdr:row>17</xdr:row>
      <xdr:rowOff>15526</xdr:rowOff>
    </xdr:from>
    <xdr:to>
      <xdr:col>30</xdr:col>
      <xdr:colOff>174492</xdr:colOff>
      <xdr:row>17</xdr:row>
      <xdr:rowOff>15526</xdr:rowOff>
    </xdr:to>
    <xdr:cxnSp macro="">
      <xdr:nvCxnSpPr>
        <xdr:cNvPr id="67792" name="直線コネクタ 67791"/>
        <xdr:cNvCxnSpPr/>
      </xdr:nvCxnSpPr>
      <xdr:spPr bwMode="auto">
        <a:xfrm>
          <a:off x="768786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174492</xdr:colOff>
      <xdr:row>17</xdr:row>
      <xdr:rowOff>15526</xdr:rowOff>
    </xdr:from>
    <xdr:to>
      <xdr:col>30</xdr:col>
      <xdr:colOff>213957</xdr:colOff>
      <xdr:row>17</xdr:row>
      <xdr:rowOff>15526</xdr:rowOff>
    </xdr:to>
    <xdr:cxnSp macro="">
      <xdr:nvCxnSpPr>
        <xdr:cNvPr id="67793" name="直線コネクタ 67792"/>
        <xdr:cNvCxnSpPr/>
      </xdr:nvCxnSpPr>
      <xdr:spPr bwMode="auto">
        <a:xfrm>
          <a:off x="853744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31</xdr:col>
      <xdr:colOff>34348</xdr:colOff>
      <xdr:row>17</xdr:row>
      <xdr:rowOff>15526</xdr:rowOff>
    </xdr:to>
    <xdr:cxnSp macro="">
      <xdr:nvCxnSpPr>
        <xdr:cNvPr id="67794" name="直線コネクタ 67793"/>
        <xdr:cNvCxnSpPr/>
      </xdr:nvCxnSpPr>
      <xdr:spPr bwMode="auto">
        <a:xfrm>
          <a:off x="857690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34348</xdr:colOff>
      <xdr:row>17</xdr:row>
      <xdr:rowOff>15526</xdr:rowOff>
    </xdr:from>
    <xdr:to>
      <xdr:col>35</xdr:col>
      <xdr:colOff>7627</xdr:colOff>
      <xdr:row>17</xdr:row>
      <xdr:rowOff>15526</xdr:rowOff>
    </xdr:to>
    <xdr:cxnSp macro="">
      <xdr:nvCxnSpPr>
        <xdr:cNvPr id="67795" name="直線コネクタ 67794"/>
        <xdr:cNvCxnSpPr/>
      </xdr:nvCxnSpPr>
      <xdr:spPr bwMode="auto">
        <a:xfrm>
          <a:off x="861637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7627</xdr:colOff>
      <xdr:row>17</xdr:row>
      <xdr:rowOff>15526</xdr:rowOff>
    </xdr:from>
    <xdr:to>
      <xdr:col>35</xdr:col>
      <xdr:colOff>47092</xdr:colOff>
      <xdr:row>17</xdr:row>
      <xdr:rowOff>15526</xdr:rowOff>
    </xdr:to>
    <xdr:cxnSp macro="">
      <xdr:nvCxnSpPr>
        <xdr:cNvPr id="67796" name="直線コネクタ 67795"/>
        <xdr:cNvCxnSpPr/>
      </xdr:nvCxnSpPr>
      <xdr:spPr bwMode="auto">
        <a:xfrm>
          <a:off x="946595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86557</xdr:colOff>
      <xdr:row>17</xdr:row>
      <xdr:rowOff>15526</xdr:rowOff>
    </xdr:to>
    <xdr:cxnSp macro="">
      <xdr:nvCxnSpPr>
        <xdr:cNvPr id="67797" name="直線コネクタ 67796"/>
        <xdr:cNvCxnSpPr/>
      </xdr:nvCxnSpPr>
      <xdr:spPr bwMode="auto">
        <a:xfrm>
          <a:off x="9505417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86557</xdr:colOff>
      <xdr:row>17</xdr:row>
      <xdr:rowOff>15526</xdr:rowOff>
    </xdr:from>
    <xdr:to>
      <xdr:col>36</xdr:col>
      <xdr:colOff>92075</xdr:colOff>
      <xdr:row>17</xdr:row>
      <xdr:rowOff>15526</xdr:rowOff>
    </xdr:to>
    <xdr:cxnSp macro="">
      <xdr:nvCxnSpPr>
        <xdr:cNvPr id="67798" name="直線コネクタ 67797"/>
        <xdr:cNvCxnSpPr/>
      </xdr:nvCxnSpPr>
      <xdr:spPr bwMode="auto">
        <a:xfrm>
          <a:off x="9544882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171984</xdr:colOff>
      <xdr:row>18</xdr:row>
      <xdr:rowOff>3175</xdr:rowOff>
    </xdr:to>
    <xdr:cxnSp macro="">
      <xdr:nvCxnSpPr>
        <xdr:cNvPr id="67799" name="直線コネクタ 67798"/>
        <xdr:cNvCxnSpPr/>
      </xdr:nvCxnSpPr>
      <xdr:spPr bwMode="auto">
        <a:xfrm>
          <a:off x="3934359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5118</xdr:colOff>
      <xdr:row>18</xdr:row>
      <xdr:rowOff>3175</xdr:rowOff>
    </xdr:to>
    <xdr:cxnSp macro="">
      <xdr:nvCxnSpPr>
        <xdr:cNvPr id="67800" name="直線コネクタ 67799"/>
        <xdr:cNvCxnSpPr/>
      </xdr:nvCxnSpPr>
      <xdr:spPr bwMode="auto">
        <a:xfrm>
          <a:off x="486286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57328</xdr:colOff>
      <xdr:row>18</xdr:row>
      <xdr:rowOff>3175</xdr:rowOff>
    </xdr:to>
    <xdr:cxnSp macro="">
      <xdr:nvCxnSpPr>
        <xdr:cNvPr id="67801" name="直線コネクタ 67800"/>
        <xdr:cNvCxnSpPr/>
      </xdr:nvCxnSpPr>
      <xdr:spPr bwMode="auto">
        <a:xfrm>
          <a:off x="579137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109538</xdr:colOff>
      <xdr:row>18</xdr:row>
      <xdr:rowOff>3175</xdr:rowOff>
    </xdr:to>
    <xdr:cxnSp macro="">
      <xdr:nvCxnSpPr>
        <xdr:cNvPr id="67806" name="直線コネクタ 67805"/>
        <xdr:cNvCxnSpPr/>
      </xdr:nvCxnSpPr>
      <xdr:spPr bwMode="auto">
        <a:xfrm>
          <a:off x="671988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161747</xdr:colOff>
      <xdr:row>18</xdr:row>
      <xdr:rowOff>3175</xdr:rowOff>
    </xdr:to>
    <xdr:cxnSp macro="">
      <xdr:nvCxnSpPr>
        <xdr:cNvPr id="67807" name="直線コネクタ 67806"/>
        <xdr:cNvCxnSpPr/>
      </xdr:nvCxnSpPr>
      <xdr:spPr bwMode="auto">
        <a:xfrm>
          <a:off x="764839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30</xdr:col>
      <xdr:colOff>213957</xdr:colOff>
      <xdr:row>18</xdr:row>
      <xdr:rowOff>3175</xdr:rowOff>
    </xdr:to>
    <xdr:cxnSp macro="">
      <xdr:nvCxnSpPr>
        <xdr:cNvPr id="67808" name="直線コネクタ 67807"/>
        <xdr:cNvCxnSpPr/>
      </xdr:nvCxnSpPr>
      <xdr:spPr bwMode="auto">
        <a:xfrm>
          <a:off x="857690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47092</xdr:colOff>
      <xdr:row>18</xdr:row>
      <xdr:rowOff>3175</xdr:rowOff>
    </xdr:to>
    <xdr:cxnSp macro="">
      <xdr:nvCxnSpPr>
        <xdr:cNvPr id="67809" name="直線コネクタ 67808"/>
        <xdr:cNvCxnSpPr/>
      </xdr:nvCxnSpPr>
      <xdr:spPr bwMode="auto">
        <a:xfrm>
          <a:off x="950541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18</xdr:row>
      <xdr:rowOff>3175</xdr:rowOff>
    </xdr:from>
    <xdr:to>
      <xdr:col>35</xdr:col>
      <xdr:colOff>47092</xdr:colOff>
      <xdr:row>22</xdr:row>
      <xdr:rowOff>165450</xdr:rowOff>
    </xdr:to>
    <xdr:cxnSp macro="">
      <xdr:nvCxnSpPr>
        <xdr:cNvPr id="67810" name="直線コネクタ 67809"/>
        <xdr:cNvCxnSpPr/>
      </xdr:nvCxnSpPr>
      <xdr:spPr bwMode="auto">
        <a:xfrm>
          <a:off x="3934359" y="3260725"/>
          <a:ext cx="5571058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18</xdr:row>
      <xdr:rowOff>3175</xdr:rowOff>
    </xdr:from>
    <xdr:to>
      <xdr:col>30</xdr:col>
      <xdr:colOff>213957</xdr:colOff>
      <xdr:row>22</xdr:row>
      <xdr:rowOff>165450</xdr:rowOff>
    </xdr:to>
    <xdr:cxnSp macro="">
      <xdr:nvCxnSpPr>
        <xdr:cNvPr id="67811" name="直線コネクタ 67810"/>
        <xdr:cNvCxnSpPr/>
      </xdr:nvCxnSpPr>
      <xdr:spPr bwMode="auto">
        <a:xfrm>
          <a:off x="4862868" y="3260725"/>
          <a:ext cx="3714039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18</xdr:row>
      <xdr:rowOff>3175</xdr:rowOff>
    </xdr:from>
    <xdr:to>
      <xdr:col>26</xdr:col>
      <xdr:colOff>161747</xdr:colOff>
      <xdr:row>22</xdr:row>
      <xdr:rowOff>165450</xdr:rowOff>
    </xdr:to>
    <xdr:cxnSp macro="">
      <xdr:nvCxnSpPr>
        <xdr:cNvPr id="67812" name="直線コネクタ 67811"/>
        <xdr:cNvCxnSpPr/>
      </xdr:nvCxnSpPr>
      <xdr:spPr bwMode="auto">
        <a:xfrm>
          <a:off x="5791378" y="3260725"/>
          <a:ext cx="1857019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18</xdr:row>
      <xdr:rowOff>3175</xdr:rowOff>
    </xdr:from>
    <xdr:to>
      <xdr:col>22</xdr:col>
      <xdr:colOff>109538</xdr:colOff>
      <xdr:row>22</xdr:row>
      <xdr:rowOff>165450</xdr:rowOff>
    </xdr:to>
    <xdr:cxnSp macro="">
      <xdr:nvCxnSpPr>
        <xdr:cNvPr id="67813" name="直線コネクタ 67812"/>
        <xdr:cNvCxnSpPr/>
      </xdr:nvCxnSpPr>
      <xdr:spPr bwMode="auto">
        <a:xfrm>
          <a:off x="671988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18</xdr:row>
      <xdr:rowOff>3175</xdr:rowOff>
    </xdr:from>
    <xdr:to>
      <xdr:col>26</xdr:col>
      <xdr:colOff>161747</xdr:colOff>
      <xdr:row>22</xdr:row>
      <xdr:rowOff>165450</xdr:rowOff>
    </xdr:to>
    <xdr:cxnSp macro="">
      <xdr:nvCxnSpPr>
        <xdr:cNvPr id="67814" name="直線コネクタ 67813"/>
        <xdr:cNvCxnSpPr/>
      </xdr:nvCxnSpPr>
      <xdr:spPr bwMode="auto">
        <a:xfrm>
          <a:off x="764839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18</xdr:row>
      <xdr:rowOff>3175</xdr:rowOff>
    </xdr:from>
    <xdr:to>
      <xdr:col>30</xdr:col>
      <xdr:colOff>213957</xdr:colOff>
      <xdr:row>22</xdr:row>
      <xdr:rowOff>165450</xdr:rowOff>
    </xdr:to>
    <xdr:cxnSp macro="">
      <xdr:nvCxnSpPr>
        <xdr:cNvPr id="67815" name="直線コネクタ 67814"/>
        <xdr:cNvCxnSpPr/>
      </xdr:nvCxnSpPr>
      <xdr:spPr bwMode="auto">
        <a:xfrm>
          <a:off x="857690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18</xdr:row>
      <xdr:rowOff>3175</xdr:rowOff>
    </xdr:from>
    <xdr:to>
      <xdr:col>35</xdr:col>
      <xdr:colOff>47092</xdr:colOff>
      <xdr:row>22</xdr:row>
      <xdr:rowOff>165450</xdr:rowOff>
    </xdr:to>
    <xdr:cxnSp macro="">
      <xdr:nvCxnSpPr>
        <xdr:cNvPr id="67816" name="直線コネクタ 67815"/>
        <xdr:cNvCxnSpPr/>
      </xdr:nvCxnSpPr>
      <xdr:spPr bwMode="auto">
        <a:xfrm>
          <a:off x="950541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16</xdr:row>
      <xdr:rowOff>180895</xdr:rowOff>
    </xdr:from>
    <xdr:to>
      <xdr:col>8</xdr:col>
      <xdr:colOff>127000</xdr:colOff>
      <xdr:row>17</xdr:row>
      <xdr:rowOff>15526</xdr:rowOff>
    </xdr:to>
    <xdr:cxnSp macro="">
      <xdr:nvCxnSpPr>
        <xdr:cNvPr id="67817" name="直線コネクタ 67816"/>
        <xdr:cNvCxnSpPr/>
      </xdr:nvCxnSpPr>
      <xdr:spPr bwMode="auto">
        <a:xfrm flipV="1">
          <a:off x="3670300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132518</xdr:colOff>
      <xdr:row>16</xdr:row>
      <xdr:rowOff>180895</xdr:rowOff>
    </xdr:from>
    <xdr:to>
      <xdr:col>9</xdr:col>
      <xdr:colOff>132518</xdr:colOff>
      <xdr:row>17</xdr:row>
      <xdr:rowOff>15526</xdr:rowOff>
    </xdr:to>
    <xdr:cxnSp macro="">
      <xdr:nvCxnSpPr>
        <xdr:cNvPr id="67818" name="直線コネクタ 67817"/>
        <xdr:cNvCxnSpPr/>
      </xdr:nvCxnSpPr>
      <xdr:spPr bwMode="auto">
        <a:xfrm flipV="1">
          <a:off x="389489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16</xdr:row>
      <xdr:rowOff>180895</xdr:rowOff>
    </xdr:from>
    <xdr:to>
      <xdr:col>9</xdr:col>
      <xdr:colOff>132518</xdr:colOff>
      <xdr:row>16</xdr:row>
      <xdr:rowOff>180895</xdr:rowOff>
    </xdr:to>
    <xdr:cxnSp macro="">
      <xdr:nvCxnSpPr>
        <xdr:cNvPr id="67819" name="直線コネクタ 67818"/>
        <xdr:cNvCxnSpPr/>
      </xdr:nvCxnSpPr>
      <xdr:spPr bwMode="auto">
        <a:xfrm>
          <a:off x="3670300" y="3076495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132518</xdr:colOff>
      <xdr:row>16</xdr:row>
      <xdr:rowOff>180895</xdr:rowOff>
    </xdr:from>
    <xdr:to>
      <xdr:col>9</xdr:col>
      <xdr:colOff>132518</xdr:colOff>
      <xdr:row>17</xdr:row>
      <xdr:rowOff>15526</xdr:rowOff>
    </xdr:to>
    <xdr:cxnSp macro="">
      <xdr:nvCxnSpPr>
        <xdr:cNvPr id="67820" name="直線コネクタ 67819"/>
        <xdr:cNvCxnSpPr/>
      </xdr:nvCxnSpPr>
      <xdr:spPr bwMode="auto">
        <a:xfrm flipV="1">
          <a:off x="389489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16</xdr:row>
      <xdr:rowOff>180895</xdr:rowOff>
    </xdr:from>
    <xdr:to>
      <xdr:col>9</xdr:col>
      <xdr:colOff>171984</xdr:colOff>
      <xdr:row>17</xdr:row>
      <xdr:rowOff>15526</xdr:rowOff>
    </xdr:to>
    <xdr:cxnSp macro="">
      <xdr:nvCxnSpPr>
        <xdr:cNvPr id="67821" name="直線コネクタ 67820"/>
        <xdr:cNvCxnSpPr/>
      </xdr:nvCxnSpPr>
      <xdr:spPr bwMode="auto">
        <a:xfrm flipV="1">
          <a:off x="3934359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132518</xdr:colOff>
      <xdr:row>16</xdr:row>
      <xdr:rowOff>180895</xdr:rowOff>
    </xdr:from>
    <xdr:to>
      <xdr:col>9</xdr:col>
      <xdr:colOff>171984</xdr:colOff>
      <xdr:row>16</xdr:row>
      <xdr:rowOff>180895</xdr:rowOff>
    </xdr:to>
    <xdr:cxnSp macro="">
      <xdr:nvCxnSpPr>
        <xdr:cNvPr id="67822" name="直線コネクタ 67821"/>
        <xdr:cNvCxnSpPr/>
      </xdr:nvCxnSpPr>
      <xdr:spPr bwMode="auto">
        <a:xfrm>
          <a:off x="3894893" y="3076495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16</xdr:row>
      <xdr:rowOff>180895</xdr:rowOff>
    </xdr:from>
    <xdr:to>
      <xdr:col>9</xdr:col>
      <xdr:colOff>171984</xdr:colOff>
      <xdr:row>17</xdr:row>
      <xdr:rowOff>15526</xdr:rowOff>
    </xdr:to>
    <xdr:cxnSp macro="">
      <xdr:nvCxnSpPr>
        <xdr:cNvPr id="67823" name="直線コネクタ 67822"/>
        <xdr:cNvCxnSpPr/>
      </xdr:nvCxnSpPr>
      <xdr:spPr bwMode="auto">
        <a:xfrm flipV="1">
          <a:off x="3934359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211449</xdr:colOff>
      <xdr:row>16</xdr:row>
      <xdr:rowOff>180895</xdr:rowOff>
    </xdr:from>
    <xdr:to>
      <xdr:col>9</xdr:col>
      <xdr:colOff>211449</xdr:colOff>
      <xdr:row>17</xdr:row>
      <xdr:rowOff>15526</xdr:rowOff>
    </xdr:to>
    <xdr:cxnSp macro="">
      <xdr:nvCxnSpPr>
        <xdr:cNvPr id="67824" name="直線コネクタ 67823"/>
        <xdr:cNvCxnSpPr/>
      </xdr:nvCxnSpPr>
      <xdr:spPr bwMode="auto">
        <a:xfrm flipV="1">
          <a:off x="3973824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16</xdr:row>
      <xdr:rowOff>180895</xdr:rowOff>
    </xdr:from>
    <xdr:to>
      <xdr:col>9</xdr:col>
      <xdr:colOff>211449</xdr:colOff>
      <xdr:row>16</xdr:row>
      <xdr:rowOff>180895</xdr:rowOff>
    </xdr:to>
    <xdr:cxnSp macro="">
      <xdr:nvCxnSpPr>
        <xdr:cNvPr id="67825" name="直線コネクタ 67824"/>
        <xdr:cNvCxnSpPr/>
      </xdr:nvCxnSpPr>
      <xdr:spPr bwMode="auto">
        <a:xfrm>
          <a:off x="3934359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211449</xdr:colOff>
      <xdr:row>16</xdr:row>
      <xdr:rowOff>180895</xdr:rowOff>
    </xdr:from>
    <xdr:to>
      <xdr:col>9</xdr:col>
      <xdr:colOff>211449</xdr:colOff>
      <xdr:row>17</xdr:row>
      <xdr:rowOff>15526</xdr:rowOff>
    </xdr:to>
    <xdr:cxnSp macro="">
      <xdr:nvCxnSpPr>
        <xdr:cNvPr id="67826" name="直線コネクタ 67825"/>
        <xdr:cNvCxnSpPr/>
      </xdr:nvCxnSpPr>
      <xdr:spPr bwMode="auto">
        <a:xfrm flipV="1">
          <a:off x="3973824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184728</xdr:colOff>
      <xdr:row>16</xdr:row>
      <xdr:rowOff>180895</xdr:rowOff>
    </xdr:from>
    <xdr:to>
      <xdr:col>13</xdr:col>
      <xdr:colOff>184728</xdr:colOff>
      <xdr:row>17</xdr:row>
      <xdr:rowOff>15526</xdr:rowOff>
    </xdr:to>
    <xdr:cxnSp macro="">
      <xdr:nvCxnSpPr>
        <xdr:cNvPr id="67827" name="直線コネクタ 67826"/>
        <xdr:cNvCxnSpPr/>
      </xdr:nvCxnSpPr>
      <xdr:spPr bwMode="auto">
        <a:xfrm flipV="1">
          <a:off x="482340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211449</xdr:colOff>
      <xdr:row>16</xdr:row>
      <xdr:rowOff>180895</xdr:rowOff>
    </xdr:from>
    <xdr:to>
      <xdr:col>13</xdr:col>
      <xdr:colOff>184728</xdr:colOff>
      <xdr:row>16</xdr:row>
      <xdr:rowOff>180895</xdr:rowOff>
    </xdr:to>
    <xdr:cxnSp macro="">
      <xdr:nvCxnSpPr>
        <xdr:cNvPr id="67828" name="直線コネクタ 67827"/>
        <xdr:cNvCxnSpPr/>
      </xdr:nvCxnSpPr>
      <xdr:spPr bwMode="auto">
        <a:xfrm>
          <a:off x="3973824" y="3076495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184728</xdr:colOff>
      <xdr:row>16</xdr:row>
      <xdr:rowOff>180895</xdr:rowOff>
    </xdr:from>
    <xdr:to>
      <xdr:col>13</xdr:col>
      <xdr:colOff>184728</xdr:colOff>
      <xdr:row>17</xdr:row>
      <xdr:rowOff>15526</xdr:rowOff>
    </xdr:to>
    <xdr:cxnSp macro="">
      <xdr:nvCxnSpPr>
        <xdr:cNvPr id="67829" name="直線コネクタ 67828"/>
        <xdr:cNvCxnSpPr/>
      </xdr:nvCxnSpPr>
      <xdr:spPr bwMode="auto">
        <a:xfrm flipV="1">
          <a:off x="482340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16</xdr:row>
      <xdr:rowOff>180895</xdr:rowOff>
    </xdr:from>
    <xdr:to>
      <xdr:col>14</xdr:col>
      <xdr:colOff>5118</xdr:colOff>
      <xdr:row>17</xdr:row>
      <xdr:rowOff>15526</xdr:rowOff>
    </xdr:to>
    <xdr:cxnSp macro="">
      <xdr:nvCxnSpPr>
        <xdr:cNvPr id="67830" name="直線コネクタ 67829"/>
        <xdr:cNvCxnSpPr/>
      </xdr:nvCxnSpPr>
      <xdr:spPr bwMode="auto">
        <a:xfrm flipV="1">
          <a:off x="4862868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184728</xdr:colOff>
      <xdr:row>16</xdr:row>
      <xdr:rowOff>180895</xdr:rowOff>
    </xdr:from>
    <xdr:to>
      <xdr:col>14</xdr:col>
      <xdr:colOff>5118</xdr:colOff>
      <xdr:row>16</xdr:row>
      <xdr:rowOff>180895</xdr:rowOff>
    </xdr:to>
    <xdr:cxnSp macro="">
      <xdr:nvCxnSpPr>
        <xdr:cNvPr id="67831" name="直線コネクタ 67830"/>
        <xdr:cNvCxnSpPr/>
      </xdr:nvCxnSpPr>
      <xdr:spPr bwMode="auto">
        <a:xfrm>
          <a:off x="4823403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16</xdr:row>
      <xdr:rowOff>180895</xdr:rowOff>
    </xdr:from>
    <xdr:to>
      <xdr:col>14</xdr:col>
      <xdr:colOff>5118</xdr:colOff>
      <xdr:row>17</xdr:row>
      <xdr:rowOff>15526</xdr:rowOff>
    </xdr:to>
    <xdr:cxnSp macro="">
      <xdr:nvCxnSpPr>
        <xdr:cNvPr id="67832" name="直線コネクタ 67831"/>
        <xdr:cNvCxnSpPr/>
      </xdr:nvCxnSpPr>
      <xdr:spPr bwMode="auto">
        <a:xfrm flipV="1">
          <a:off x="4862868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44583</xdr:colOff>
      <xdr:row>16</xdr:row>
      <xdr:rowOff>180895</xdr:rowOff>
    </xdr:from>
    <xdr:to>
      <xdr:col>14</xdr:col>
      <xdr:colOff>44583</xdr:colOff>
      <xdr:row>17</xdr:row>
      <xdr:rowOff>15526</xdr:rowOff>
    </xdr:to>
    <xdr:cxnSp macro="">
      <xdr:nvCxnSpPr>
        <xdr:cNvPr id="67833" name="直線コネクタ 67832"/>
        <xdr:cNvCxnSpPr/>
      </xdr:nvCxnSpPr>
      <xdr:spPr bwMode="auto">
        <a:xfrm flipV="1">
          <a:off x="490233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16</xdr:row>
      <xdr:rowOff>180895</xdr:rowOff>
    </xdr:from>
    <xdr:to>
      <xdr:col>14</xdr:col>
      <xdr:colOff>44583</xdr:colOff>
      <xdr:row>16</xdr:row>
      <xdr:rowOff>180895</xdr:rowOff>
    </xdr:to>
    <xdr:cxnSp macro="">
      <xdr:nvCxnSpPr>
        <xdr:cNvPr id="67834" name="直線コネクタ 67833"/>
        <xdr:cNvCxnSpPr/>
      </xdr:nvCxnSpPr>
      <xdr:spPr bwMode="auto">
        <a:xfrm>
          <a:off x="4862868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44583</xdr:colOff>
      <xdr:row>16</xdr:row>
      <xdr:rowOff>180895</xdr:rowOff>
    </xdr:from>
    <xdr:to>
      <xdr:col>14</xdr:col>
      <xdr:colOff>44583</xdr:colOff>
      <xdr:row>17</xdr:row>
      <xdr:rowOff>15526</xdr:rowOff>
    </xdr:to>
    <xdr:cxnSp macro="">
      <xdr:nvCxnSpPr>
        <xdr:cNvPr id="67835" name="直線コネクタ 67834"/>
        <xdr:cNvCxnSpPr/>
      </xdr:nvCxnSpPr>
      <xdr:spPr bwMode="auto">
        <a:xfrm flipV="1">
          <a:off x="490233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17863</xdr:colOff>
      <xdr:row>16</xdr:row>
      <xdr:rowOff>180895</xdr:rowOff>
    </xdr:from>
    <xdr:to>
      <xdr:col>18</xdr:col>
      <xdr:colOff>17863</xdr:colOff>
      <xdr:row>17</xdr:row>
      <xdr:rowOff>15526</xdr:rowOff>
    </xdr:to>
    <xdr:cxnSp macro="">
      <xdr:nvCxnSpPr>
        <xdr:cNvPr id="67836" name="直線コネクタ 67835"/>
        <xdr:cNvCxnSpPr/>
      </xdr:nvCxnSpPr>
      <xdr:spPr bwMode="auto">
        <a:xfrm flipV="1">
          <a:off x="575191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44583</xdr:colOff>
      <xdr:row>16</xdr:row>
      <xdr:rowOff>180895</xdr:rowOff>
    </xdr:from>
    <xdr:to>
      <xdr:col>18</xdr:col>
      <xdr:colOff>17863</xdr:colOff>
      <xdr:row>16</xdr:row>
      <xdr:rowOff>180895</xdr:rowOff>
    </xdr:to>
    <xdr:cxnSp macro="">
      <xdr:nvCxnSpPr>
        <xdr:cNvPr id="67837" name="直線コネクタ 67836"/>
        <xdr:cNvCxnSpPr/>
      </xdr:nvCxnSpPr>
      <xdr:spPr bwMode="auto">
        <a:xfrm>
          <a:off x="4902333" y="3076495"/>
          <a:ext cx="84958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17863</xdr:colOff>
      <xdr:row>16</xdr:row>
      <xdr:rowOff>180895</xdr:rowOff>
    </xdr:from>
    <xdr:to>
      <xdr:col>18</xdr:col>
      <xdr:colOff>17863</xdr:colOff>
      <xdr:row>17</xdr:row>
      <xdr:rowOff>15526</xdr:rowOff>
    </xdr:to>
    <xdr:cxnSp macro="">
      <xdr:nvCxnSpPr>
        <xdr:cNvPr id="67838" name="直線コネクタ 67837"/>
        <xdr:cNvCxnSpPr/>
      </xdr:nvCxnSpPr>
      <xdr:spPr bwMode="auto">
        <a:xfrm flipV="1">
          <a:off x="575191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16</xdr:row>
      <xdr:rowOff>180895</xdr:rowOff>
    </xdr:from>
    <xdr:to>
      <xdr:col>18</xdr:col>
      <xdr:colOff>57328</xdr:colOff>
      <xdr:row>17</xdr:row>
      <xdr:rowOff>15526</xdr:rowOff>
    </xdr:to>
    <xdr:cxnSp macro="">
      <xdr:nvCxnSpPr>
        <xdr:cNvPr id="67839" name="直線コネクタ 67838"/>
        <xdr:cNvCxnSpPr/>
      </xdr:nvCxnSpPr>
      <xdr:spPr bwMode="auto">
        <a:xfrm flipV="1">
          <a:off x="5791378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17863</xdr:colOff>
      <xdr:row>16</xdr:row>
      <xdr:rowOff>180895</xdr:rowOff>
    </xdr:from>
    <xdr:to>
      <xdr:col>18</xdr:col>
      <xdr:colOff>57328</xdr:colOff>
      <xdr:row>16</xdr:row>
      <xdr:rowOff>180895</xdr:rowOff>
    </xdr:to>
    <xdr:cxnSp macro="">
      <xdr:nvCxnSpPr>
        <xdr:cNvPr id="67840" name="直線コネクタ 67839"/>
        <xdr:cNvCxnSpPr/>
      </xdr:nvCxnSpPr>
      <xdr:spPr bwMode="auto">
        <a:xfrm>
          <a:off x="5751913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16</xdr:row>
      <xdr:rowOff>180895</xdr:rowOff>
    </xdr:from>
    <xdr:to>
      <xdr:col>18</xdr:col>
      <xdr:colOff>57328</xdr:colOff>
      <xdr:row>17</xdr:row>
      <xdr:rowOff>15526</xdr:rowOff>
    </xdr:to>
    <xdr:cxnSp macro="">
      <xdr:nvCxnSpPr>
        <xdr:cNvPr id="67841" name="直線コネクタ 67840"/>
        <xdr:cNvCxnSpPr/>
      </xdr:nvCxnSpPr>
      <xdr:spPr bwMode="auto">
        <a:xfrm flipV="1">
          <a:off x="5791378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96793</xdr:colOff>
      <xdr:row>16</xdr:row>
      <xdr:rowOff>180895</xdr:rowOff>
    </xdr:from>
    <xdr:to>
      <xdr:col>18</xdr:col>
      <xdr:colOff>96793</xdr:colOff>
      <xdr:row>17</xdr:row>
      <xdr:rowOff>15526</xdr:rowOff>
    </xdr:to>
    <xdr:cxnSp macro="">
      <xdr:nvCxnSpPr>
        <xdr:cNvPr id="67842" name="直線コネクタ 67841"/>
        <xdr:cNvCxnSpPr/>
      </xdr:nvCxnSpPr>
      <xdr:spPr bwMode="auto">
        <a:xfrm flipV="1">
          <a:off x="583084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16</xdr:row>
      <xdr:rowOff>180895</xdr:rowOff>
    </xdr:from>
    <xdr:to>
      <xdr:col>18</xdr:col>
      <xdr:colOff>96793</xdr:colOff>
      <xdr:row>16</xdr:row>
      <xdr:rowOff>180895</xdr:rowOff>
    </xdr:to>
    <xdr:cxnSp macro="">
      <xdr:nvCxnSpPr>
        <xdr:cNvPr id="67843" name="直線コネクタ 67842"/>
        <xdr:cNvCxnSpPr/>
      </xdr:nvCxnSpPr>
      <xdr:spPr bwMode="auto">
        <a:xfrm>
          <a:off x="5791378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96793</xdr:colOff>
      <xdr:row>16</xdr:row>
      <xdr:rowOff>180895</xdr:rowOff>
    </xdr:from>
    <xdr:to>
      <xdr:col>18</xdr:col>
      <xdr:colOff>96793</xdr:colOff>
      <xdr:row>17</xdr:row>
      <xdr:rowOff>15526</xdr:rowOff>
    </xdr:to>
    <xdr:cxnSp macro="">
      <xdr:nvCxnSpPr>
        <xdr:cNvPr id="67844" name="直線コネクタ 67843"/>
        <xdr:cNvCxnSpPr/>
      </xdr:nvCxnSpPr>
      <xdr:spPr bwMode="auto">
        <a:xfrm flipV="1">
          <a:off x="583084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70072</xdr:colOff>
      <xdr:row>16</xdr:row>
      <xdr:rowOff>180895</xdr:rowOff>
    </xdr:from>
    <xdr:to>
      <xdr:col>22</xdr:col>
      <xdr:colOff>70072</xdr:colOff>
      <xdr:row>17</xdr:row>
      <xdr:rowOff>15526</xdr:rowOff>
    </xdr:to>
    <xdr:cxnSp macro="">
      <xdr:nvCxnSpPr>
        <xdr:cNvPr id="67845" name="直線コネクタ 67844"/>
        <xdr:cNvCxnSpPr/>
      </xdr:nvCxnSpPr>
      <xdr:spPr bwMode="auto">
        <a:xfrm flipV="1">
          <a:off x="668042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96793</xdr:colOff>
      <xdr:row>16</xdr:row>
      <xdr:rowOff>180895</xdr:rowOff>
    </xdr:from>
    <xdr:to>
      <xdr:col>22</xdr:col>
      <xdr:colOff>70072</xdr:colOff>
      <xdr:row>16</xdr:row>
      <xdr:rowOff>180895</xdr:rowOff>
    </xdr:to>
    <xdr:cxnSp macro="">
      <xdr:nvCxnSpPr>
        <xdr:cNvPr id="67846" name="直線コネクタ 67845"/>
        <xdr:cNvCxnSpPr/>
      </xdr:nvCxnSpPr>
      <xdr:spPr bwMode="auto">
        <a:xfrm>
          <a:off x="5830843" y="3076495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70072</xdr:colOff>
      <xdr:row>16</xdr:row>
      <xdr:rowOff>180895</xdr:rowOff>
    </xdr:from>
    <xdr:to>
      <xdr:col>22</xdr:col>
      <xdr:colOff>70072</xdr:colOff>
      <xdr:row>17</xdr:row>
      <xdr:rowOff>15526</xdr:rowOff>
    </xdr:to>
    <xdr:cxnSp macro="">
      <xdr:nvCxnSpPr>
        <xdr:cNvPr id="67847" name="直線コネクタ 67846"/>
        <xdr:cNvCxnSpPr/>
      </xdr:nvCxnSpPr>
      <xdr:spPr bwMode="auto">
        <a:xfrm flipV="1">
          <a:off x="668042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16</xdr:row>
      <xdr:rowOff>180895</xdr:rowOff>
    </xdr:from>
    <xdr:to>
      <xdr:col>22</xdr:col>
      <xdr:colOff>109538</xdr:colOff>
      <xdr:row>17</xdr:row>
      <xdr:rowOff>15526</xdr:rowOff>
    </xdr:to>
    <xdr:cxnSp macro="">
      <xdr:nvCxnSpPr>
        <xdr:cNvPr id="67848" name="直線コネクタ 67847"/>
        <xdr:cNvCxnSpPr/>
      </xdr:nvCxnSpPr>
      <xdr:spPr bwMode="auto">
        <a:xfrm flipV="1">
          <a:off x="6719888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70072</xdr:colOff>
      <xdr:row>16</xdr:row>
      <xdr:rowOff>180895</xdr:rowOff>
    </xdr:from>
    <xdr:to>
      <xdr:col>22</xdr:col>
      <xdr:colOff>109538</xdr:colOff>
      <xdr:row>16</xdr:row>
      <xdr:rowOff>180895</xdr:rowOff>
    </xdr:to>
    <xdr:cxnSp macro="">
      <xdr:nvCxnSpPr>
        <xdr:cNvPr id="67849" name="直線コネクタ 67848"/>
        <xdr:cNvCxnSpPr/>
      </xdr:nvCxnSpPr>
      <xdr:spPr bwMode="auto">
        <a:xfrm>
          <a:off x="6680422" y="3076495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16</xdr:row>
      <xdr:rowOff>180895</xdr:rowOff>
    </xdr:from>
    <xdr:to>
      <xdr:col>22</xdr:col>
      <xdr:colOff>109538</xdr:colOff>
      <xdr:row>17</xdr:row>
      <xdr:rowOff>15526</xdr:rowOff>
    </xdr:to>
    <xdr:cxnSp macro="">
      <xdr:nvCxnSpPr>
        <xdr:cNvPr id="67850" name="直線コネクタ 67849"/>
        <xdr:cNvCxnSpPr/>
      </xdr:nvCxnSpPr>
      <xdr:spPr bwMode="auto">
        <a:xfrm flipV="1">
          <a:off x="6719888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149003</xdr:colOff>
      <xdr:row>16</xdr:row>
      <xdr:rowOff>180895</xdr:rowOff>
    </xdr:from>
    <xdr:to>
      <xdr:col>22</xdr:col>
      <xdr:colOff>149003</xdr:colOff>
      <xdr:row>17</xdr:row>
      <xdr:rowOff>15526</xdr:rowOff>
    </xdr:to>
    <xdr:cxnSp macro="">
      <xdr:nvCxnSpPr>
        <xdr:cNvPr id="67851" name="直線コネクタ 67850"/>
        <xdr:cNvCxnSpPr/>
      </xdr:nvCxnSpPr>
      <xdr:spPr bwMode="auto">
        <a:xfrm flipV="1">
          <a:off x="675935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16</xdr:row>
      <xdr:rowOff>180895</xdr:rowOff>
    </xdr:from>
    <xdr:to>
      <xdr:col>22</xdr:col>
      <xdr:colOff>149003</xdr:colOff>
      <xdr:row>16</xdr:row>
      <xdr:rowOff>180895</xdr:rowOff>
    </xdr:to>
    <xdr:cxnSp macro="">
      <xdr:nvCxnSpPr>
        <xdr:cNvPr id="67852" name="直線コネクタ 67851"/>
        <xdr:cNvCxnSpPr/>
      </xdr:nvCxnSpPr>
      <xdr:spPr bwMode="auto">
        <a:xfrm>
          <a:off x="6719888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149003</xdr:colOff>
      <xdr:row>16</xdr:row>
      <xdr:rowOff>180895</xdr:rowOff>
    </xdr:from>
    <xdr:to>
      <xdr:col>22</xdr:col>
      <xdr:colOff>149003</xdr:colOff>
      <xdr:row>17</xdr:row>
      <xdr:rowOff>15526</xdr:rowOff>
    </xdr:to>
    <xdr:cxnSp macro="">
      <xdr:nvCxnSpPr>
        <xdr:cNvPr id="67853" name="直線コネクタ 67852"/>
        <xdr:cNvCxnSpPr/>
      </xdr:nvCxnSpPr>
      <xdr:spPr bwMode="auto">
        <a:xfrm flipV="1">
          <a:off x="675935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122282</xdr:colOff>
      <xdr:row>16</xdr:row>
      <xdr:rowOff>180895</xdr:rowOff>
    </xdr:from>
    <xdr:to>
      <xdr:col>26</xdr:col>
      <xdr:colOff>122282</xdr:colOff>
      <xdr:row>17</xdr:row>
      <xdr:rowOff>15526</xdr:rowOff>
    </xdr:to>
    <xdr:cxnSp macro="">
      <xdr:nvCxnSpPr>
        <xdr:cNvPr id="67854" name="直線コネクタ 67853"/>
        <xdr:cNvCxnSpPr/>
      </xdr:nvCxnSpPr>
      <xdr:spPr bwMode="auto">
        <a:xfrm flipV="1">
          <a:off x="760893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149003</xdr:colOff>
      <xdr:row>16</xdr:row>
      <xdr:rowOff>180895</xdr:rowOff>
    </xdr:from>
    <xdr:to>
      <xdr:col>26</xdr:col>
      <xdr:colOff>122282</xdr:colOff>
      <xdr:row>16</xdr:row>
      <xdr:rowOff>180895</xdr:rowOff>
    </xdr:to>
    <xdr:cxnSp macro="">
      <xdr:nvCxnSpPr>
        <xdr:cNvPr id="67855" name="直線コネクタ 67854"/>
        <xdr:cNvCxnSpPr/>
      </xdr:nvCxnSpPr>
      <xdr:spPr bwMode="auto">
        <a:xfrm>
          <a:off x="6759353" y="3076495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122282</xdr:colOff>
      <xdr:row>16</xdr:row>
      <xdr:rowOff>180895</xdr:rowOff>
    </xdr:from>
    <xdr:to>
      <xdr:col>26</xdr:col>
      <xdr:colOff>122282</xdr:colOff>
      <xdr:row>17</xdr:row>
      <xdr:rowOff>15526</xdr:rowOff>
    </xdr:to>
    <xdr:cxnSp macro="">
      <xdr:nvCxnSpPr>
        <xdr:cNvPr id="67856" name="直線コネクタ 67855"/>
        <xdr:cNvCxnSpPr/>
      </xdr:nvCxnSpPr>
      <xdr:spPr bwMode="auto">
        <a:xfrm flipV="1">
          <a:off x="760893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16</xdr:row>
      <xdr:rowOff>180895</xdr:rowOff>
    </xdr:from>
    <xdr:to>
      <xdr:col>26</xdr:col>
      <xdr:colOff>161747</xdr:colOff>
      <xdr:row>17</xdr:row>
      <xdr:rowOff>15526</xdr:rowOff>
    </xdr:to>
    <xdr:cxnSp macro="">
      <xdr:nvCxnSpPr>
        <xdr:cNvPr id="67857" name="直線コネクタ 67856"/>
        <xdr:cNvCxnSpPr/>
      </xdr:nvCxnSpPr>
      <xdr:spPr bwMode="auto">
        <a:xfrm flipV="1">
          <a:off x="7648397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122282</xdr:colOff>
      <xdr:row>16</xdr:row>
      <xdr:rowOff>180895</xdr:rowOff>
    </xdr:from>
    <xdr:to>
      <xdr:col>26</xdr:col>
      <xdr:colOff>161747</xdr:colOff>
      <xdr:row>16</xdr:row>
      <xdr:rowOff>180895</xdr:rowOff>
    </xdr:to>
    <xdr:cxnSp macro="">
      <xdr:nvCxnSpPr>
        <xdr:cNvPr id="67858" name="直線コネクタ 67857"/>
        <xdr:cNvCxnSpPr/>
      </xdr:nvCxnSpPr>
      <xdr:spPr bwMode="auto">
        <a:xfrm>
          <a:off x="7608932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16</xdr:row>
      <xdr:rowOff>180895</xdr:rowOff>
    </xdr:from>
    <xdr:to>
      <xdr:col>26</xdr:col>
      <xdr:colOff>161747</xdr:colOff>
      <xdr:row>17</xdr:row>
      <xdr:rowOff>15526</xdr:rowOff>
    </xdr:to>
    <xdr:cxnSp macro="">
      <xdr:nvCxnSpPr>
        <xdr:cNvPr id="67859" name="直線コネクタ 67858"/>
        <xdr:cNvCxnSpPr/>
      </xdr:nvCxnSpPr>
      <xdr:spPr bwMode="auto">
        <a:xfrm flipV="1">
          <a:off x="7648397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201213</xdr:colOff>
      <xdr:row>16</xdr:row>
      <xdr:rowOff>180895</xdr:rowOff>
    </xdr:from>
    <xdr:to>
      <xdr:col>26</xdr:col>
      <xdr:colOff>201213</xdr:colOff>
      <xdr:row>17</xdr:row>
      <xdr:rowOff>15526</xdr:rowOff>
    </xdr:to>
    <xdr:cxnSp macro="">
      <xdr:nvCxnSpPr>
        <xdr:cNvPr id="67860" name="直線コネクタ 67859"/>
        <xdr:cNvCxnSpPr/>
      </xdr:nvCxnSpPr>
      <xdr:spPr bwMode="auto">
        <a:xfrm flipV="1">
          <a:off x="768786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16</xdr:row>
      <xdr:rowOff>180895</xdr:rowOff>
    </xdr:from>
    <xdr:to>
      <xdr:col>26</xdr:col>
      <xdr:colOff>201213</xdr:colOff>
      <xdr:row>16</xdr:row>
      <xdr:rowOff>180895</xdr:rowOff>
    </xdr:to>
    <xdr:cxnSp macro="">
      <xdr:nvCxnSpPr>
        <xdr:cNvPr id="67861" name="直線コネクタ 67860"/>
        <xdr:cNvCxnSpPr/>
      </xdr:nvCxnSpPr>
      <xdr:spPr bwMode="auto">
        <a:xfrm>
          <a:off x="7648397" y="3076495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201213</xdr:colOff>
      <xdr:row>16</xdr:row>
      <xdr:rowOff>180895</xdr:rowOff>
    </xdr:from>
    <xdr:to>
      <xdr:col>26</xdr:col>
      <xdr:colOff>201213</xdr:colOff>
      <xdr:row>17</xdr:row>
      <xdr:rowOff>15526</xdr:rowOff>
    </xdr:to>
    <xdr:cxnSp macro="">
      <xdr:nvCxnSpPr>
        <xdr:cNvPr id="67862" name="直線コネクタ 67861"/>
        <xdr:cNvCxnSpPr/>
      </xdr:nvCxnSpPr>
      <xdr:spPr bwMode="auto">
        <a:xfrm flipV="1">
          <a:off x="768786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174492</xdr:colOff>
      <xdr:row>16</xdr:row>
      <xdr:rowOff>180895</xdr:rowOff>
    </xdr:from>
    <xdr:to>
      <xdr:col>30</xdr:col>
      <xdr:colOff>174492</xdr:colOff>
      <xdr:row>17</xdr:row>
      <xdr:rowOff>15526</xdr:rowOff>
    </xdr:to>
    <xdr:cxnSp macro="">
      <xdr:nvCxnSpPr>
        <xdr:cNvPr id="67863" name="直線コネクタ 67862"/>
        <xdr:cNvCxnSpPr/>
      </xdr:nvCxnSpPr>
      <xdr:spPr bwMode="auto">
        <a:xfrm flipV="1">
          <a:off x="853744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201213</xdr:colOff>
      <xdr:row>16</xdr:row>
      <xdr:rowOff>180895</xdr:rowOff>
    </xdr:from>
    <xdr:to>
      <xdr:col>30</xdr:col>
      <xdr:colOff>174492</xdr:colOff>
      <xdr:row>16</xdr:row>
      <xdr:rowOff>180895</xdr:rowOff>
    </xdr:to>
    <xdr:cxnSp macro="">
      <xdr:nvCxnSpPr>
        <xdr:cNvPr id="67864" name="直線コネクタ 67863"/>
        <xdr:cNvCxnSpPr/>
      </xdr:nvCxnSpPr>
      <xdr:spPr bwMode="auto">
        <a:xfrm>
          <a:off x="7687863" y="3076495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174492</xdr:colOff>
      <xdr:row>16</xdr:row>
      <xdr:rowOff>180895</xdr:rowOff>
    </xdr:from>
    <xdr:to>
      <xdr:col>30</xdr:col>
      <xdr:colOff>174492</xdr:colOff>
      <xdr:row>17</xdr:row>
      <xdr:rowOff>15526</xdr:rowOff>
    </xdr:to>
    <xdr:cxnSp macro="">
      <xdr:nvCxnSpPr>
        <xdr:cNvPr id="67865" name="直線コネクタ 67864"/>
        <xdr:cNvCxnSpPr/>
      </xdr:nvCxnSpPr>
      <xdr:spPr bwMode="auto">
        <a:xfrm flipV="1">
          <a:off x="853744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16</xdr:row>
      <xdr:rowOff>180895</xdr:rowOff>
    </xdr:from>
    <xdr:to>
      <xdr:col>30</xdr:col>
      <xdr:colOff>213957</xdr:colOff>
      <xdr:row>17</xdr:row>
      <xdr:rowOff>15526</xdr:rowOff>
    </xdr:to>
    <xdr:cxnSp macro="">
      <xdr:nvCxnSpPr>
        <xdr:cNvPr id="67866" name="直線コネクタ 67865"/>
        <xdr:cNvCxnSpPr/>
      </xdr:nvCxnSpPr>
      <xdr:spPr bwMode="auto">
        <a:xfrm flipV="1">
          <a:off x="8576907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174492</xdr:colOff>
      <xdr:row>16</xdr:row>
      <xdr:rowOff>180895</xdr:rowOff>
    </xdr:from>
    <xdr:to>
      <xdr:col>30</xdr:col>
      <xdr:colOff>213957</xdr:colOff>
      <xdr:row>16</xdr:row>
      <xdr:rowOff>180895</xdr:rowOff>
    </xdr:to>
    <xdr:cxnSp macro="">
      <xdr:nvCxnSpPr>
        <xdr:cNvPr id="67867" name="直線コネクタ 67866"/>
        <xdr:cNvCxnSpPr/>
      </xdr:nvCxnSpPr>
      <xdr:spPr bwMode="auto">
        <a:xfrm>
          <a:off x="8537442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16</xdr:row>
      <xdr:rowOff>180895</xdr:rowOff>
    </xdr:from>
    <xdr:to>
      <xdr:col>30</xdr:col>
      <xdr:colOff>213957</xdr:colOff>
      <xdr:row>17</xdr:row>
      <xdr:rowOff>15526</xdr:rowOff>
    </xdr:to>
    <xdr:cxnSp macro="">
      <xdr:nvCxnSpPr>
        <xdr:cNvPr id="67868" name="直線コネクタ 67867"/>
        <xdr:cNvCxnSpPr/>
      </xdr:nvCxnSpPr>
      <xdr:spPr bwMode="auto">
        <a:xfrm flipV="1">
          <a:off x="8576907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34348</xdr:colOff>
      <xdr:row>16</xdr:row>
      <xdr:rowOff>180895</xdr:rowOff>
    </xdr:from>
    <xdr:to>
      <xdr:col>31</xdr:col>
      <xdr:colOff>34348</xdr:colOff>
      <xdr:row>17</xdr:row>
      <xdr:rowOff>15526</xdr:rowOff>
    </xdr:to>
    <xdr:cxnSp macro="">
      <xdr:nvCxnSpPr>
        <xdr:cNvPr id="67869" name="直線コネクタ 67868"/>
        <xdr:cNvCxnSpPr/>
      </xdr:nvCxnSpPr>
      <xdr:spPr bwMode="auto">
        <a:xfrm flipV="1">
          <a:off x="861637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16</xdr:row>
      <xdr:rowOff>180895</xdr:rowOff>
    </xdr:from>
    <xdr:to>
      <xdr:col>31</xdr:col>
      <xdr:colOff>34348</xdr:colOff>
      <xdr:row>16</xdr:row>
      <xdr:rowOff>180895</xdr:rowOff>
    </xdr:to>
    <xdr:cxnSp macro="">
      <xdr:nvCxnSpPr>
        <xdr:cNvPr id="67870" name="直線コネクタ 67869"/>
        <xdr:cNvCxnSpPr/>
      </xdr:nvCxnSpPr>
      <xdr:spPr bwMode="auto">
        <a:xfrm>
          <a:off x="8576907" y="3076495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34348</xdr:colOff>
      <xdr:row>16</xdr:row>
      <xdr:rowOff>180895</xdr:rowOff>
    </xdr:from>
    <xdr:to>
      <xdr:col>31</xdr:col>
      <xdr:colOff>34348</xdr:colOff>
      <xdr:row>17</xdr:row>
      <xdr:rowOff>15526</xdr:rowOff>
    </xdr:to>
    <xdr:cxnSp macro="">
      <xdr:nvCxnSpPr>
        <xdr:cNvPr id="67871" name="直線コネクタ 67870"/>
        <xdr:cNvCxnSpPr/>
      </xdr:nvCxnSpPr>
      <xdr:spPr bwMode="auto">
        <a:xfrm flipV="1">
          <a:off x="8616373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7627</xdr:colOff>
      <xdr:row>16</xdr:row>
      <xdr:rowOff>180895</xdr:rowOff>
    </xdr:from>
    <xdr:to>
      <xdr:col>35</xdr:col>
      <xdr:colOff>7627</xdr:colOff>
      <xdr:row>17</xdr:row>
      <xdr:rowOff>15526</xdr:rowOff>
    </xdr:to>
    <xdr:cxnSp macro="">
      <xdr:nvCxnSpPr>
        <xdr:cNvPr id="67872" name="直線コネクタ 67871"/>
        <xdr:cNvCxnSpPr/>
      </xdr:nvCxnSpPr>
      <xdr:spPr bwMode="auto">
        <a:xfrm flipV="1">
          <a:off x="946595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34348</xdr:colOff>
      <xdr:row>16</xdr:row>
      <xdr:rowOff>180895</xdr:rowOff>
    </xdr:from>
    <xdr:to>
      <xdr:col>35</xdr:col>
      <xdr:colOff>7627</xdr:colOff>
      <xdr:row>16</xdr:row>
      <xdr:rowOff>180895</xdr:rowOff>
    </xdr:to>
    <xdr:cxnSp macro="">
      <xdr:nvCxnSpPr>
        <xdr:cNvPr id="67873" name="直線コネクタ 67872"/>
        <xdr:cNvCxnSpPr/>
      </xdr:nvCxnSpPr>
      <xdr:spPr bwMode="auto">
        <a:xfrm>
          <a:off x="8616373" y="3076495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7627</xdr:colOff>
      <xdr:row>16</xdr:row>
      <xdr:rowOff>180895</xdr:rowOff>
    </xdr:from>
    <xdr:to>
      <xdr:col>35</xdr:col>
      <xdr:colOff>7627</xdr:colOff>
      <xdr:row>17</xdr:row>
      <xdr:rowOff>15526</xdr:rowOff>
    </xdr:to>
    <xdr:cxnSp macro="">
      <xdr:nvCxnSpPr>
        <xdr:cNvPr id="67874" name="直線コネクタ 67873"/>
        <xdr:cNvCxnSpPr/>
      </xdr:nvCxnSpPr>
      <xdr:spPr bwMode="auto">
        <a:xfrm flipV="1">
          <a:off x="946595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16</xdr:row>
      <xdr:rowOff>180895</xdr:rowOff>
    </xdr:from>
    <xdr:to>
      <xdr:col>35</xdr:col>
      <xdr:colOff>47092</xdr:colOff>
      <xdr:row>17</xdr:row>
      <xdr:rowOff>15526</xdr:rowOff>
    </xdr:to>
    <xdr:cxnSp macro="">
      <xdr:nvCxnSpPr>
        <xdr:cNvPr id="67875" name="直線コネクタ 67874"/>
        <xdr:cNvCxnSpPr/>
      </xdr:nvCxnSpPr>
      <xdr:spPr bwMode="auto">
        <a:xfrm flipV="1">
          <a:off x="9505417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7627</xdr:colOff>
      <xdr:row>16</xdr:row>
      <xdr:rowOff>180895</xdr:rowOff>
    </xdr:from>
    <xdr:to>
      <xdr:col>35</xdr:col>
      <xdr:colOff>47092</xdr:colOff>
      <xdr:row>16</xdr:row>
      <xdr:rowOff>180895</xdr:rowOff>
    </xdr:to>
    <xdr:cxnSp macro="">
      <xdr:nvCxnSpPr>
        <xdr:cNvPr id="67876" name="直線コネクタ 67875"/>
        <xdr:cNvCxnSpPr/>
      </xdr:nvCxnSpPr>
      <xdr:spPr bwMode="auto">
        <a:xfrm>
          <a:off x="9465952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16</xdr:row>
      <xdr:rowOff>180895</xdr:rowOff>
    </xdr:from>
    <xdr:to>
      <xdr:col>35</xdr:col>
      <xdr:colOff>47092</xdr:colOff>
      <xdr:row>17</xdr:row>
      <xdr:rowOff>15526</xdr:rowOff>
    </xdr:to>
    <xdr:cxnSp macro="">
      <xdr:nvCxnSpPr>
        <xdr:cNvPr id="67877" name="直線コネクタ 67876"/>
        <xdr:cNvCxnSpPr/>
      </xdr:nvCxnSpPr>
      <xdr:spPr bwMode="auto">
        <a:xfrm flipV="1">
          <a:off x="9505417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86557</xdr:colOff>
      <xdr:row>16</xdr:row>
      <xdr:rowOff>180895</xdr:rowOff>
    </xdr:from>
    <xdr:to>
      <xdr:col>35</xdr:col>
      <xdr:colOff>86557</xdr:colOff>
      <xdr:row>17</xdr:row>
      <xdr:rowOff>15526</xdr:rowOff>
    </xdr:to>
    <xdr:cxnSp macro="">
      <xdr:nvCxnSpPr>
        <xdr:cNvPr id="67878" name="直線コネクタ 67877"/>
        <xdr:cNvCxnSpPr/>
      </xdr:nvCxnSpPr>
      <xdr:spPr bwMode="auto">
        <a:xfrm flipV="1">
          <a:off x="954488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16</xdr:row>
      <xdr:rowOff>180895</xdr:rowOff>
    </xdr:from>
    <xdr:to>
      <xdr:col>35</xdr:col>
      <xdr:colOff>86557</xdr:colOff>
      <xdr:row>16</xdr:row>
      <xdr:rowOff>180895</xdr:rowOff>
    </xdr:to>
    <xdr:cxnSp macro="">
      <xdr:nvCxnSpPr>
        <xdr:cNvPr id="67879" name="直線コネクタ 67878"/>
        <xdr:cNvCxnSpPr/>
      </xdr:nvCxnSpPr>
      <xdr:spPr bwMode="auto">
        <a:xfrm>
          <a:off x="9505417" y="3076495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86557</xdr:colOff>
      <xdr:row>16</xdr:row>
      <xdr:rowOff>180895</xdr:rowOff>
    </xdr:from>
    <xdr:to>
      <xdr:col>35</xdr:col>
      <xdr:colOff>86557</xdr:colOff>
      <xdr:row>17</xdr:row>
      <xdr:rowOff>15526</xdr:rowOff>
    </xdr:to>
    <xdr:cxnSp macro="">
      <xdr:nvCxnSpPr>
        <xdr:cNvPr id="67880" name="直線コネクタ 67879"/>
        <xdr:cNvCxnSpPr/>
      </xdr:nvCxnSpPr>
      <xdr:spPr bwMode="auto">
        <a:xfrm flipV="1">
          <a:off x="9544882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92075</xdr:colOff>
      <xdr:row>16</xdr:row>
      <xdr:rowOff>180895</xdr:rowOff>
    </xdr:from>
    <xdr:to>
      <xdr:col>36</xdr:col>
      <xdr:colOff>92075</xdr:colOff>
      <xdr:row>17</xdr:row>
      <xdr:rowOff>15526</xdr:rowOff>
    </xdr:to>
    <xdr:cxnSp macro="">
      <xdr:nvCxnSpPr>
        <xdr:cNvPr id="67881" name="直線コネクタ 67880"/>
        <xdr:cNvCxnSpPr/>
      </xdr:nvCxnSpPr>
      <xdr:spPr bwMode="auto">
        <a:xfrm flipV="1">
          <a:off x="9769475" y="3076495"/>
          <a:ext cx="0" cy="156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86557</xdr:colOff>
      <xdr:row>16</xdr:row>
      <xdr:rowOff>180895</xdr:rowOff>
    </xdr:from>
    <xdr:to>
      <xdr:col>36</xdr:col>
      <xdr:colOff>92075</xdr:colOff>
      <xdr:row>16</xdr:row>
      <xdr:rowOff>180895</xdr:rowOff>
    </xdr:to>
    <xdr:cxnSp macro="">
      <xdr:nvCxnSpPr>
        <xdr:cNvPr id="67882" name="直線コネクタ 67881"/>
        <xdr:cNvCxnSpPr/>
      </xdr:nvCxnSpPr>
      <xdr:spPr bwMode="auto">
        <a:xfrm>
          <a:off x="9544882" y="3076495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153758</xdr:colOff>
      <xdr:row>15</xdr:row>
      <xdr:rowOff>123730</xdr:rowOff>
    </xdr:from>
    <xdr:to>
      <xdr:col>9</xdr:col>
      <xdr:colOff>153758</xdr:colOff>
      <xdr:row>17</xdr:row>
      <xdr:rowOff>15526</xdr:rowOff>
    </xdr:to>
    <xdr:cxnSp macro="">
      <xdr:nvCxnSpPr>
        <xdr:cNvPr id="67883" name="直線コネクタ 67882"/>
        <xdr:cNvCxnSpPr/>
      </xdr:nvCxnSpPr>
      <xdr:spPr bwMode="auto">
        <a:xfrm flipV="1">
          <a:off x="3916133" y="2838355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25497</xdr:colOff>
      <xdr:row>16</xdr:row>
      <xdr:rowOff>32408</xdr:rowOff>
    </xdr:from>
    <xdr:to>
      <xdr:col>14</xdr:col>
      <xdr:colOff>25497</xdr:colOff>
      <xdr:row>17</xdr:row>
      <xdr:rowOff>15526</xdr:rowOff>
    </xdr:to>
    <xdr:cxnSp macro="">
      <xdr:nvCxnSpPr>
        <xdr:cNvPr id="67884" name="直線コネクタ 67883"/>
        <xdr:cNvCxnSpPr/>
      </xdr:nvCxnSpPr>
      <xdr:spPr bwMode="auto">
        <a:xfrm flipV="1">
          <a:off x="4883247" y="2928008"/>
          <a:ext cx="0" cy="1640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63786</xdr:colOff>
      <xdr:row>16</xdr:row>
      <xdr:rowOff>73973</xdr:rowOff>
    </xdr:from>
    <xdr:to>
      <xdr:col>18</xdr:col>
      <xdr:colOff>63786</xdr:colOff>
      <xdr:row>17</xdr:row>
      <xdr:rowOff>15526</xdr:rowOff>
    </xdr:to>
    <xdr:cxnSp macro="">
      <xdr:nvCxnSpPr>
        <xdr:cNvPr id="67885" name="直線コネクタ 67884"/>
        <xdr:cNvCxnSpPr/>
      </xdr:nvCxnSpPr>
      <xdr:spPr bwMode="auto">
        <a:xfrm flipV="1">
          <a:off x="5797836" y="2969573"/>
          <a:ext cx="0" cy="1225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16</xdr:row>
      <xdr:rowOff>87119</xdr:rowOff>
    </xdr:from>
    <xdr:to>
      <xdr:col>22</xdr:col>
      <xdr:colOff>109538</xdr:colOff>
      <xdr:row>17</xdr:row>
      <xdr:rowOff>15526</xdr:rowOff>
    </xdr:to>
    <xdr:cxnSp macro="">
      <xdr:nvCxnSpPr>
        <xdr:cNvPr id="67886" name="直線コネクタ 67885"/>
        <xdr:cNvCxnSpPr/>
      </xdr:nvCxnSpPr>
      <xdr:spPr bwMode="auto">
        <a:xfrm flipV="1">
          <a:off x="6719888" y="2982719"/>
          <a:ext cx="0" cy="109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155290</xdr:colOff>
      <xdr:row>16</xdr:row>
      <xdr:rowOff>73973</xdr:rowOff>
    </xdr:from>
    <xdr:to>
      <xdr:col>26</xdr:col>
      <xdr:colOff>155290</xdr:colOff>
      <xdr:row>17</xdr:row>
      <xdr:rowOff>15526</xdr:rowOff>
    </xdr:to>
    <xdr:cxnSp macro="">
      <xdr:nvCxnSpPr>
        <xdr:cNvPr id="67887" name="直線コネクタ 67886"/>
        <xdr:cNvCxnSpPr/>
      </xdr:nvCxnSpPr>
      <xdr:spPr bwMode="auto">
        <a:xfrm flipV="1">
          <a:off x="7641940" y="2969573"/>
          <a:ext cx="0" cy="1225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193579</xdr:colOff>
      <xdr:row>16</xdr:row>
      <xdr:rowOff>32408</xdr:rowOff>
    </xdr:from>
    <xdr:to>
      <xdr:col>30</xdr:col>
      <xdr:colOff>193579</xdr:colOff>
      <xdr:row>17</xdr:row>
      <xdr:rowOff>15526</xdr:rowOff>
    </xdr:to>
    <xdr:cxnSp macro="">
      <xdr:nvCxnSpPr>
        <xdr:cNvPr id="67888" name="直線コネクタ 67887"/>
        <xdr:cNvCxnSpPr/>
      </xdr:nvCxnSpPr>
      <xdr:spPr bwMode="auto">
        <a:xfrm flipV="1">
          <a:off x="8556529" y="2928008"/>
          <a:ext cx="0" cy="1640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65318</xdr:colOff>
      <xdr:row>15</xdr:row>
      <xdr:rowOff>123730</xdr:rowOff>
    </xdr:from>
    <xdr:to>
      <xdr:col>35</xdr:col>
      <xdr:colOff>65318</xdr:colOff>
      <xdr:row>17</xdr:row>
      <xdr:rowOff>15526</xdr:rowOff>
    </xdr:to>
    <xdr:cxnSp macro="">
      <xdr:nvCxnSpPr>
        <xdr:cNvPr id="67889" name="直線コネクタ 67888"/>
        <xdr:cNvCxnSpPr/>
      </xdr:nvCxnSpPr>
      <xdr:spPr bwMode="auto">
        <a:xfrm flipV="1">
          <a:off x="9523643" y="2838355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148082</xdr:colOff>
      <xdr:row>16</xdr:row>
      <xdr:rowOff>115470</xdr:rowOff>
    </xdr:from>
    <xdr:to>
      <xdr:col>10</xdr:col>
      <xdr:colOff>148082</xdr:colOff>
      <xdr:row>17</xdr:row>
      <xdr:rowOff>15526</xdr:rowOff>
    </xdr:to>
    <xdr:cxnSp macro="">
      <xdr:nvCxnSpPr>
        <xdr:cNvPr id="67890" name="直線コネクタ 67889"/>
        <xdr:cNvCxnSpPr/>
      </xdr:nvCxnSpPr>
      <xdr:spPr bwMode="auto">
        <a:xfrm flipV="1">
          <a:off x="4129532" y="3011070"/>
          <a:ext cx="0" cy="810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78137</xdr:colOff>
      <xdr:row>16</xdr:row>
      <xdr:rowOff>168461</xdr:rowOff>
    </xdr:from>
    <xdr:to>
      <xdr:col>18</xdr:col>
      <xdr:colOff>78137</xdr:colOff>
      <xdr:row>17</xdr:row>
      <xdr:rowOff>15526</xdr:rowOff>
    </xdr:to>
    <xdr:cxnSp macro="">
      <xdr:nvCxnSpPr>
        <xdr:cNvPr id="67891" name="直線コネクタ 67890"/>
        <xdr:cNvCxnSpPr/>
      </xdr:nvCxnSpPr>
      <xdr:spPr bwMode="auto">
        <a:xfrm flipV="1">
          <a:off x="5812187" y="3064061"/>
          <a:ext cx="0" cy="280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140939</xdr:colOff>
      <xdr:row>16</xdr:row>
      <xdr:rowOff>168461</xdr:rowOff>
    </xdr:from>
    <xdr:to>
      <xdr:col>26</xdr:col>
      <xdr:colOff>140939</xdr:colOff>
      <xdr:row>17</xdr:row>
      <xdr:rowOff>15526</xdr:rowOff>
    </xdr:to>
    <xdr:cxnSp macro="">
      <xdr:nvCxnSpPr>
        <xdr:cNvPr id="67892" name="直線コネクタ 67891"/>
        <xdr:cNvCxnSpPr/>
      </xdr:nvCxnSpPr>
      <xdr:spPr bwMode="auto">
        <a:xfrm flipV="1">
          <a:off x="7627589" y="3064061"/>
          <a:ext cx="0" cy="280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34</xdr:col>
      <xdr:colOff>70993</xdr:colOff>
      <xdr:row>16</xdr:row>
      <xdr:rowOff>115470</xdr:rowOff>
    </xdr:from>
    <xdr:to>
      <xdr:col>34</xdr:col>
      <xdr:colOff>70993</xdr:colOff>
      <xdr:row>17</xdr:row>
      <xdr:rowOff>15526</xdr:rowOff>
    </xdr:to>
    <xdr:cxnSp macro="">
      <xdr:nvCxnSpPr>
        <xdr:cNvPr id="67893" name="直線コネクタ 67892"/>
        <xdr:cNvCxnSpPr/>
      </xdr:nvCxnSpPr>
      <xdr:spPr bwMode="auto">
        <a:xfrm flipV="1">
          <a:off x="9310243" y="3011070"/>
          <a:ext cx="0" cy="810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18</xdr:row>
      <xdr:rowOff>85694</xdr:rowOff>
    </xdr:from>
    <xdr:to>
      <xdr:col>35</xdr:col>
      <xdr:colOff>47092</xdr:colOff>
      <xdr:row>22</xdr:row>
      <xdr:rowOff>165450</xdr:rowOff>
    </xdr:to>
    <xdr:cxnSp macro="">
      <xdr:nvCxnSpPr>
        <xdr:cNvPr id="67894" name="直線コネクタ 67893"/>
        <xdr:cNvCxnSpPr/>
      </xdr:nvCxnSpPr>
      <xdr:spPr bwMode="auto">
        <a:xfrm>
          <a:off x="3934359" y="3343244"/>
          <a:ext cx="5571058" cy="8036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18</xdr:row>
      <xdr:rowOff>85694</xdr:rowOff>
    </xdr:from>
    <xdr:to>
      <xdr:col>30</xdr:col>
      <xdr:colOff>213957</xdr:colOff>
      <xdr:row>22</xdr:row>
      <xdr:rowOff>165450</xdr:rowOff>
    </xdr:to>
    <xdr:cxnSp macro="">
      <xdr:nvCxnSpPr>
        <xdr:cNvPr id="67895" name="直線コネクタ 67894"/>
        <xdr:cNvCxnSpPr/>
      </xdr:nvCxnSpPr>
      <xdr:spPr bwMode="auto">
        <a:xfrm>
          <a:off x="4862868" y="3343244"/>
          <a:ext cx="3714039" cy="8036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18</xdr:row>
      <xdr:rowOff>85694</xdr:rowOff>
    </xdr:from>
    <xdr:to>
      <xdr:col>26</xdr:col>
      <xdr:colOff>161747</xdr:colOff>
      <xdr:row>22</xdr:row>
      <xdr:rowOff>165450</xdr:rowOff>
    </xdr:to>
    <xdr:cxnSp macro="">
      <xdr:nvCxnSpPr>
        <xdr:cNvPr id="67896" name="直線コネクタ 67895"/>
        <xdr:cNvCxnSpPr/>
      </xdr:nvCxnSpPr>
      <xdr:spPr bwMode="auto">
        <a:xfrm>
          <a:off x="5791378" y="3343244"/>
          <a:ext cx="1857019" cy="8036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18</xdr:row>
      <xdr:rowOff>85694</xdr:rowOff>
    </xdr:from>
    <xdr:to>
      <xdr:col>22</xdr:col>
      <xdr:colOff>109538</xdr:colOff>
      <xdr:row>22</xdr:row>
      <xdr:rowOff>165450</xdr:rowOff>
    </xdr:to>
    <xdr:cxnSp macro="">
      <xdr:nvCxnSpPr>
        <xdr:cNvPr id="67897" name="直線コネクタ 67896"/>
        <xdr:cNvCxnSpPr/>
      </xdr:nvCxnSpPr>
      <xdr:spPr bwMode="auto">
        <a:xfrm>
          <a:off x="6719888" y="3343244"/>
          <a:ext cx="0" cy="8036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18</xdr:row>
      <xdr:rowOff>85694</xdr:rowOff>
    </xdr:from>
    <xdr:to>
      <xdr:col>26</xdr:col>
      <xdr:colOff>161747</xdr:colOff>
      <xdr:row>22</xdr:row>
      <xdr:rowOff>165450</xdr:rowOff>
    </xdr:to>
    <xdr:cxnSp macro="">
      <xdr:nvCxnSpPr>
        <xdr:cNvPr id="67898" name="直線コネクタ 67897"/>
        <xdr:cNvCxnSpPr/>
      </xdr:nvCxnSpPr>
      <xdr:spPr bwMode="auto">
        <a:xfrm>
          <a:off x="7648397" y="3343244"/>
          <a:ext cx="0" cy="8036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18</xdr:row>
      <xdr:rowOff>85694</xdr:rowOff>
    </xdr:from>
    <xdr:to>
      <xdr:col>30</xdr:col>
      <xdr:colOff>213957</xdr:colOff>
      <xdr:row>22</xdr:row>
      <xdr:rowOff>165450</xdr:rowOff>
    </xdr:to>
    <xdr:cxnSp macro="">
      <xdr:nvCxnSpPr>
        <xdr:cNvPr id="67899" name="直線コネクタ 67898"/>
        <xdr:cNvCxnSpPr/>
      </xdr:nvCxnSpPr>
      <xdr:spPr bwMode="auto">
        <a:xfrm>
          <a:off x="8576907" y="3343244"/>
          <a:ext cx="0" cy="8036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18</xdr:row>
      <xdr:rowOff>85694</xdr:rowOff>
    </xdr:from>
    <xdr:to>
      <xdr:col>35</xdr:col>
      <xdr:colOff>47092</xdr:colOff>
      <xdr:row>22</xdr:row>
      <xdr:rowOff>165450</xdr:rowOff>
    </xdr:to>
    <xdr:cxnSp macro="">
      <xdr:nvCxnSpPr>
        <xdr:cNvPr id="67900" name="直線コネクタ 67899"/>
        <xdr:cNvCxnSpPr/>
      </xdr:nvCxnSpPr>
      <xdr:spPr bwMode="auto">
        <a:xfrm>
          <a:off x="9505417" y="3343244"/>
          <a:ext cx="0" cy="8036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901" name="テキスト ボックス 67900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902" name="直線コネクタ 67901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903" name="テキスト ボックス 67902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904" name="直線コネクタ 67903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37" zoomScaleNormal="100" workbookViewId="0">
      <selection activeCell="M73" sqref="M73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2" t="s">
        <v>180</v>
      </c>
      <c r="C13" s="172"/>
      <c r="D13" s="172"/>
      <c r="E13" s="172"/>
      <c r="F13" s="172"/>
      <c r="G13" s="172"/>
      <c r="H13" s="172"/>
      <c r="I13" s="172"/>
      <c r="J13" s="172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2" t="s">
        <v>180</v>
      </c>
      <c r="C15" s="172"/>
      <c r="D15" s="172"/>
      <c r="E15" s="172"/>
      <c r="F15" s="172"/>
      <c r="G15" s="172"/>
      <c r="H15" s="172"/>
      <c r="I15" s="172"/>
      <c r="J15" s="172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3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3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175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22" zoomScale="145" zoomScaleNormal="145" workbookViewId="0">
      <selection activeCell="B36" sqref="B36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145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146</v>
      </c>
      <c r="B5" s="22" t="s">
        <v>147</v>
      </c>
      <c r="C5" s="22" t="s">
        <v>149</v>
      </c>
      <c r="D5" s="23" t="s">
        <v>151</v>
      </c>
    </row>
    <row r="6" spans="1:4" ht="13.5" customHeight="1">
      <c r="A6" s="226">
        <v>1</v>
      </c>
      <c r="B6" s="149">
        <v>-21.249999999999996</v>
      </c>
      <c r="C6" s="149">
        <v>-7.35</v>
      </c>
      <c r="D6" s="40">
        <v>0</v>
      </c>
    </row>
    <row r="7" spans="1:4" ht="13.5" customHeight="1">
      <c r="A7" s="226">
        <v>2</v>
      </c>
      <c r="B7" s="149">
        <v>-19.684999999999999</v>
      </c>
      <c r="C7" s="149">
        <v>-7.35</v>
      </c>
      <c r="D7" s="40">
        <v>0</v>
      </c>
    </row>
    <row r="8" spans="1:4" ht="13.5" customHeight="1">
      <c r="A8" s="226">
        <v>3</v>
      </c>
      <c r="B8" s="149">
        <v>-19.41</v>
      </c>
      <c r="C8" s="149">
        <v>-7.35</v>
      </c>
      <c r="D8" s="40">
        <v>0</v>
      </c>
    </row>
    <row r="9" spans="1:4" ht="13.5" customHeight="1">
      <c r="A9" s="226">
        <v>4</v>
      </c>
      <c r="B9" s="149">
        <v>-19.135000000000002</v>
      </c>
      <c r="C9" s="149">
        <v>-7.35</v>
      </c>
      <c r="D9" s="40">
        <v>0</v>
      </c>
    </row>
    <row r="10" spans="1:4" ht="13.5" customHeight="1">
      <c r="A10" s="226">
        <v>5</v>
      </c>
      <c r="B10" s="149">
        <v>-13.215</v>
      </c>
      <c r="C10" s="149">
        <v>-7.35</v>
      </c>
      <c r="D10" s="40">
        <v>0</v>
      </c>
    </row>
    <row r="11" spans="1:4" ht="13.5" customHeight="1">
      <c r="A11" s="226">
        <v>6</v>
      </c>
      <c r="B11" s="149">
        <v>-12.94</v>
      </c>
      <c r="C11" s="149">
        <v>-7.35</v>
      </c>
      <c r="D11" s="40">
        <v>0</v>
      </c>
    </row>
    <row r="12" spans="1:4" ht="13.5" customHeight="1">
      <c r="A12" s="226">
        <v>7</v>
      </c>
      <c r="B12" s="149">
        <v>-12.664999999999999</v>
      </c>
      <c r="C12" s="149">
        <v>-7.35</v>
      </c>
      <c r="D12" s="40">
        <v>0</v>
      </c>
    </row>
    <row r="13" spans="1:4" ht="13.5" customHeight="1">
      <c r="A13" s="226">
        <v>8</v>
      </c>
      <c r="B13" s="149">
        <v>-6.7449999999999992</v>
      </c>
      <c r="C13" s="149">
        <v>-7.35</v>
      </c>
      <c r="D13" s="40"/>
    </row>
    <row r="14" spans="1:4" ht="13.5" customHeight="1">
      <c r="A14" s="226">
        <v>9</v>
      </c>
      <c r="B14" s="149">
        <v>-6.47</v>
      </c>
      <c r="C14" s="149">
        <v>-7.35</v>
      </c>
      <c r="D14" s="40"/>
    </row>
    <row r="15" spans="1:4" ht="13.5" customHeight="1">
      <c r="A15" s="226">
        <v>10</v>
      </c>
      <c r="B15" s="149">
        <v>-6.1950000000000003</v>
      </c>
      <c r="C15" s="149">
        <v>-7.35</v>
      </c>
      <c r="D15" s="40"/>
    </row>
    <row r="16" spans="1:4" ht="13.5" customHeight="1">
      <c r="A16" s="226">
        <v>11</v>
      </c>
      <c r="B16" s="149">
        <v>-0.27499999999999991</v>
      </c>
      <c r="C16" s="149">
        <v>-7.35</v>
      </c>
      <c r="D16" s="40"/>
    </row>
    <row r="17" spans="1:4" ht="13.5" customHeight="1">
      <c r="A17" s="226">
        <v>12</v>
      </c>
      <c r="B17" s="149">
        <v>0</v>
      </c>
      <c r="C17" s="149">
        <v>-7.35</v>
      </c>
      <c r="D17" s="40"/>
    </row>
    <row r="18" spans="1:4" ht="13.5" customHeight="1">
      <c r="A18" s="226">
        <v>13</v>
      </c>
      <c r="B18" s="149">
        <v>0.27499999999999991</v>
      </c>
      <c r="C18" s="149">
        <v>-7.35</v>
      </c>
      <c r="D18" s="40"/>
    </row>
    <row r="19" spans="1:4" ht="13.5" customHeight="1">
      <c r="A19" s="226">
        <v>14</v>
      </c>
      <c r="B19" s="149">
        <v>6.1950000000000003</v>
      </c>
      <c r="C19" s="149">
        <v>-7.35</v>
      </c>
    </row>
    <row r="20" spans="1:4" ht="13.5" customHeight="1">
      <c r="A20" s="226">
        <v>15</v>
      </c>
      <c r="B20" s="149">
        <v>6.47</v>
      </c>
      <c r="C20" s="149">
        <v>-7.35</v>
      </c>
    </row>
    <row r="21" spans="1:4" ht="13.5" customHeight="1">
      <c r="A21" s="226">
        <v>16</v>
      </c>
      <c r="B21" s="149">
        <v>6.7449999999999992</v>
      </c>
      <c r="C21" s="149">
        <v>-7.35</v>
      </c>
    </row>
    <row r="22" spans="1:4" ht="13.5" customHeight="1">
      <c r="A22" s="226">
        <v>17</v>
      </c>
      <c r="B22" s="149">
        <v>12.664999999999999</v>
      </c>
      <c r="C22" s="149">
        <v>-7.35</v>
      </c>
    </row>
    <row r="23" spans="1:4" ht="13.5" customHeight="1">
      <c r="A23" s="226">
        <v>18</v>
      </c>
      <c r="B23" s="149">
        <v>12.94</v>
      </c>
      <c r="C23" s="149">
        <v>-7.35</v>
      </c>
    </row>
    <row r="24" spans="1:4" ht="13.5" customHeight="1">
      <c r="A24" s="226">
        <v>19</v>
      </c>
      <c r="B24" s="149">
        <v>13.215</v>
      </c>
      <c r="C24" s="149">
        <v>-7.35</v>
      </c>
    </row>
    <row r="25" spans="1:4" ht="13.5" customHeight="1">
      <c r="A25" s="226">
        <v>20</v>
      </c>
      <c r="B25" s="149">
        <v>19.135000000000002</v>
      </c>
      <c r="C25" s="149">
        <v>-7.35</v>
      </c>
    </row>
    <row r="26" spans="1:4" ht="13.5" customHeight="1">
      <c r="A26" s="226">
        <v>21</v>
      </c>
      <c r="B26" s="149">
        <v>19.41</v>
      </c>
      <c r="C26" s="149">
        <v>-7.35</v>
      </c>
    </row>
    <row r="27" spans="1:4" ht="13.5" customHeight="1">
      <c r="A27" s="226">
        <v>22</v>
      </c>
      <c r="B27" s="149">
        <v>19.684999999999999</v>
      </c>
      <c r="C27" s="149">
        <v>-7.35</v>
      </c>
    </row>
    <row r="28" spans="1:4" ht="13.5" customHeight="1">
      <c r="A28" s="226">
        <v>23</v>
      </c>
      <c r="B28" s="149">
        <v>21.249999999999996</v>
      </c>
      <c r="C28" s="149">
        <v>-7.35</v>
      </c>
    </row>
    <row r="29" spans="1:4" ht="13.5" customHeight="1">
      <c r="A29" s="226">
        <v>24</v>
      </c>
      <c r="B29" s="149">
        <v>-19.41</v>
      </c>
      <c r="C29" s="149">
        <v>-6.1749999999999998</v>
      </c>
    </row>
    <row r="30" spans="1:4" ht="13.5" customHeight="1">
      <c r="A30" s="226">
        <v>25</v>
      </c>
      <c r="B30" s="149">
        <v>-12.94</v>
      </c>
      <c r="C30" s="149">
        <v>-6.1749999999999998</v>
      </c>
    </row>
    <row r="31" spans="1:4" ht="13.5" customHeight="1">
      <c r="A31" s="226">
        <v>26</v>
      </c>
      <c r="B31" s="149">
        <v>-6.47</v>
      </c>
      <c r="C31" s="149">
        <v>-6.1749999999999998</v>
      </c>
    </row>
    <row r="32" spans="1:4" ht="13.5" customHeight="1">
      <c r="A32" s="226">
        <v>27</v>
      </c>
      <c r="B32" s="149">
        <v>0</v>
      </c>
      <c r="C32" s="149">
        <v>-6.1749999999999998</v>
      </c>
    </row>
    <row r="33" spans="1:3" ht="13.5" customHeight="1">
      <c r="A33" s="226">
        <v>28</v>
      </c>
      <c r="B33" s="149">
        <v>6.47</v>
      </c>
      <c r="C33" s="149">
        <v>-6.1749999999999998</v>
      </c>
    </row>
    <row r="34" spans="1:3" ht="13.5" customHeight="1">
      <c r="A34" s="226">
        <v>29</v>
      </c>
      <c r="B34" s="149">
        <v>12.94</v>
      </c>
      <c r="C34" s="149">
        <v>-6.1749999999999998</v>
      </c>
    </row>
    <row r="35" spans="1:3" ht="13.5" customHeight="1">
      <c r="A35" s="226">
        <v>30</v>
      </c>
      <c r="B35" s="149">
        <v>19.41</v>
      </c>
      <c r="C35" s="149">
        <v>-6.1749999999999998</v>
      </c>
    </row>
    <row r="36" spans="1:3" ht="13.5" customHeight="1">
      <c r="A36" s="226">
        <v>31</v>
      </c>
      <c r="B36" s="149">
        <v>-19.41</v>
      </c>
      <c r="C36" s="149">
        <v>0</v>
      </c>
    </row>
    <row r="37" spans="1:3" ht="13.5" customHeight="1">
      <c r="A37" s="226">
        <v>32</v>
      </c>
      <c r="B37" s="149">
        <v>-12.94</v>
      </c>
      <c r="C37" s="149">
        <v>0</v>
      </c>
    </row>
    <row r="38" spans="1:3" ht="13.5" customHeight="1">
      <c r="A38" s="226">
        <v>33</v>
      </c>
      <c r="B38" s="149">
        <v>-6.47</v>
      </c>
      <c r="C38" s="149">
        <v>0</v>
      </c>
    </row>
    <row r="39" spans="1:3" ht="13.5" customHeight="1">
      <c r="A39" s="226">
        <v>34</v>
      </c>
      <c r="B39" s="149">
        <v>0</v>
      </c>
      <c r="C39" s="149">
        <v>0</v>
      </c>
    </row>
    <row r="40" spans="1:3" ht="13.5" customHeight="1">
      <c r="A40" s="226">
        <v>35</v>
      </c>
      <c r="B40" s="149">
        <v>6.47</v>
      </c>
      <c r="C40" s="149">
        <v>0</v>
      </c>
    </row>
    <row r="41" spans="1:3" ht="13.5" customHeight="1">
      <c r="A41" s="226">
        <v>36</v>
      </c>
      <c r="B41" s="149">
        <v>12.94</v>
      </c>
      <c r="C41" s="149">
        <v>0</v>
      </c>
    </row>
    <row r="42" spans="1:3" ht="13.5" customHeight="1">
      <c r="A42" s="226">
        <v>37</v>
      </c>
      <c r="B42" s="149">
        <v>19.41</v>
      </c>
      <c r="C42" s="149">
        <v>0</v>
      </c>
    </row>
    <row r="43" spans="1:3" ht="13.5" customHeight="1">
      <c r="B43" s="40"/>
      <c r="C43" s="40"/>
    </row>
    <row r="44" spans="1:3" ht="13.5" customHeight="1">
      <c r="B44" s="40"/>
      <c r="C44" s="40"/>
    </row>
    <row r="45" spans="1:3" ht="13.5" customHeight="1">
      <c r="B45" s="40"/>
      <c r="C45" s="40"/>
    </row>
    <row r="46" spans="1:3" ht="13.5" customHeight="1">
      <c r="B46" s="40"/>
      <c r="C46" s="40"/>
    </row>
    <row r="47" spans="1:3" ht="13.5" customHeight="1">
      <c r="B47" s="40"/>
      <c r="C47" s="40"/>
    </row>
    <row r="48" spans="1:3" ht="13.5" customHeight="1">
      <c r="B48" s="40"/>
      <c r="C48" s="40"/>
    </row>
    <row r="49" spans="2:3" ht="13.5" customHeight="1">
      <c r="B49" s="40"/>
      <c r="C49" s="40"/>
    </row>
    <row r="50" spans="2:3" ht="13.5" customHeight="1">
      <c r="B50" s="40"/>
      <c r="C50" s="40"/>
    </row>
    <row r="51" spans="2:3" ht="13.5" customHeight="1">
      <c r="B51" s="122"/>
      <c r="C51" s="40"/>
    </row>
    <row r="52" spans="2:3" ht="13.5" customHeight="1">
      <c r="B52" s="122"/>
      <c r="C52" s="40"/>
    </row>
    <row r="53" spans="2:3" ht="13.5" customHeight="1">
      <c r="B53" s="122"/>
      <c r="C53" s="40"/>
    </row>
    <row r="54" spans="2:3" ht="13.5" customHeight="1">
      <c r="B54" s="122"/>
      <c r="C54" s="40"/>
    </row>
    <row r="55" spans="2:3" ht="13.5" customHeight="1">
      <c r="B55" s="122"/>
      <c r="C55" s="40"/>
    </row>
    <row r="56" spans="2:3" ht="13.5" customHeight="1">
      <c r="B56" s="40"/>
      <c r="C56" s="40"/>
    </row>
    <row r="57" spans="2:3" ht="13.5" customHeight="1">
      <c r="B57" s="122"/>
      <c r="C57" s="40"/>
    </row>
    <row r="58" spans="2:3" ht="13.5" customHeight="1">
      <c r="B58" s="122"/>
      <c r="C58" s="40"/>
    </row>
    <row r="59" spans="2:3" ht="13.5" customHeight="1">
      <c r="B59" s="122"/>
      <c r="C59" s="40"/>
    </row>
    <row r="60" spans="2:3" ht="13.5" customHeight="1">
      <c r="B60" s="122"/>
      <c r="C60" s="40"/>
    </row>
    <row r="61" spans="2:3" ht="13.5" customHeight="1">
      <c r="B61" s="122"/>
      <c r="C61" s="40"/>
    </row>
    <row r="62" spans="2:3" ht="13.5" customHeight="1">
      <c r="B62" s="122"/>
      <c r="C62" s="40"/>
    </row>
    <row r="63" spans="2:3" ht="13.5" customHeight="1">
      <c r="B63" s="122"/>
      <c r="C63" s="40"/>
    </row>
    <row r="64" spans="2:3" ht="13.5" customHeight="1">
      <c r="B64" s="122"/>
      <c r="C64" s="40"/>
    </row>
    <row r="65" spans="2:3" ht="13.5" customHeight="1">
      <c r="B65" s="122"/>
      <c r="C65" s="40"/>
    </row>
    <row r="66" spans="2:3" ht="13.5" customHeight="1">
      <c r="B66" s="122"/>
      <c r="C66" s="40"/>
    </row>
    <row r="67" spans="2:3" ht="13.5" customHeight="1">
      <c r="B67" s="122"/>
      <c r="C67" s="40"/>
    </row>
    <row r="68" spans="2:3" ht="13.5" customHeight="1">
      <c r="B68" s="122"/>
      <c r="C68" s="40"/>
    </row>
    <row r="69" spans="2:3" ht="13.5" customHeight="1">
      <c r="B69" s="122"/>
      <c r="C69" s="40"/>
    </row>
    <row r="70" spans="2:3" ht="13.5" customHeight="1">
      <c r="B70" s="122"/>
      <c r="C70" s="40"/>
    </row>
    <row r="71" spans="2:3" ht="13.5" customHeight="1">
      <c r="B71" s="122"/>
      <c r="C71" s="40"/>
    </row>
    <row r="72" spans="2:3" ht="13.5" customHeight="1">
      <c r="B72" s="122"/>
      <c r="C72" s="40"/>
    </row>
    <row r="73" spans="2:3" ht="13.5" customHeight="1">
      <c r="B73" s="122"/>
      <c r="C73" s="40"/>
    </row>
    <row r="74" spans="2:3" ht="13.5" customHeight="1">
      <c r="B74" s="122"/>
      <c r="C74" s="40"/>
    </row>
    <row r="75" spans="2:3" ht="13.5" customHeight="1">
      <c r="B75" s="122"/>
      <c r="C75" s="40"/>
    </row>
    <row r="76" spans="2:3" ht="13.5" customHeight="1">
      <c r="B76" s="122"/>
      <c r="C76" s="40"/>
    </row>
    <row r="77" spans="2:3" ht="13.5" customHeight="1">
      <c r="B77" s="122"/>
      <c r="C77" s="40"/>
    </row>
    <row r="78" spans="2:3" ht="13.5" customHeight="1">
      <c r="B78" s="122"/>
      <c r="C78" s="40"/>
    </row>
    <row r="79" spans="2:3" ht="13.5" customHeight="1">
      <c r="B79" s="122"/>
      <c r="C79" s="40"/>
    </row>
    <row r="80" spans="2:3" ht="13.5" customHeight="1">
      <c r="B80" s="122"/>
      <c r="C80" s="40"/>
    </row>
    <row r="81" spans="2:3" ht="13.5" customHeight="1">
      <c r="B81" s="122"/>
      <c r="C81" s="40"/>
    </row>
    <row r="82" spans="2:3" ht="13.5" customHeight="1">
      <c r="B82" s="122"/>
      <c r="C82" s="40"/>
    </row>
    <row r="83" spans="2:3" ht="13.5" customHeight="1">
      <c r="B83" s="122"/>
      <c r="C83" s="40"/>
    </row>
    <row r="84" spans="2:3" ht="13.5" customHeight="1">
      <c r="B84" s="122"/>
      <c r="C84" s="40"/>
    </row>
    <row r="85" spans="2:3" ht="13.5" customHeight="1">
      <c r="B85" s="122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tabSelected="1" zoomScale="115" zoomScaleNormal="115" workbookViewId="0">
      <selection activeCell="D15" sqref="D15"/>
    </sheetView>
  </sheetViews>
  <sheetFormatPr defaultColWidth="13.625" defaultRowHeight="13.5" customHeight="1"/>
  <cols>
    <col min="1" max="1" width="8.875" style="42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6" t="s">
        <v>37</v>
      </c>
      <c r="B5" s="178" t="s">
        <v>152</v>
      </c>
      <c r="C5" s="178"/>
      <c r="D5" s="178"/>
      <c r="E5" s="178"/>
      <c r="F5" s="178"/>
      <c r="G5" s="178"/>
      <c r="H5" s="179" t="s">
        <v>50</v>
      </c>
      <c r="I5" s="179"/>
      <c r="J5" s="179"/>
      <c r="K5" s="179"/>
      <c r="L5" s="179"/>
      <c r="M5" s="179"/>
      <c r="N5" s="174" t="s">
        <v>153</v>
      </c>
      <c r="O5" s="174"/>
      <c r="P5" s="174"/>
      <c r="Q5" s="174"/>
      <c r="R5" s="174"/>
      <c r="S5" s="174"/>
    </row>
    <row r="6" spans="1:19" ht="13.5" customHeight="1">
      <c r="A6" s="176"/>
      <c r="B6" s="177" t="s">
        <v>33</v>
      </c>
      <c r="C6" s="177"/>
      <c r="D6" s="177"/>
      <c r="E6" s="177" t="s">
        <v>34</v>
      </c>
      <c r="F6" s="177"/>
      <c r="G6" s="177"/>
      <c r="H6" s="180" t="s">
        <v>33</v>
      </c>
      <c r="I6" s="180"/>
      <c r="J6" s="180"/>
      <c r="K6" s="180" t="s">
        <v>34</v>
      </c>
      <c r="L6" s="180"/>
      <c r="M6" s="180"/>
      <c r="N6" s="175" t="s">
        <v>33</v>
      </c>
      <c r="O6" s="175"/>
      <c r="P6" s="175"/>
      <c r="Q6" s="175" t="s">
        <v>34</v>
      </c>
      <c r="R6" s="175"/>
      <c r="S6" s="175"/>
    </row>
    <row r="7" spans="1:19" ht="13.5" customHeight="1">
      <c r="A7" s="176"/>
      <c r="B7" s="114" t="s">
        <v>147</v>
      </c>
      <c r="C7" s="114" t="s">
        <v>148</v>
      </c>
      <c r="D7" s="114" t="s">
        <v>150</v>
      </c>
      <c r="E7" s="114" t="s">
        <v>147</v>
      </c>
      <c r="F7" s="114" t="s">
        <v>148</v>
      </c>
      <c r="G7" s="114" t="s">
        <v>150</v>
      </c>
      <c r="H7" s="115" t="s">
        <v>147</v>
      </c>
      <c r="I7" s="115" t="s">
        <v>148</v>
      </c>
      <c r="J7" s="115" t="s">
        <v>150</v>
      </c>
      <c r="K7" s="115" t="s">
        <v>147</v>
      </c>
      <c r="L7" s="115" t="s">
        <v>148</v>
      </c>
      <c r="M7" s="115" t="s">
        <v>150</v>
      </c>
      <c r="N7" s="113" t="s">
        <v>147</v>
      </c>
      <c r="O7" s="113" t="s">
        <v>148</v>
      </c>
      <c r="P7" s="113" t="s">
        <v>150</v>
      </c>
      <c r="Q7" s="113" t="s">
        <v>147</v>
      </c>
      <c r="R7" s="113" t="s">
        <v>148</v>
      </c>
      <c r="S7" s="113" t="s">
        <v>150</v>
      </c>
    </row>
    <row r="8" spans="1:19" ht="13.5" customHeight="1">
      <c r="A8" s="150">
        <v>31</v>
      </c>
      <c r="B8" s="151">
        <v>1</v>
      </c>
      <c r="C8" s="151">
        <v>1</v>
      </c>
      <c r="D8" s="151">
        <v>0</v>
      </c>
      <c r="E8" s="151"/>
      <c r="F8" s="151"/>
      <c r="G8" s="151">
        <v>1</v>
      </c>
    </row>
    <row r="9" spans="1:19" ht="13.5" customHeight="1">
      <c r="A9" s="150">
        <v>32</v>
      </c>
      <c r="B9" s="151">
        <f t="shared" ref="B9:G14" si="0">B8</f>
        <v>1</v>
      </c>
      <c r="C9" s="151">
        <f t="shared" si="0"/>
        <v>1</v>
      </c>
      <c r="D9" s="151">
        <f t="shared" si="0"/>
        <v>0</v>
      </c>
      <c r="E9" s="151">
        <f t="shared" si="0"/>
        <v>0</v>
      </c>
      <c r="F9" s="151">
        <f t="shared" si="0"/>
        <v>0</v>
      </c>
      <c r="G9" s="151">
        <f t="shared" si="0"/>
        <v>1</v>
      </c>
    </row>
    <row r="10" spans="1:19" ht="13.5" customHeight="1">
      <c r="A10" s="150">
        <v>33</v>
      </c>
      <c r="B10" s="151">
        <f t="shared" si="0"/>
        <v>1</v>
      </c>
      <c r="C10" s="151">
        <f t="shared" si="0"/>
        <v>1</v>
      </c>
      <c r="D10" s="151">
        <f t="shared" si="0"/>
        <v>0</v>
      </c>
      <c r="E10" s="151">
        <f t="shared" si="0"/>
        <v>0</v>
      </c>
      <c r="F10" s="151">
        <f t="shared" si="0"/>
        <v>0</v>
      </c>
      <c r="G10" s="151">
        <f t="shared" si="0"/>
        <v>1</v>
      </c>
    </row>
    <row r="11" spans="1:19" ht="13.5" customHeight="1">
      <c r="A11" s="150">
        <v>34</v>
      </c>
      <c r="B11" s="151">
        <f t="shared" si="0"/>
        <v>1</v>
      </c>
      <c r="C11" s="151">
        <f t="shared" si="0"/>
        <v>1</v>
      </c>
      <c r="D11" s="151">
        <f t="shared" si="0"/>
        <v>0</v>
      </c>
      <c r="E11" s="151">
        <f t="shared" si="0"/>
        <v>0</v>
      </c>
      <c r="F11" s="151">
        <f t="shared" si="0"/>
        <v>0</v>
      </c>
      <c r="G11" s="151">
        <f t="shared" si="0"/>
        <v>1</v>
      </c>
    </row>
    <row r="12" spans="1:19" ht="13.5" customHeight="1">
      <c r="A12" s="150">
        <v>35</v>
      </c>
      <c r="B12" s="151">
        <f t="shared" si="0"/>
        <v>1</v>
      </c>
      <c r="C12" s="151">
        <f t="shared" si="0"/>
        <v>1</v>
      </c>
      <c r="D12" s="151">
        <f t="shared" si="0"/>
        <v>0</v>
      </c>
      <c r="E12" s="151">
        <f t="shared" si="0"/>
        <v>0</v>
      </c>
      <c r="F12" s="151">
        <f t="shared" si="0"/>
        <v>0</v>
      </c>
      <c r="G12" s="151">
        <f t="shared" si="0"/>
        <v>1</v>
      </c>
    </row>
    <row r="13" spans="1:19" ht="13.5" customHeight="1">
      <c r="A13" s="150">
        <v>36</v>
      </c>
      <c r="B13" s="151">
        <f t="shared" si="0"/>
        <v>1</v>
      </c>
      <c r="C13" s="151">
        <f t="shared" si="0"/>
        <v>1</v>
      </c>
      <c r="D13" s="151">
        <f t="shared" si="0"/>
        <v>0</v>
      </c>
      <c r="E13" s="151">
        <f t="shared" si="0"/>
        <v>0</v>
      </c>
      <c r="F13" s="151">
        <f t="shared" si="0"/>
        <v>0</v>
      </c>
      <c r="G13" s="151">
        <f t="shared" si="0"/>
        <v>1</v>
      </c>
    </row>
    <row r="14" spans="1:19" ht="13.5" customHeight="1">
      <c r="A14" s="150">
        <v>37</v>
      </c>
      <c r="B14" s="151">
        <f t="shared" si="0"/>
        <v>1</v>
      </c>
      <c r="C14" s="151">
        <f t="shared" si="0"/>
        <v>1</v>
      </c>
      <c r="D14" s="151">
        <f t="shared" si="0"/>
        <v>0</v>
      </c>
      <c r="E14" s="151">
        <f t="shared" si="0"/>
        <v>0</v>
      </c>
      <c r="F14" s="151">
        <f t="shared" si="0"/>
        <v>0</v>
      </c>
      <c r="G14" s="151">
        <f t="shared" si="0"/>
        <v>1</v>
      </c>
    </row>
    <row r="15" spans="1:19" ht="13.5" customHeight="1">
      <c r="A15" s="41"/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1"/>
  <sheetViews>
    <sheetView zoomScale="85" zoomScaleNormal="85" workbookViewId="0">
      <selection activeCell="C39" sqref="C39"/>
    </sheetView>
  </sheetViews>
  <sheetFormatPr defaultColWidth="10.875" defaultRowHeight="13.5" customHeight="1"/>
  <cols>
    <col min="1" max="1" width="10.875" style="22" customWidth="1"/>
    <col min="2" max="3" width="10.875" style="112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6" t="s">
        <v>154</v>
      </c>
      <c r="B5" s="118" t="s">
        <v>25</v>
      </c>
      <c r="C5" s="118" t="s">
        <v>26</v>
      </c>
      <c r="D5" s="118" t="s">
        <v>94</v>
      </c>
      <c r="E5" s="33" t="s">
        <v>108</v>
      </c>
      <c r="F5" s="33" t="s">
        <v>155</v>
      </c>
    </row>
    <row r="6" spans="1:7" ht="13.5" customHeight="1">
      <c r="A6" s="152">
        <v>1</v>
      </c>
      <c r="B6" s="153">
        <v>1</v>
      </c>
      <c r="C6" s="153">
        <v>2</v>
      </c>
      <c r="D6" s="154">
        <v>1.05</v>
      </c>
      <c r="E6" s="155">
        <v>1</v>
      </c>
      <c r="F6" s="35">
        <v>0</v>
      </c>
    </row>
    <row r="7" spans="1:7" ht="13.5" customHeight="1">
      <c r="A7" s="152">
        <v>2</v>
      </c>
      <c r="B7" s="153">
        <v>2</v>
      </c>
      <c r="C7" s="153">
        <v>3</v>
      </c>
      <c r="D7" s="154">
        <v>0.27500000000000002</v>
      </c>
      <c r="E7" s="155">
        <v>2</v>
      </c>
      <c r="F7" s="35">
        <v>0</v>
      </c>
    </row>
    <row r="8" spans="1:7" ht="13.5" customHeight="1">
      <c r="A8" s="152">
        <v>3</v>
      </c>
      <c r="B8" s="153">
        <v>3</v>
      </c>
      <c r="C8" s="153">
        <v>4</v>
      </c>
      <c r="D8" s="154">
        <v>0.27500000000000002</v>
      </c>
      <c r="E8" s="155">
        <f t="shared" ref="E8" si="0">E7</f>
        <v>2</v>
      </c>
      <c r="F8" s="35">
        <v>0</v>
      </c>
    </row>
    <row r="9" spans="1:7" ht="13.5" customHeight="1">
      <c r="A9" s="152">
        <v>4</v>
      </c>
      <c r="B9" s="153">
        <v>4</v>
      </c>
      <c r="C9" s="153">
        <v>5</v>
      </c>
      <c r="D9" s="154">
        <v>5.92</v>
      </c>
      <c r="E9" s="155">
        <v>1</v>
      </c>
      <c r="F9" s="35">
        <v>0</v>
      </c>
    </row>
    <row r="10" spans="1:7" ht="13.5" customHeight="1">
      <c r="A10" s="152">
        <v>5</v>
      </c>
      <c r="B10" s="153">
        <v>5</v>
      </c>
      <c r="C10" s="153">
        <v>6</v>
      </c>
      <c r="D10" s="154">
        <v>0.27500000000000002</v>
      </c>
      <c r="E10" s="155">
        <v>2</v>
      </c>
      <c r="F10" s="35">
        <v>0</v>
      </c>
    </row>
    <row r="11" spans="1:7" ht="13.5" customHeight="1">
      <c r="A11" s="152">
        <v>6</v>
      </c>
      <c r="B11" s="153">
        <v>6</v>
      </c>
      <c r="C11" s="153">
        <v>7</v>
      </c>
      <c r="D11" s="154">
        <v>0.27500000000000002</v>
      </c>
      <c r="E11" s="155">
        <v>2</v>
      </c>
      <c r="F11" s="35">
        <v>0</v>
      </c>
    </row>
    <row r="12" spans="1:7" ht="13.5" customHeight="1">
      <c r="A12" s="152">
        <v>7</v>
      </c>
      <c r="B12" s="153">
        <v>7</v>
      </c>
      <c r="C12" s="153">
        <v>8</v>
      </c>
      <c r="D12" s="154">
        <v>5.92</v>
      </c>
      <c r="E12" s="155">
        <v>1</v>
      </c>
    </row>
    <row r="13" spans="1:7" ht="13.5" customHeight="1">
      <c r="A13" s="152">
        <v>8</v>
      </c>
      <c r="B13" s="153">
        <v>8</v>
      </c>
      <c r="C13" s="153">
        <v>9</v>
      </c>
      <c r="D13" s="154">
        <v>0.27500000000000002</v>
      </c>
      <c r="E13" s="155">
        <v>2</v>
      </c>
    </row>
    <row r="14" spans="1:7" ht="13.5" customHeight="1">
      <c r="A14" s="152">
        <v>9</v>
      </c>
      <c r="B14" s="153">
        <v>9</v>
      </c>
      <c r="C14" s="153">
        <v>10</v>
      </c>
      <c r="D14" s="154">
        <v>0.27500000000000002</v>
      </c>
      <c r="E14" s="155">
        <v>2</v>
      </c>
    </row>
    <row r="15" spans="1:7" ht="13.5" customHeight="1">
      <c r="A15" s="152">
        <v>10</v>
      </c>
      <c r="B15" s="153">
        <v>10</v>
      </c>
      <c r="C15" s="153">
        <v>11</v>
      </c>
      <c r="D15" s="154">
        <v>5.92</v>
      </c>
      <c r="E15" s="155">
        <v>1</v>
      </c>
    </row>
    <row r="16" spans="1:7" ht="13.5" customHeight="1">
      <c r="A16" s="152">
        <v>11</v>
      </c>
      <c r="B16" s="153">
        <v>11</v>
      </c>
      <c r="C16" s="153">
        <v>12</v>
      </c>
      <c r="D16" s="154">
        <v>0.27500000000000002</v>
      </c>
      <c r="E16" s="155">
        <v>2</v>
      </c>
    </row>
    <row r="17" spans="1:5" ht="13.5" customHeight="1">
      <c r="A17" s="152">
        <v>12</v>
      </c>
      <c r="B17" s="153">
        <v>12</v>
      </c>
      <c r="C17" s="153">
        <v>13</v>
      </c>
      <c r="D17" s="154">
        <v>0.27500000000000002</v>
      </c>
      <c r="E17" s="155">
        <v>2</v>
      </c>
    </row>
    <row r="18" spans="1:5" ht="13.5" customHeight="1">
      <c r="A18" s="152">
        <v>13</v>
      </c>
      <c r="B18" s="153">
        <v>13</v>
      </c>
      <c r="C18" s="153">
        <v>14</v>
      </c>
      <c r="D18" s="154">
        <v>5.92</v>
      </c>
      <c r="E18" s="155">
        <v>1</v>
      </c>
    </row>
    <row r="19" spans="1:5" ht="13.5" customHeight="1">
      <c r="A19" s="152">
        <v>14</v>
      </c>
      <c r="B19" s="153">
        <v>14</v>
      </c>
      <c r="C19" s="153">
        <v>15</v>
      </c>
      <c r="D19" s="154">
        <v>0.27500000000000002</v>
      </c>
      <c r="E19" s="155">
        <v>2</v>
      </c>
    </row>
    <row r="20" spans="1:5" ht="13.5" customHeight="1">
      <c r="A20" s="152">
        <v>15</v>
      </c>
      <c r="B20" s="153">
        <v>15</v>
      </c>
      <c r="C20" s="153">
        <v>16</v>
      </c>
      <c r="D20" s="154">
        <v>0.27500000000000002</v>
      </c>
      <c r="E20" s="155">
        <v>2</v>
      </c>
    </row>
    <row r="21" spans="1:5" ht="13.5" customHeight="1">
      <c r="A21" s="152">
        <v>16</v>
      </c>
      <c r="B21" s="153">
        <v>16</v>
      </c>
      <c r="C21" s="153">
        <v>17</v>
      </c>
      <c r="D21" s="154">
        <v>5.92</v>
      </c>
      <c r="E21" s="155">
        <v>1</v>
      </c>
    </row>
    <row r="22" spans="1:5" ht="13.5" customHeight="1">
      <c r="A22" s="152">
        <v>17</v>
      </c>
      <c r="B22" s="153">
        <v>17</v>
      </c>
      <c r="C22" s="153">
        <v>18</v>
      </c>
      <c r="D22" s="154">
        <v>0.27500000000000002</v>
      </c>
      <c r="E22" s="155">
        <v>2</v>
      </c>
    </row>
    <row r="23" spans="1:5" ht="13.5" customHeight="1">
      <c r="A23" s="152">
        <v>18</v>
      </c>
      <c r="B23" s="153">
        <v>18</v>
      </c>
      <c r="C23" s="153">
        <v>19</v>
      </c>
      <c r="D23" s="154">
        <v>0.27500000000000002</v>
      </c>
      <c r="E23" s="155">
        <v>2</v>
      </c>
    </row>
    <row r="24" spans="1:5" ht="13.5" customHeight="1">
      <c r="A24" s="152">
        <v>19</v>
      </c>
      <c r="B24" s="153">
        <v>19</v>
      </c>
      <c r="C24" s="153">
        <v>20</v>
      </c>
      <c r="D24" s="154">
        <v>5.92</v>
      </c>
      <c r="E24" s="155">
        <v>1</v>
      </c>
    </row>
    <row r="25" spans="1:5" ht="13.5" customHeight="1">
      <c r="A25" s="152">
        <v>20</v>
      </c>
      <c r="B25" s="153">
        <v>20</v>
      </c>
      <c r="C25" s="153">
        <v>21</v>
      </c>
      <c r="D25" s="154">
        <v>0.27500000000000002</v>
      </c>
      <c r="E25" s="155">
        <v>2</v>
      </c>
    </row>
    <row r="26" spans="1:5" ht="13.5" customHeight="1">
      <c r="A26" s="152">
        <v>21</v>
      </c>
      <c r="B26" s="153">
        <v>21</v>
      </c>
      <c r="C26" s="153">
        <v>22</v>
      </c>
      <c r="D26" s="154">
        <v>0.27500000000000002</v>
      </c>
      <c r="E26" s="155">
        <v>2</v>
      </c>
    </row>
    <row r="27" spans="1:5" ht="13.5" customHeight="1">
      <c r="A27" s="152">
        <v>22</v>
      </c>
      <c r="B27" s="153">
        <v>22</v>
      </c>
      <c r="C27" s="153">
        <v>23</v>
      </c>
      <c r="D27" s="154">
        <v>1.5649999999999999</v>
      </c>
      <c r="E27" s="155">
        <v>1</v>
      </c>
    </row>
    <row r="28" spans="1:5" ht="13.5" customHeight="1">
      <c r="A28" s="152">
        <v>23</v>
      </c>
      <c r="B28" s="153">
        <v>3</v>
      </c>
      <c r="C28" s="153">
        <v>24</v>
      </c>
      <c r="D28" s="154">
        <v>1.175</v>
      </c>
      <c r="E28" s="155">
        <v>2</v>
      </c>
    </row>
    <row r="29" spans="1:5" ht="13.5" customHeight="1">
      <c r="A29" s="152">
        <v>24</v>
      </c>
      <c r="B29" s="156">
        <v>6</v>
      </c>
      <c r="C29" s="156">
        <v>25</v>
      </c>
      <c r="D29" s="154">
        <v>1.175</v>
      </c>
      <c r="E29" s="155">
        <v>2</v>
      </c>
    </row>
    <row r="30" spans="1:5" ht="13.5" customHeight="1">
      <c r="A30" s="152">
        <v>25</v>
      </c>
      <c r="B30" s="156">
        <v>9</v>
      </c>
      <c r="C30" s="156">
        <v>26</v>
      </c>
      <c r="D30" s="154">
        <v>1.175</v>
      </c>
      <c r="E30" s="155">
        <v>2</v>
      </c>
    </row>
    <row r="31" spans="1:5" ht="13.5" customHeight="1">
      <c r="A31" s="152">
        <v>26</v>
      </c>
      <c r="B31" s="156">
        <v>12</v>
      </c>
      <c r="C31" s="156">
        <v>27</v>
      </c>
      <c r="D31" s="154">
        <v>1.175</v>
      </c>
      <c r="E31" s="155">
        <v>2</v>
      </c>
    </row>
    <row r="32" spans="1:5" ht="13.5" customHeight="1">
      <c r="A32" s="152">
        <v>27</v>
      </c>
      <c r="B32" s="156">
        <v>15</v>
      </c>
      <c r="C32" s="156">
        <v>28</v>
      </c>
      <c r="D32" s="154">
        <v>1.175</v>
      </c>
      <c r="E32" s="155">
        <v>2</v>
      </c>
    </row>
    <row r="33" spans="1:5" ht="13.5" customHeight="1">
      <c r="A33" s="152">
        <v>28</v>
      </c>
      <c r="B33" s="156">
        <v>18</v>
      </c>
      <c r="C33" s="156">
        <v>29</v>
      </c>
      <c r="D33" s="154">
        <v>1.175</v>
      </c>
      <c r="E33" s="155">
        <v>2</v>
      </c>
    </row>
    <row r="34" spans="1:5" ht="13.5" customHeight="1">
      <c r="A34" s="152">
        <v>29</v>
      </c>
      <c r="B34" s="156">
        <v>21</v>
      </c>
      <c r="C34" s="156">
        <v>30</v>
      </c>
      <c r="D34" s="154">
        <v>1.175</v>
      </c>
      <c r="E34" s="155">
        <v>2</v>
      </c>
    </row>
    <row r="35" spans="1:5" ht="13.5" customHeight="1">
      <c r="A35" s="152">
        <v>30</v>
      </c>
      <c r="B35" s="156">
        <v>24</v>
      </c>
      <c r="C35" s="156">
        <v>31</v>
      </c>
      <c r="D35" s="154">
        <v>6.1749999999999998</v>
      </c>
      <c r="E35" s="155">
        <v>3</v>
      </c>
    </row>
    <row r="36" spans="1:5" ht="13.5" customHeight="1">
      <c r="A36" s="152">
        <v>31</v>
      </c>
      <c r="B36" s="156">
        <v>25</v>
      </c>
      <c r="C36" s="156">
        <v>32</v>
      </c>
      <c r="D36" s="154">
        <v>6.1749999999999998</v>
      </c>
      <c r="E36" s="155">
        <v>3</v>
      </c>
    </row>
    <row r="37" spans="1:5" ht="13.5" customHeight="1">
      <c r="A37" s="152">
        <v>32</v>
      </c>
      <c r="B37" s="156">
        <v>26</v>
      </c>
      <c r="C37" s="156">
        <v>33</v>
      </c>
      <c r="D37" s="154">
        <v>6.1749999999999998</v>
      </c>
      <c r="E37" s="155">
        <v>3</v>
      </c>
    </row>
    <row r="38" spans="1:5" ht="13.5" customHeight="1">
      <c r="A38" s="152">
        <v>33</v>
      </c>
      <c r="B38" s="156">
        <v>27</v>
      </c>
      <c r="C38" s="156">
        <v>34</v>
      </c>
      <c r="D38" s="154">
        <v>6.1749999999999998</v>
      </c>
      <c r="E38" s="155">
        <v>3</v>
      </c>
    </row>
    <row r="39" spans="1:5" ht="13.5" customHeight="1">
      <c r="A39" s="152">
        <v>34</v>
      </c>
      <c r="B39" s="156">
        <v>28</v>
      </c>
      <c r="C39" s="156">
        <v>35</v>
      </c>
      <c r="D39" s="154">
        <v>6.1749999999999998</v>
      </c>
      <c r="E39" s="155">
        <v>3</v>
      </c>
    </row>
    <row r="40" spans="1:5" ht="13.5" customHeight="1">
      <c r="A40" s="152">
        <v>35</v>
      </c>
      <c r="B40" s="156">
        <v>29</v>
      </c>
      <c r="C40" s="156">
        <v>36</v>
      </c>
      <c r="D40" s="154">
        <v>6.1749999999999998</v>
      </c>
      <c r="E40" s="155">
        <v>3</v>
      </c>
    </row>
    <row r="41" spans="1:5" ht="13.5" customHeight="1">
      <c r="A41" s="152">
        <v>36</v>
      </c>
      <c r="B41" s="156">
        <v>30</v>
      </c>
      <c r="C41" s="156">
        <v>37</v>
      </c>
      <c r="D41" s="154">
        <v>6.1749999999999998</v>
      </c>
      <c r="E41" s="155">
        <v>3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16" sqref="H16"/>
    </sheetView>
  </sheetViews>
  <sheetFormatPr defaultColWidth="10" defaultRowHeight="13.5" customHeight="1"/>
  <cols>
    <col min="1" max="1" width="7.125" style="24" customWidth="1"/>
    <col min="2" max="2" width="10" style="51" customWidth="1"/>
    <col min="3" max="3" width="10" style="51" hidden="1" customWidth="1"/>
    <col min="4" max="4" width="10" style="51" customWidth="1" collapsed="1"/>
    <col min="5" max="5" width="10" style="51" customWidth="1"/>
    <col min="6" max="7" width="10" style="51" hidden="1" customWidth="1"/>
    <col min="8" max="8" width="15.75" style="51" customWidth="1"/>
    <col min="9" max="9" width="10" style="51" customWidth="1"/>
    <col min="10" max="10" width="10" style="51" hidden="1" customWidth="1"/>
    <col min="11" max="11" width="10" style="51" customWidth="1" collapsed="1"/>
    <col min="12" max="12" width="10" style="51" customWidth="1"/>
    <col min="13" max="14" width="10" style="51" hidden="1" customWidth="1"/>
    <col min="15" max="15" width="15.75" style="51" customWidth="1"/>
    <col min="16" max="16" width="10" style="51" customWidth="1"/>
    <col min="17" max="17" width="10" style="51" hidden="1" customWidth="1"/>
    <col min="18" max="18" width="10" style="51" customWidth="1" collapsed="1"/>
    <col min="19" max="19" width="10" style="51" customWidth="1"/>
    <col min="20" max="21" width="10" style="51" hidden="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83" t="s">
        <v>156</v>
      </c>
      <c r="B5" s="185" t="s">
        <v>152</v>
      </c>
      <c r="C5" s="186"/>
      <c r="D5" s="186"/>
      <c r="E5" s="186"/>
      <c r="F5" s="187"/>
      <c r="G5" s="185" t="s">
        <v>91</v>
      </c>
      <c r="H5" s="187"/>
      <c r="I5" s="188" t="s">
        <v>157</v>
      </c>
      <c r="J5" s="189"/>
      <c r="K5" s="189"/>
      <c r="L5" s="189"/>
      <c r="M5" s="190"/>
      <c r="N5" s="188" t="s">
        <v>91</v>
      </c>
      <c r="O5" s="190"/>
      <c r="P5" s="181" t="s">
        <v>153</v>
      </c>
      <c r="Q5" s="191"/>
      <c r="R5" s="191"/>
      <c r="S5" s="191"/>
      <c r="T5" s="182"/>
      <c r="U5" s="181" t="s">
        <v>91</v>
      </c>
      <c r="V5" s="182"/>
    </row>
    <row r="6" spans="1:22" ht="13.5" customHeight="1">
      <c r="A6" s="184"/>
      <c r="B6" s="52" t="s">
        <v>23</v>
      </c>
      <c r="C6" s="52" t="s">
        <v>158</v>
      </c>
      <c r="D6" s="52" t="s">
        <v>73</v>
      </c>
      <c r="E6" s="52" t="s">
        <v>24</v>
      </c>
      <c r="F6" s="52" t="s">
        <v>159</v>
      </c>
      <c r="G6" s="52" t="s">
        <v>160</v>
      </c>
      <c r="H6" s="52" t="s">
        <v>161</v>
      </c>
      <c r="I6" s="53" t="s">
        <v>23</v>
      </c>
      <c r="J6" s="53" t="s">
        <v>158</v>
      </c>
      <c r="K6" s="53" t="s">
        <v>162</v>
      </c>
      <c r="L6" s="53" t="s">
        <v>24</v>
      </c>
      <c r="M6" s="53" t="s">
        <v>159</v>
      </c>
      <c r="N6" s="53" t="s">
        <v>160</v>
      </c>
      <c r="O6" s="53" t="s">
        <v>161</v>
      </c>
      <c r="P6" s="54" t="s">
        <v>23</v>
      </c>
      <c r="Q6" s="54" t="s">
        <v>158</v>
      </c>
      <c r="R6" s="54" t="s">
        <v>162</v>
      </c>
      <c r="S6" s="54" t="s">
        <v>24</v>
      </c>
      <c r="T6" s="54" t="s">
        <v>159</v>
      </c>
      <c r="U6" s="54" t="s">
        <v>160</v>
      </c>
      <c r="V6" s="54" t="s">
        <v>161</v>
      </c>
    </row>
    <row r="7" spans="1:22" ht="13.5" customHeight="1">
      <c r="A7" s="157">
        <v>1</v>
      </c>
      <c r="B7" s="158">
        <v>26500000</v>
      </c>
      <c r="C7" s="158">
        <v>1.0000000000000001E-5</v>
      </c>
      <c r="D7" s="158">
        <v>1.0000000000000001E-5</v>
      </c>
      <c r="E7" s="159">
        <v>22.75</v>
      </c>
      <c r="F7" s="159"/>
      <c r="G7" s="159"/>
      <c r="H7" s="159">
        <v>23.223960000000002</v>
      </c>
      <c r="I7" s="50"/>
      <c r="J7" s="50"/>
      <c r="K7" s="50"/>
    </row>
    <row r="8" spans="1:22" ht="13.5" customHeight="1">
      <c r="A8" s="157">
        <v>2</v>
      </c>
      <c r="B8" s="158">
        <v>26500000</v>
      </c>
      <c r="C8" s="158">
        <v>1.0000000000000001E-5</v>
      </c>
      <c r="D8" s="158">
        <v>1.0000000000000001E-5</v>
      </c>
      <c r="E8" s="159">
        <v>1000</v>
      </c>
      <c r="F8" s="159"/>
      <c r="G8" s="159"/>
      <c r="H8" s="159">
        <v>1000</v>
      </c>
      <c r="I8" s="50"/>
      <c r="J8" s="50"/>
      <c r="K8" s="50"/>
    </row>
    <row r="9" spans="1:22" ht="13.5" customHeight="1">
      <c r="A9" s="157">
        <v>3</v>
      </c>
      <c r="B9" s="158">
        <v>26500000</v>
      </c>
      <c r="C9" s="158"/>
      <c r="D9" s="158">
        <v>1.0000000000000001E-5</v>
      </c>
      <c r="E9" s="159">
        <v>10.579999999999998</v>
      </c>
      <c r="F9" s="159"/>
      <c r="G9" s="159"/>
      <c r="H9" s="159">
        <v>3.4980199999999999</v>
      </c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2" t="s">
        <v>53</v>
      </c>
      <c r="B5" s="193" t="s">
        <v>49</v>
      </c>
      <c r="C5" s="193"/>
      <c r="D5" s="193"/>
      <c r="E5" s="193"/>
      <c r="F5" s="193"/>
      <c r="G5" s="193"/>
      <c r="H5" s="194" t="s">
        <v>50</v>
      </c>
      <c r="I5" s="194"/>
      <c r="J5" s="194"/>
      <c r="K5" s="194"/>
      <c r="L5" s="194"/>
      <c r="M5" s="194"/>
      <c r="N5" s="195" t="s">
        <v>52</v>
      </c>
      <c r="O5" s="195"/>
      <c r="P5" s="195"/>
      <c r="Q5" s="195"/>
      <c r="R5" s="195"/>
      <c r="S5" s="195"/>
    </row>
    <row r="6" spans="1:19" ht="13.5" customHeight="1">
      <c r="A6" s="192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A6" sqref="A6:F18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2" t="s">
        <v>53</v>
      </c>
      <c r="B4" s="192" t="s">
        <v>163</v>
      </c>
      <c r="C4" s="196" t="s">
        <v>96</v>
      </c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</row>
    <row r="5" spans="1:14" s="19" customFormat="1" ht="13.5" customHeight="1">
      <c r="A5" s="192"/>
      <c r="B5" s="192"/>
      <c r="C5" s="116" t="s">
        <v>164</v>
      </c>
      <c r="D5" s="116" t="s">
        <v>97</v>
      </c>
      <c r="E5" s="116" t="s">
        <v>98</v>
      </c>
      <c r="F5" s="116" t="s">
        <v>99</v>
      </c>
      <c r="G5" s="116" t="s">
        <v>100</v>
      </c>
      <c r="H5" s="116" t="s">
        <v>101</v>
      </c>
      <c r="I5" s="116" t="s">
        <v>102</v>
      </c>
      <c r="J5" s="116" t="s">
        <v>103</v>
      </c>
      <c r="K5" s="116" t="s">
        <v>104</v>
      </c>
      <c r="L5" s="116" t="s">
        <v>105</v>
      </c>
      <c r="M5" s="116" t="s">
        <v>106</v>
      </c>
      <c r="N5" s="116" t="s">
        <v>107</v>
      </c>
    </row>
    <row r="6" spans="1:14" s="19" customFormat="1" ht="13.5" customHeight="1">
      <c r="A6" s="160">
        <v>4</v>
      </c>
      <c r="B6" s="161">
        <v>5.92</v>
      </c>
      <c r="C6" s="160">
        <v>0.875</v>
      </c>
      <c r="D6" s="160">
        <v>2.96</v>
      </c>
      <c r="E6" s="160">
        <v>5.0449999999999999</v>
      </c>
      <c r="F6" s="160"/>
      <c r="G6" s="24"/>
      <c r="H6" s="24"/>
      <c r="I6" s="24"/>
      <c r="J6" s="24"/>
      <c r="K6" s="24"/>
      <c r="L6" s="24"/>
      <c r="M6" s="24"/>
      <c r="N6" s="24"/>
    </row>
    <row r="7" spans="1:14">
      <c r="A7" s="162">
        <v>7</v>
      </c>
      <c r="B7" s="163">
        <v>5.92</v>
      </c>
      <c r="C7" s="162">
        <v>0.875</v>
      </c>
      <c r="D7" s="160">
        <v>2.96</v>
      </c>
      <c r="E7" s="160">
        <v>5.0449999999999999</v>
      </c>
      <c r="F7" s="162"/>
    </row>
    <row r="8" spans="1:14">
      <c r="A8" s="162">
        <v>10</v>
      </c>
      <c r="B8" s="163">
        <v>5.92</v>
      </c>
      <c r="C8" s="162">
        <v>0.875</v>
      </c>
      <c r="D8" s="160">
        <v>2.96</v>
      </c>
      <c r="E8" s="160">
        <v>5.0449999999999999</v>
      </c>
      <c r="F8" s="162"/>
    </row>
    <row r="9" spans="1:14">
      <c r="A9" s="162">
        <v>13</v>
      </c>
      <c r="B9" s="163">
        <v>5.92</v>
      </c>
      <c r="C9" s="162">
        <v>0.875</v>
      </c>
      <c r="D9" s="160">
        <v>2.96</v>
      </c>
      <c r="E9" s="160">
        <v>5.0449999999999999</v>
      </c>
      <c r="F9" s="162"/>
    </row>
    <row r="10" spans="1:14">
      <c r="A10" s="162">
        <v>16</v>
      </c>
      <c r="B10" s="163">
        <v>5.92</v>
      </c>
      <c r="C10" s="162">
        <v>0.875</v>
      </c>
      <c r="D10" s="160">
        <v>2.96</v>
      </c>
      <c r="E10" s="160">
        <v>5.0449999999999999</v>
      </c>
      <c r="F10" s="160"/>
      <c r="G10" s="24"/>
      <c r="H10" s="24"/>
      <c r="I10" s="24"/>
      <c r="J10" s="24"/>
      <c r="K10" s="24"/>
    </row>
    <row r="11" spans="1:14">
      <c r="A11" s="162">
        <v>19</v>
      </c>
      <c r="B11" s="163">
        <v>5.92</v>
      </c>
      <c r="C11" s="162">
        <v>0.875</v>
      </c>
      <c r="D11" s="160">
        <v>2.96</v>
      </c>
      <c r="E11" s="160">
        <v>5.0449999999999999</v>
      </c>
      <c r="F11" s="162"/>
    </row>
    <row r="12" spans="1:14">
      <c r="A12" s="162">
        <v>30</v>
      </c>
      <c r="B12" s="163">
        <v>6.1749999999999998</v>
      </c>
      <c r="C12" s="162">
        <v>0.57499999999999996</v>
      </c>
      <c r="D12" s="162"/>
      <c r="E12" s="162"/>
      <c r="F12" s="162"/>
    </row>
    <row r="13" spans="1:14">
      <c r="A13" s="162">
        <v>31</v>
      </c>
      <c r="B13" s="163">
        <v>6.1749999999999998</v>
      </c>
      <c r="C13" s="162">
        <v>0.57499999999999996</v>
      </c>
      <c r="D13" s="162"/>
      <c r="E13" s="162"/>
      <c r="F13" s="162"/>
    </row>
    <row r="14" spans="1:14">
      <c r="A14" s="162">
        <v>32</v>
      </c>
      <c r="B14" s="163">
        <v>6.1749999999999998</v>
      </c>
      <c r="C14" s="162">
        <v>0.57499999999999996</v>
      </c>
      <c r="D14" s="162"/>
      <c r="E14" s="162"/>
      <c r="F14" s="162"/>
    </row>
    <row r="15" spans="1:14">
      <c r="A15" s="162">
        <v>33</v>
      </c>
      <c r="B15" s="163">
        <v>6.1749999999999998</v>
      </c>
      <c r="C15" s="162">
        <v>0.57499999999999996</v>
      </c>
      <c r="D15" s="162"/>
      <c r="E15" s="162"/>
      <c r="F15" s="162"/>
    </row>
    <row r="16" spans="1:14">
      <c r="A16" s="162">
        <v>34</v>
      </c>
      <c r="B16" s="163">
        <v>6.1749999999999998</v>
      </c>
      <c r="C16" s="162">
        <v>0.57499999999999996</v>
      </c>
      <c r="D16" s="162"/>
      <c r="E16" s="162"/>
      <c r="F16" s="162"/>
    </row>
    <row r="17" spans="1:6">
      <c r="A17" s="162">
        <v>35</v>
      </c>
      <c r="B17" s="163">
        <v>6.1749999999999998</v>
      </c>
      <c r="C17" s="162">
        <v>0.57499999999999996</v>
      </c>
      <c r="D17" s="162"/>
      <c r="E17" s="162"/>
      <c r="F17" s="162"/>
    </row>
    <row r="18" spans="1:6">
      <c r="A18" s="162">
        <v>36</v>
      </c>
      <c r="B18" s="163">
        <v>6.1749999999999998</v>
      </c>
      <c r="C18" s="162">
        <v>0.57499999999999996</v>
      </c>
      <c r="D18" s="162"/>
      <c r="E18" s="162"/>
      <c r="F18" s="162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8"/>
  <sheetViews>
    <sheetView topLeftCell="A3" zoomScale="115" zoomScaleNormal="115" workbookViewId="0">
      <selection activeCell="A8" sqref="A8:K23"/>
    </sheetView>
  </sheetViews>
  <sheetFormatPr defaultRowHeight="13.5" customHeight="1"/>
  <cols>
    <col min="1" max="1" width="9" style="35" customWidth="1"/>
    <col min="2" max="3" width="9" style="65" customWidth="1"/>
    <col min="4" max="5" width="9" style="65" hidden="1" customWidth="1"/>
    <col min="6" max="6" width="9" style="66" customWidth="1"/>
    <col min="7" max="7" width="9" style="65" customWidth="1"/>
    <col min="8" max="8" width="9" style="67" hidden="1" customWidth="1"/>
    <col min="9" max="9" width="9" style="65" hidden="1" customWidth="1"/>
    <col min="10" max="11" width="9" style="65" customWidth="1"/>
    <col min="12" max="13" width="9" style="65" hidden="1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97" t="s">
        <v>53</v>
      </c>
      <c r="B5" s="181" t="s">
        <v>152</v>
      </c>
      <c r="C5" s="191"/>
      <c r="D5" s="191"/>
      <c r="E5" s="182"/>
      <c r="F5" s="200" t="s">
        <v>57</v>
      </c>
      <c r="G5" s="201"/>
      <c r="H5" s="201"/>
      <c r="I5" s="202"/>
      <c r="J5" s="203" t="s">
        <v>165</v>
      </c>
      <c r="K5" s="204"/>
      <c r="L5" s="204"/>
      <c r="M5" s="205"/>
    </row>
    <row r="6" spans="1:13" ht="13.5" customHeight="1">
      <c r="A6" s="198"/>
      <c r="B6" s="181" t="s">
        <v>33</v>
      </c>
      <c r="C6" s="191"/>
      <c r="D6" s="182"/>
      <c r="E6" s="68" t="s">
        <v>55</v>
      </c>
      <c r="F6" s="200" t="s">
        <v>33</v>
      </c>
      <c r="G6" s="201"/>
      <c r="H6" s="202"/>
      <c r="I6" s="69" t="s">
        <v>55</v>
      </c>
      <c r="J6" s="203" t="s">
        <v>33</v>
      </c>
      <c r="K6" s="204"/>
      <c r="L6" s="205"/>
      <c r="M6" s="70" t="s">
        <v>55</v>
      </c>
    </row>
    <row r="7" spans="1:13" ht="13.5" customHeight="1">
      <c r="A7" s="199"/>
      <c r="B7" s="117" t="s">
        <v>147</v>
      </c>
      <c r="C7" s="117" t="s">
        <v>148</v>
      </c>
      <c r="D7" s="117" t="s">
        <v>150</v>
      </c>
      <c r="E7" s="117" t="s">
        <v>56</v>
      </c>
      <c r="F7" s="119" t="s">
        <v>147</v>
      </c>
      <c r="G7" s="71" t="s">
        <v>148</v>
      </c>
      <c r="H7" s="120" t="s">
        <v>150</v>
      </c>
      <c r="I7" s="71" t="s">
        <v>56</v>
      </c>
      <c r="J7" s="72" t="s">
        <v>147</v>
      </c>
      <c r="K7" s="72" t="s">
        <v>148</v>
      </c>
      <c r="L7" s="72" t="s">
        <v>150</v>
      </c>
      <c r="M7" s="72" t="s">
        <v>56</v>
      </c>
    </row>
    <row r="8" spans="1:13" ht="13.5" customHeight="1">
      <c r="B8" s="39"/>
      <c r="C8" s="39"/>
      <c r="D8" s="39"/>
      <c r="E8" s="39"/>
      <c r="F8" s="39"/>
      <c r="G8" s="39"/>
      <c r="H8" s="146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6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6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6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6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6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6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6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6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6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6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6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6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6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6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6"/>
      <c r="I23" s="39"/>
      <c r="J23" s="39"/>
      <c r="K23" s="39"/>
    </row>
    <row r="24" spans="2:11" ht="13.5" customHeight="1">
      <c r="F24" s="65"/>
    </row>
    <row r="25" spans="2:11" ht="13.5" customHeight="1">
      <c r="F25" s="65"/>
    </row>
    <row r="26" spans="2:11" ht="13.5" customHeight="1">
      <c r="F26" s="65"/>
    </row>
    <row r="27" spans="2:11" ht="13.5" customHeight="1">
      <c r="F27" s="65"/>
    </row>
    <row r="28" spans="2:11" ht="13.5" customHeight="1">
      <c r="F28" s="65"/>
    </row>
    <row r="29" spans="2:11" ht="13.5" customHeight="1">
      <c r="F29" s="65"/>
    </row>
    <row r="30" spans="2:11" ht="13.5" customHeight="1">
      <c r="F30" s="65"/>
    </row>
    <row r="31" spans="2:11" ht="13.5" customHeight="1">
      <c r="F31" s="65"/>
    </row>
    <row r="32" spans="2:11" ht="13.5" customHeight="1">
      <c r="F32" s="65"/>
    </row>
    <row r="33" spans="6:6" ht="13.5" customHeight="1">
      <c r="F33" s="65"/>
    </row>
    <row r="34" spans="6:6" ht="13.5" customHeight="1">
      <c r="F34" s="65"/>
    </row>
    <row r="35" spans="6:6" ht="13.5" customHeight="1">
      <c r="F35" s="65"/>
    </row>
    <row r="36" spans="6:6" ht="13.5" customHeight="1">
      <c r="F36" s="65"/>
    </row>
    <row r="37" spans="6:6" ht="13.5" customHeight="1">
      <c r="F37" s="65"/>
    </row>
    <row r="38" spans="6:6" ht="13.5" customHeight="1">
      <c r="F38" s="65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A7" sqref="A7:H24"/>
    </sheetView>
  </sheetViews>
  <sheetFormatPr defaultRowHeight="13.5" customHeight="1"/>
  <cols>
    <col min="1" max="1" width="9" style="132" bestFit="1" customWidth="1"/>
    <col min="2" max="2" width="7.5" style="135" bestFit="1" customWidth="1"/>
    <col min="3" max="3" width="9.75" style="136" bestFit="1" customWidth="1"/>
    <col min="4" max="4" width="38.875" style="135" bestFit="1" customWidth="1"/>
    <col min="5" max="5" width="5.25" style="135" bestFit="1" customWidth="1"/>
    <col min="6" max="6" width="5.125" style="135" bestFit="1" customWidth="1"/>
    <col min="7" max="8" width="5.25" style="135" bestFit="1" customWidth="1"/>
    <col min="9" max="16384" width="9" style="130"/>
  </cols>
  <sheetData>
    <row r="1" spans="1:8" s="126" customFormat="1" ht="13.5" customHeight="1">
      <c r="A1" s="123"/>
      <c r="B1" s="124"/>
      <c r="C1" s="125"/>
      <c r="D1" s="124"/>
      <c r="E1" s="124"/>
      <c r="F1" s="124"/>
      <c r="G1" s="124"/>
      <c r="H1" s="124"/>
    </row>
    <row r="2" spans="1:8" s="126" customFormat="1" ht="13.5" customHeight="1">
      <c r="A2" s="127" t="s">
        <v>66</v>
      </c>
      <c r="C2" s="128"/>
    </row>
    <row r="3" spans="1:8" s="126" customFormat="1" ht="13.5" customHeight="1">
      <c r="A3" s="129"/>
      <c r="C3" s="128"/>
    </row>
    <row r="4" spans="1:8" ht="13.5" customHeight="1">
      <c r="A4" s="207" t="s">
        <v>58</v>
      </c>
      <c r="B4" s="206" t="s">
        <v>59</v>
      </c>
      <c r="C4" s="206" t="s">
        <v>60</v>
      </c>
      <c r="D4" s="206" t="s">
        <v>61</v>
      </c>
      <c r="E4" s="206" t="s">
        <v>62</v>
      </c>
      <c r="F4" s="206"/>
      <c r="G4" s="206"/>
      <c r="H4" s="206"/>
    </row>
    <row r="5" spans="1:8" ht="13.5" customHeight="1">
      <c r="A5" s="207"/>
      <c r="B5" s="206"/>
      <c r="C5" s="206"/>
      <c r="D5" s="206"/>
      <c r="E5" s="131" t="s">
        <v>63</v>
      </c>
      <c r="F5" s="131" t="s">
        <v>166</v>
      </c>
      <c r="G5" s="131" t="s">
        <v>64</v>
      </c>
      <c r="H5" s="131" t="s">
        <v>65</v>
      </c>
    </row>
    <row r="6" spans="1:8" ht="13.5" customHeight="1">
      <c r="A6" s="164">
        <v>1</v>
      </c>
      <c r="B6" s="165">
        <v>1</v>
      </c>
      <c r="C6" s="150" t="s">
        <v>181</v>
      </c>
      <c r="D6" s="165" t="s">
        <v>176</v>
      </c>
      <c r="E6" s="165">
        <v>1</v>
      </c>
      <c r="F6" s="157">
        <v>1</v>
      </c>
      <c r="G6" s="157">
        <v>1</v>
      </c>
      <c r="H6" s="157">
        <v>1</v>
      </c>
    </row>
    <row r="7" spans="1:8" ht="13.5" customHeight="1">
      <c r="A7" s="164"/>
      <c r="B7" s="165"/>
      <c r="C7" s="150"/>
      <c r="D7" s="165"/>
      <c r="E7" s="165"/>
      <c r="F7" s="157"/>
      <c r="G7" s="157"/>
      <c r="H7" s="157"/>
    </row>
    <row r="8" spans="1:8" ht="13.5" customHeight="1">
      <c r="A8" s="164"/>
      <c r="B8" s="165"/>
      <c r="C8" s="150"/>
      <c r="D8" s="165"/>
      <c r="E8" s="165"/>
      <c r="F8" s="157"/>
      <c r="G8" s="157"/>
      <c r="H8" s="157"/>
    </row>
    <row r="9" spans="1:8" ht="13.5" customHeight="1">
      <c r="A9" s="164"/>
      <c r="B9" s="165"/>
      <c r="C9" s="150"/>
      <c r="D9" s="165"/>
      <c r="E9" s="165"/>
      <c r="F9" s="157"/>
      <c r="G9" s="157"/>
      <c r="H9" s="157"/>
    </row>
    <row r="10" spans="1:8" ht="13.5" customHeight="1">
      <c r="A10" s="164"/>
      <c r="B10" s="165"/>
      <c r="C10" s="150"/>
      <c r="D10" s="165"/>
      <c r="E10" s="165"/>
      <c r="F10" s="157"/>
      <c r="G10" s="157"/>
      <c r="H10" s="157"/>
    </row>
    <row r="11" spans="1:8" ht="13.5" customHeight="1">
      <c r="A11" s="164"/>
      <c r="B11" s="165"/>
      <c r="C11" s="150"/>
      <c r="D11" s="165"/>
      <c r="E11" s="165"/>
      <c r="F11" s="157"/>
      <c r="G11" s="157"/>
      <c r="H11" s="157"/>
    </row>
    <row r="12" spans="1:8" ht="13.5" customHeight="1">
      <c r="A12" s="164"/>
      <c r="B12" s="165"/>
      <c r="C12" s="150"/>
      <c r="D12" s="165"/>
      <c r="E12" s="165"/>
      <c r="F12" s="157"/>
      <c r="G12" s="157"/>
      <c r="H12" s="157"/>
    </row>
    <row r="13" spans="1:8" ht="13.5" customHeight="1">
      <c r="A13" s="164"/>
      <c r="B13" s="165"/>
      <c r="C13" s="150"/>
      <c r="D13" s="165"/>
      <c r="E13" s="165"/>
      <c r="F13" s="157"/>
      <c r="G13" s="157"/>
      <c r="H13" s="157"/>
    </row>
    <row r="14" spans="1:8" ht="13.5" customHeight="1">
      <c r="A14" s="164"/>
      <c r="B14" s="165"/>
      <c r="C14" s="150"/>
      <c r="D14" s="165"/>
      <c r="E14" s="165"/>
      <c r="F14" s="157"/>
      <c r="G14" s="157"/>
      <c r="H14" s="157"/>
    </row>
    <row r="15" spans="1:8" ht="13.5" customHeight="1">
      <c r="A15" s="164"/>
      <c r="B15" s="165"/>
      <c r="C15" s="150"/>
      <c r="D15" s="165"/>
      <c r="E15" s="165"/>
      <c r="F15" s="157"/>
      <c r="G15" s="157"/>
      <c r="H15" s="157"/>
    </row>
    <row r="16" spans="1:8" ht="13.5" customHeight="1">
      <c r="A16" s="164"/>
      <c r="B16" s="165"/>
      <c r="C16" s="150"/>
      <c r="D16" s="165"/>
      <c r="E16" s="165"/>
      <c r="F16" s="157"/>
      <c r="G16" s="157"/>
      <c r="H16" s="157"/>
    </row>
    <row r="17" spans="1:8" ht="13.5" customHeight="1">
      <c r="A17" s="164"/>
      <c r="B17" s="165"/>
      <c r="C17" s="150"/>
      <c r="D17" s="165"/>
      <c r="E17" s="165"/>
      <c r="F17" s="157"/>
      <c r="G17" s="157"/>
      <c r="H17" s="157"/>
    </row>
    <row r="18" spans="1:8" ht="13.5" customHeight="1">
      <c r="A18" s="164"/>
      <c r="B18" s="165"/>
      <c r="C18" s="150"/>
      <c r="D18" s="165"/>
      <c r="E18" s="165"/>
      <c r="F18" s="157"/>
      <c r="G18" s="157"/>
      <c r="H18" s="157"/>
    </row>
    <row r="19" spans="1:8" ht="13.5" customHeight="1">
      <c r="A19" s="164"/>
      <c r="B19" s="165"/>
      <c r="C19" s="150"/>
      <c r="D19" s="165"/>
      <c r="E19" s="165"/>
      <c r="F19" s="157"/>
      <c r="G19" s="157"/>
      <c r="H19" s="157"/>
    </row>
    <row r="20" spans="1:8" ht="13.5" customHeight="1">
      <c r="A20" s="164"/>
      <c r="B20" s="165"/>
      <c r="C20" s="150"/>
      <c r="D20" s="165"/>
      <c r="E20" s="165"/>
      <c r="F20" s="157"/>
      <c r="G20" s="157"/>
      <c r="H20" s="157"/>
    </row>
    <row r="21" spans="1:8" ht="13.5" customHeight="1">
      <c r="A21" s="164"/>
      <c r="B21" s="165"/>
      <c r="C21" s="150"/>
      <c r="D21" s="165"/>
      <c r="E21" s="165"/>
      <c r="F21" s="157"/>
      <c r="G21" s="157"/>
      <c r="H21" s="157"/>
    </row>
    <row r="22" spans="1:8" ht="13.5" customHeight="1">
      <c r="A22" s="164"/>
      <c r="B22" s="165"/>
      <c r="C22" s="150"/>
      <c r="D22" s="165"/>
      <c r="E22" s="165"/>
      <c r="F22" s="157"/>
      <c r="G22" s="157"/>
      <c r="H22" s="157"/>
    </row>
    <row r="23" spans="1:8" ht="13.5" customHeight="1">
      <c r="A23" s="164"/>
      <c r="B23" s="165"/>
      <c r="C23" s="150"/>
      <c r="D23" s="165"/>
      <c r="E23" s="165"/>
      <c r="F23" s="157"/>
      <c r="G23" s="157"/>
      <c r="H23" s="157"/>
    </row>
    <row r="24" spans="1:8" ht="13.5" customHeight="1">
      <c r="A24" s="164"/>
      <c r="B24" s="165"/>
      <c r="C24" s="150"/>
      <c r="D24" s="165"/>
      <c r="E24" s="165"/>
      <c r="F24" s="157"/>
      <c r="G24" s="157"/>
      <c r="H24" s="157"/>
    </row>
    <row r="25" spans="1:8" ht="13.5" customHeight="1">
      <c r="B25" s="133"/>
      <c r="C25" s="134"/>
      <c r="D25" s="133"/>
      <c r="E25" s="133"/>
    </row>
    <row r="26" spans="1:8" ht="13.5" customHeight="1">
      <c r="B26" s="133"/>
      <c r="C26" s="134"/>
      <c r="D26" s="133"/>
      <c r="E26" s="133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62"/>
  <sheetViews>
    <sheetView view="pageBreakPreview" zoomScaleNormal="100" zoomScaleSheetLayoutView="100" workbookViewId="0">
      <pane ySplit="6" topLeftCell="A7" activePane="bottomLeft" state="frozen"/>
      <selection pane="bottomLeft" activeCell="J14" sqref="J14"/>
    </sheetView>
  </sheetViews>
  <sheetFormatPr defaultRowHeight="13.5" customHeight="1"/>
  <cols>
    <col min="1" max="1" width="7.125" style="24" customWidth="1"/>
    <col min="2" max="5" width="7.125" style="42" customWidth="1"/>
    <col min="6" max="7" width="9" style="76" customWidth="1"/>
    <col min="8" max="9" width="9" style="24" customWidth="1"/>
    <col min="10" max="10" width="7.125" style="42" customWidth="1"/>
    <col min="11" max="12" width="9" style="24" customWidth="1"/>
    <col min="13" max="15" width="9" style="24" hidden="1" customWidth="1"/>
    <col min="16" max="16" width="9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143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9" t="s">
        <v>59</v>
      </c>
      <c r="B4" s="210" t="s">
        <v>69</v>
      </c>
      <c r="C4" s="210"/>
      <c r="D4" s="210"/>
      <c r="E4" s="210"/>
      <c r="F4" s="210"/>
      <c r="G4" s="210"/>
      <c r="H4" s="210"/>
      <c r="I4" s="210"/>
      <c r="J4" s="208" t="s">
        <v>70</v>
      </c>
      <c r="K4" s="208"/>
      <c r="L4" s="208"/>
      <c r="M4" s="208"/>
      <c r="N4" s="208"/>
      <c r="O4" s="208"/>
      <c r="P4" s="208"/>
    </row>
    <row r="5" spans="1:16" ht="13.5" customHeight="1">
      <c r="A5" s="209"/>
      <c r="B5" s="210" t="s">
        <v>67</v>
      </c>
      <c r="C5" s="210" t="s">
        <v>68</v>
      </c>
      <c r="D5" s="211" t="s">
        <v>77</v>
      </c>
      <c r="E5" s="210" t="s">
        <v>167</v>
      </c>
      <c r="F5" s="212" t="s">
        <v>164</v>
      </c>
      <c r="G5" s="212" t="s">
        <v>168</v>
      </c>
      <c r="H5" s="210" t="s">
        <v>169</v>
      </c>
      <c r="I5" s="210" t="s">
        <v>170</v>
      </c>
      <c r="J5" s="208" t="s">
        <v>37</v>
      </c>
      <c r="K5" s="208" t="s">
        <v>35</v>
      </c>
      <c r="L5" s="208"/>
      <c r="M5" s="208"/>
      <c r="N5" s="208" t="s">
        <v>36</v>
      </c>
      <c r="O5" s="208"/>
      <c r="P5" s="208"/>
    </row>
    <row r="6" spans="1:16" ht="13.5" customHeight="1">
      <c r="A6" s="209"/>
      <c r="B6" s="210"/>
      <c r="C6" s="210"/>
      <c r="D6" s="210"/>
      <c r="E6" s="210"/>
      <c r="F6" s="212"/>
      <c r="G6" s="212"/>
      <c r="H6" s="210"/>
      <c r="I6" s="210"/>
      <c r="J6" s="208"/>
      <c r="K6" s="121" t="s">
        <v>147</v>
      </c>
      <c r="L6" s="121" t="s">
        <v>148</v>
      </c>
      <c r="M6" s="121" t="s">
        <v>150</v>
      </c>
      <c r="N6" s="121" t="s">
        <v>147</v>
      </c>
      <c r="O6" s="121" t="s">
        <v>148</v>
      </c>
      <c r="P6" s="121" t="s">
        <v>150</v>
      </c>
    </row>
    <row r="7" spans="1:16" s="171" customFormat="1" ht="13.5" customHeight="1">
      <c r="A7" s="157">
        <v>1</v>
      </c>
      <c r="B7" s="166">
        <v>1</v>
      </c>
      <c r="C7" s="166">
        <v>-22</v>
      </c>
      <c r="D7" s="166" t="s">
        <v>177</v>
      </c>
      <c r="E7" s="166">
        <v>9</v>
      </c>
      <c r="F7" s="170"/>
      <c r="G7" s="170"/>
      <c r="H7" s="168">
        <v>-15</v>
      </c>
      <c r="I7" s="168"/>
      <c r="J7" s="166"/>
      <c r="K7" s="169"/>
      <c r="L7" s="169"/>
      <c r="M7" s="157"/>
      <c r="N7" s="157"/>
      <c r="O7" s="157"/>
      <c r="P7" s="157"/>
    </row>
    <row r="8" spans="1:16" s="171" customFormat="1" ht="13.5" customHeight="1">
      <c r="A8" s="157"/>
      <c r="B8" s="166"/>
      <c r="C8" s="166"/>
      <c r="D8" s="166"/>
      <c r="E8" s="166"/>
      <c r="F8" s="170"/>
      <c r="G8" s="167"/>
      <c r="H8" s="168"/>
      <c r="I8" s="168"/>
      <c r="J8" s="166"/>
      <c r="K8" s="169"/>
      <c r="L8" s="169"/>
      <c r="M8" s="157"/>
      <c r="N8" s="157"/>
      <c r="O8" s="157"/>
      <c r="P8" s="157"/>
    </row>
    <row r="9" spans="1:16" s="171" customFormat="1" ht="13.5" customHeight="1">
      <c r="A9" s="157"/>
      <c r="B9" s="166"/>
      <c r="C9" s="166"/>
      <c r="D9" s="166"/>
      <c r="E9" s="166"/>
      <c r="F9" s="167"/>
      <c r="G9" s="167"/>
      <c r="H9" s="168"/>
      <c r="I9" s="168"/>
      <c r="J9" s="166"/>
      <c r="K9" s="169"/>
      <c r="L9" s="169"/>
      <c r="M9" s="157"/>
      <c r="N9" s="157"/>
      <c r="O9" s="157"/>
      <c r="P9" s="157"/>
    </row>
    <row r="10" spans="1:16" s="171" customFormat="1" ht="13.5" customHeight="1">
      <c r="A10" s="157"/>
      <c r="B10" s="166"/>
      <c r="C10" s="166"/>
      <c r="D10" s="166"/>
      <c r="E10" s="166"/>
      <c r="F10" s="164"/>
      <c r="G10" s="164"/>
      <c r="H10" s="168"/>
      <c r="I10" s="168"/>
      <c r="J10" s="166"/>
      <c r="K10" s="169"/>
      <c r="L10" s="169"/>
      <c r="M10" s="157"/>
      <c r="N10" s="157"/>
      <c r="O10" s="157"/>
      <c r="P10" s="157"/>
    </row>
    <row r="11" spans="1:16" s="171" customFormat="1" ht="13.5" customHeight="1">
      <c r="A11" s="157"/>
      <c r="B11" s="166"/>
      <c r="C11" s="166"/>
      <c r="D11" s="166"/>
      <c r="E11" s="166"/>
      <c r="F11" s="164"/>
      <c r="G11" s="164"/>
      <c r="H11" s="168"/>
      <c r="I11" s="168"/>
      <c r="J11" s="166"/>
      <c r="K11" s="169"/>
      <c r="L11" s="169"/>
      <c r="M11" s="157"/>
      <c r="N11" s="157"/>
      <c r="O11" s="157"/>
      <c r="P11" s="157"/>
    </row>
    <row r="12" spans="1:16" s="171" customFormat="1" ht="13.5" customHeight="1">
      <c r="A12" s="157"/>
      <c r="B12" s="166"/>
      <c r="C12" s="166"/>
      <c r="D12" s="166"/>
      <c r="E12" s="166"/>
      <c r="F12" s="164"/>
      <c r="G12" s="164"/>
      <c r="H12" s="168"/>
      <c r="I12" s="168"/>
      <c r="J12" s="166"/>
      <c r="K12" s="169"/>
      <c r="L12" s="169"/>
      <c r="M12" s="157"/>
      <c r="N12" s="157"/>
      <c r="O12" s="157"/>
      <c r="P12" s="157"/>
    </row>
    <row r="13" spans="1:16" s="171" customFormat="1" ht="13.5" customHeight="1">
      <c r="A13" s="157"/>
      <c r="B13" s="166"/>
      <c r="C13" s="166"/>
      <c r="D13" s="166"/>
      <c r="E13" s="166"/>
      <c r="F13" s="164"/>
      <c r="G13" s="164"/>
      <c r="H13" s="168"/>
      <c r="I13" s="168"/>
      <c r="J13" s="166"/>
      <c r="K13" s="169"/>
      <c r="L13" s="169"/>
      <c r="M13" s="157"/>
      <c r="N13" s="157"/>
      <c r="O13" s="157"/>
      <c r="P13" s="157"/>
    </row>
    <row r="14" spans="1:16" s="171" customFormat="1" ht="13.5" customHeight="1">
      <c r="A14" s="157"/>
      <c r="B14" s="166"/>
      <c r="C14" s="166"/>
      <c r="D14" s="166"/>
      <c r="E14" s="166"/>
      <c r="F14" s="164"/>
      <c r="G14" s="164"/>
      <c r="H14" s="168"/>
      <c r="I14" s="168"/>
      <c r="J14" s="166"/>
      <c r="K14" s="169"/>
      <c r="L14" s="169"/>
      <c r="M14" s="157"/>
      <c r="N14" s="157"/>
      <c r="O14" s="157"/>
      <c r="P14" s="157"/>
    </row>
    <row r="15" spans="1:16" s="171" customFormat="1" ht="13.5" customHeight="1">
      <c r="A15" s="157"/>
      <c r="B15" s="166"/>
      <c r="C15" s="166"/>
      <c r="D15" s="166"/>
      <c r="E15" s="166"/>
      <c r="F15" s="164"/>
      <c r="G15" s="164"/>
      <c r="H15" s="168"/>
      <c r="I15" s="168"/>
      <c r="J15" s="166"/>
      <c r="K15" s="169"/>
      <c r="L15" s="169"/>
      <c r="M15" s="157"/>
      <c r="N15" s="157"/>
      <c r="O15" s="157"/>
      <c r="P15" s="157"/>
    </row>
    <row r="16" spans="1:16" s="171" customFormat="1" ht="13.5" customHeight="1">
      <c r="A16" s="157"/>
      <c r="B16" s="166"/>
      <c r="C16" s="166"/>
      <c r="D16" s="166"/>
      <c r="E16" s="166"/>
      <c r="F16" s="164"/>
      <c r="G16" s="164"/>
      <c r="H16" s="168"/>
      <c r="I16" s="168"/>
      <c r="J16" s="166"/>
      <c r="K16" s="169"/>
      <c r="L16" s="169"/>
      <c r="M16" s="157"/>
      <c r="N16" s="157"/>
      <c r="O16" s="157"/>
      <c r="P16" s="157"/>
    </row>
    <row r="17" spans="1:16" s="171" customFormat="1" ht="13.5" customHeight="1">
      <c r="A17" s="157"/>
      <c r="B17" s="166"/>
      <c r="C17" s="166"/>
      <c r="D17" s="166"/>
      <c r="E17" s="166"/>
      <c r="F17" s="164"/>
      <c r="G17" s="164"/>
      <c r="H17" s="168"/>
      <c r="I17" s="168"/>
      <c r="J17" s="166"/>
      <c r="K17" s="169"/>
      <c r="L17" s="169"/>
      <c r="M17" s="157"/>
      <c r="N17" s="157"/>
      <c r="O17" s="157"/>
      <c r="P17" s="157"/>
    </row>
    <row r="18" spans="1:16" s="171" customFormat="1" ht="13.5" customHeight="1">
      <c r="A18" s="157"/>
      <c r="B18" s="166"/>
      <c r="C18" s="166"/>
      <c r="D18" s="166"/>
      <c r="E18" s="166"/>
      <c r="F18" s="164"/>
      <c r="G18" s="164"/>
      <c r="H18" s="168"/>
      <c r="I18" s="168"/>
      <c r="J18" s="166"/>
      <c r="K18" s="169"/>
      <c r="L18" s="169"/>
      <c r="M18" s="157"/>
      <c r="N18" s="157"/>
      <c r="O18" s="157"/>
      <c r="P18" s="157"/>
    </row>
    <row r="19" spans="1:16" s="171" customFormat="1" ht="13.5" customHeight="1">
      <c r="A19" s="157"/>
      <c r="B19" s="166"/>
      <c r="C19" s="166"/>
      <c r="D19" s="166"/>
      <c r="E19" s="166"/>
      <c r="F19" s="164"/>
      <c r="G19" s="164"/>
      <c r="H19" s="168"/>
      <c r="I19" s="168"/>
      <c r="J19" s="166"/>
      <c r="K19" s="169"/>
      <c r="L19" s="169"/>
      <c r="M19" s="157"/>
      <c r="N19" s="157"/>
      <c r="O19" s="157"/>
      <c r="P19" s="157"/>
    </row>
    <row r="20" spans="1:16" s="171" customFormat="1" ht="13.5" customHeight="1">
      <c r="A20" s="157"/>
      <c r="B20" s="166"/>
      <c r="C20" s="166"/>
      <c r="D20" s="166"/>
      <c r="E20" s="166"/>
      <c r="F20" s="164"/>
      <c r="G20" s="164"/>
      <c r="H20" s="168"/>
      <c r="I20" s="168"/>
      <c r="J20" s="166"/>
      <c r="K20" s="169"/>
      <c r="L20" s="169"/>
      <c r="M20" s="157"/>
      <c r="N20" s="157"/>
      <c r="O20" s="157"/>
      <c r="P20" s="157"/>
    </row>
    <row r="21" spans="1:16" s="171" customFormat="1" ht="13.5" customHeight="1">
      <c r="A21" s="157"/>
      <c r="B21" s="166"/>
      <c r="C21" s="166"/>
      <c r="D21" s="166"/>
      <c r="E21" s="166"/>
      <c r="F21" s="164"/>
      <c r="G21" s="164"/>
      <c r="H21" s="168"/>
      <c r="I21" s="168"/>
      <c r="J21" s="166"/>
      <c r="K21" s="169"/>
      <c r="L21" s="169"/>
      <c r="M21" s="157"/>
      <c r="N21" s="157"/>
      <c r="O21" s="157"/>
      <c r="P21" s="157"/>
    </row>
    <row r="22" spans="1:16" s="171" customFormat="1" ht="13.5" customHeight="1">
      <c r="A22" s="157"/>
      <c r="B22" s="166"/>
      <c r="C22" s="166"/>
      <c r="D22" s="166"/>
      <c r="E22" s="166"/>
      <c r="F22" s="164"/>
      <c r="G22" s="164"/>
      <c r="H22" s="168"/>
      <c r="I22" s="168"/>
      <c r="J22" s="166"/>
      <c r="K22" s="169"/>
      <c r="L22" s="169"/>
      <c r="M22" s="157"/>
      <c r="N22" s="157"/>
      <c r="O22" s="157"/>
      <c r="P22" s="157"/>
    </row>
    <row r="23" spans="1:16" s="171" customFormat="1" ht="13.5" customHeight="1">
      <c r="A23" s="157"/>
      <c r="B23" s="166"/>
      <c r="C23" s="166"/>
      <c r="D23" s="166"/>
      <c r="E23" s="166"/>
      <c r="F23" s="164"/>
      <c r="G23" s="164"/>
      <c r="H23" s="168"/>
      <c r="I23" s="168"/>
      <c r="J23" s="166"/>
      <c r="K23" s="169"/>
      <c r="L23" s="169"/>
      <c r="M23" s="157"/>
      <c r="N23" s="157"/>
      <c r="O23" s="157"/>
      <c r="P23" s="157"/>
    </row>
    <row r="24" spans="1:16" s="171" customFormat="1" ht="13.5" customHeight="1">
      <c r="A24" s="157"/>
      <c r="B24" s="166"/>
      <c r="C24" s="166"/>
      <c r="D24" s="166"/>
      <c r="E24" s="166"/>
      <c r="F24" s="164"/>
      <c r="G24" s="164"/>
      <c r="H24" s="168"/>
      <c r="I24" s="168"/>
      <c r="J24" s="166"/>
      <c r="K24" s="169"/>
      <c r="L24" s="169"/>
      <c r="M24" s="157"/>
      <c r="N24" s="157"/>
      <c r="O24" s="157"/>
      <c r="P24" s="157"/>
    </row>
    <row r="25" spans="1:16" s="171" customFormat="1" ht="13.5" customHeight="1">
      <c r="A25" s="157"/>
      <c r="B25" s="166"/>
      <c r="C25" s="166"/>
      <c r="D25" s="166"/>
      <c r="E25" s="166"/>
      <c r="F25" s="170"/>
      <c r="G25" s="170"/>
      <c r="H25" s="168"/>
      <c r="I25" s="168"/>
      <c r="J25" s="166"/>
      <c r="K25" s="169"/>
      <c r="L25" s="169"/>
      <c r="M25" s="157"/>
      <c r="N25" s="157"/>
      <c r="O25" s="157"/>
      <c r="P25" s="157"/>
    </row>
    <row r="26" spans="1:16" s="171" customFormat="1" ht="13.5" customHeight="1">
      <c r="A26" s="157"/>
      <c r="B26" s="166"/>
      <c r="C26" s="166"/>
      <c r="D26" s="166"/>
      <c r="E26" s="166"/>
      <c r="F26" s="170"/>
      <c r="G26" s="170"/>
      <c r="H26" s="168"/>
      <c r="I26" s="168"/>
      <c r="J26" s="166"/>
      <c r="K26" s="169"/>
      <c r="L26" s="169"/>
      <c r="M26" s="157"/>
      <c r="N26" s="157"/>
      <c r="O26" s="157"/>
      <c r="P26" s="157"/>
    </row>
    <row r="27" spans="1:16" s="171" customFormat="1" ht="13.5" customHeight="1">
      <c r="A27" s="157"/>
      <c r="B27" s="166"/>
      <c r="C27" s="166"/>
      <c r="D27" s="166"/>
      <c r="E27" s="166"/>
      <c r="F27" s="170"/>
      <c r="G27" s="170"/>
      <c r="H27" s="168"/>
      <c r="I27" s="168"/>
      <c r="J27" s="166"/>
      <c r="K27" s="169"/>
      <c r="L27" s="169"/>
      <c r="M27" s="157"/>
      <c r="N27" s="157"/>
      <c r="O27" s="157"/>
      <c r="P27" s="157"/>
    </row>
    <row r="28" spans="1:16" s="171" customFormat="1" ht="13.5" customHeight="1">
      <c r="A28" s="157"/>
      <c r="B28" s="166"/>
      <c r="C28" s="166"/>
      <c r="D28" s="166"/>
      <c r="E28" s="166"/>
      <c r="F28" s="164"/>
      <c r="G28" s="164"/>
      <c r="H28" s="168"/>
      <c r="I28" s="168"/>
      <c r="J28" s="166"/>
      <c r="K28" s="169"/>
      <c r="L28" s="169"/>
      <c r="M28" s="157"/>
      <c r="N28" s="157"/>
      <c r="O28" s="157"/>
      <c r="P28" s="157"/>
    </row>
    <row r="29" spans="1:16" s="171" customFormat="1" ht="13.5" customHeight="1">
      <c r="A29" s="157"/>
      <c r="B29" s="166"/>
      <c r="C29" s="166"/>
      <c r="D29" s="166"/>
      <c r="E29" s="166"/>
      <c r="F29" s="164"/>
      <c r="G29" s="164"/>
      <c r="H29" s="168"/>
      <c r="I29" s="168"/>
      <c r="J29" s="166"/>
      <c r="K29" s="169"/>
      <c r="L29" s="169"/>
      <c r="M29" s="157"/>
      <c r="N29" s="157"/>
      <c r="O29" s="157"/>
      <c r="P29" s="157"/>
    </row>
    <row r="30" spans="1:16" s="171" customFormat="1" ht="13.5" customHeight="1">
      <c r="A30" s="157"/>
      <c r="B30" s="166"/>
      <c r="C30" s="166"/>
      <c r="D30" s="166"/>
      <c r="E30" s="166"/>
      <c r="F30" s="164"/>
      <c r="G30" s="164"/>
      <c r="H30" s="168"/>
      <c r="I30" s="168"/>
      <c r="J30" s="166"/>
      <c r="K30" s="169"/>
      <c r="L30" s="169"/>
      <c r="M30" s="157"/>
      <c r="N30" s="157"/>
      <c r="O30" s="157"/>
      <c r="P30" s="157"/>
    </row>
    <row r="31" spans="1:16" s="171" customFormat="1" ht="13.5" customHeight="1">
      <c r="A31" s="157"/>
      <c r="B31" s="166"/>
      <c r="C31" s="166"/>
      <c r="D31" s="166"/>
      <c r="E31" s="166"/>
      <c r="F31" s="164"/>
      <c r="G31" s="164"/>
      <c r="H31" s="168"/>
      <c r="I31" s="168"/>
      <c r="J31" s="166"/>
      <c r="K31" s="169"/>
      <c r="L31" s="169"/>
      <c r="M31" s="157"/>
      <c r="N31" s="157"/>
      <c r="O31" s="157"/>
      <c r="P31" s="157"/>
    </row>
    <row r="32" spans="1:16" s="171" customFormat="1" ht="14.25" customHeight="1">
      <c r="A32" s="157"/>
      <c r="B32" s="166"/>
      <c r="C32" s="166"/>
      <c r="D32" s="166"/>
      <c r="E32" s="166"/>
      <c r="F32" s="164"/>
      <c r="G32" s="164"/>
      <c r="H32" s="168"/>
      <c r="I32" s="168"/>
      <c r="J32" s="166"/>
      <c r="K32" s="169"/>
      <c r="L32" s="169"/>
      <c r="M32" s="157"/>
      <c r="N32" s="157"/>
      <c r="O32" s="157"/>
      <c r="P32" s="157"/>
    </row>
    <row r="33" spans="1:16" s="171" customFormat="1" ht="14.25" customHeight="1">
      <c r="A33" s="157"/>
      <c r="B33" s="166"/>
      <c r="C33" s="166"/>
      <c r="D33" s="166"/>
      <c r="E33" s="166"/>
      <c r="F33" s="164"/>
      <c r="G33" s="164"/>
      <c r="H33" s="168"/>
      <c r="I33" s="168"/>
      <c r="J33" s="166"/>
      <c r="K33" s="169"/>
      <c r="L33" s="169"/>
      <c r="M33" s="157"/>
      <c r="N33" s="157"/>
      <c r="O33" s="157"/>
      <c r="P33" s="157"/>
    </row>
    <row r="34" spans="1:16" s="171" customFormat="1" ht="14.25" customHeight="1">
      <c r="A34" s="157"/>
      <c r="B34" s="166"/>
      <c r="C34" s="166"/>
      <c r="D34" s="166"/>
      <c r="E34" s="166"/>
      <c r="F34" s="164"/>
      <c r="G34" s="164"/>
      <c r="H34" s="168"/>
      <c r="I34" s="168"/>
      <c r="J34" s="166"/>
      <c r="K34" s="169"/>
      <c r="L34" s="169"/>
      <c r="M34" s="157"/>
      <c r="N34" s="157"/>
      <c r="O34" s="157"/>
      <c r="P34" s="157"/>
    </row>
    <row r="35" spans="1:16" s="171" customFormat="1" ht="14.25" customHeight="1">
      <c r="A35" s="157"/>
      <c r="B35" s="166"/>
      <c r="C35" s="166"/>
      <c r="D35" s="166"/>
      <c r="E35" s="166"/>
      <c r="F35" s="167"/>
      <c r="G35" s="167"/>
      <c r="H35" s="168"/>
      <c r="I35" s="168"/>
      <c r="J35" s="166"/>
      <c r="K35" s="169"/>
      <c r="L35" s="169"/>
      <c r="M35" s="157"/>
      <c r="N35" s="157"/>
      <c r="O35" s="157"/>
      <c r="P35" s="157"/>
    </row>
    <row r="36" spans="1:16" s="171" customFormat="1" ht="13.5" customHeight="1">
      <c r="A36" s="157"/>
      <c r="B36" s="166"/>
      <c r="C36" s="166"/>
      <c r="D36" s="166"/>
      <c r="E36" s="166"/>
      <c r="F36" s="167"/>
      <c r="G36" s="167"/>
      <c r="H36" s="168"/>
      <c r="I36" s="168"/>
      <c r="J36" s="166"/>
      <c r="K36" s="169"/>
      <c r="L36" s="169"/>
      <c r="M36" s="157"/>
      <c r="N36" s="157"/>
      <c r="O36" s="157"/>
      <c r="P36" s="157"/>
    </row>
    <row r="37" spans="1:16" s="171" customFormat="1" ht="13.5" customHeight="1">
      <c r="A37" s="157"/>
      <c r="B37" s="166"/>
      <c r="C37" s="166"/>
      <c r="D37" s="166"/>
      <c r="E37" s="166"/>
      <c r="F37" s="170"/>
      <c r="G37" s="170"/>
      <c r="H37" s="168"/>
      <c r="I37" s="168"/>
      <c r="J37" s="166"/>
      <c r="K37" s="169"/>
      <c r="L37" s="169"/>
      <c r="M37" s="157"/>
      <c r="N37" s="157"/>
      <c r="O37" s="157"/>
      <c r="P37" s="157"/>
    </row>
    <row r="38" spans="1:16" s="171" customFormat="1" ht="13.5" customHeight="1">
      <c r="A38" s="157"/>
      <c r="B38" s="166"/>
      <c r="C38" s="166"/>
      <c r="D38" s="166"/>
      <c r="E38" s="166"/>
      <c r="F38" s="170"/>
      <c r="G38" s="170"/>
      <c r="H38" s="168"/>
      <c r="I38" s="168"/>
      <c r="J38" s="166"/>
      <c r="K38" s="169"/>
      <c r="L38" s="169"/>
      <c r="M38" s="157"/>
      <c r="N38" s="157"/>
      <c r="O38" s="157"/>
      <c r="P38" s="157"/>
    </row>
    <row r="39" spans="1:16" s="171" customFormat="1" ht="13.5" customHeight="1">
      <c r="A39" s="157"/>
      <c r="B39" s="166"/>
      <c r="C39" s="166"/>
      <c r="D39" s="166"/>
      <c r="E39" s="166"/>
      <c r="F39" s="164"/>
      <c r="G39" s="164"/>
      <c r="H39" s="168"/>
      <c r="I39" s="168"/>
      <c r="J39" s="166"/>
      <c r="K39" s="169"/>
      <c r="L39" s="169"/>
      <c r="M39" s="157"/>
      <c r="N39" s="157"/>
      <c r="O39" s="157"/>
      <c r="P39" s="157"/>
    </row>
    <row r="40" spans="1:16" s="171" customFormat="1" ht="13.5" customHeight="1">
      <c r="A40" s="157"/>
      <c r="B40" s="166"/>
      <c r="C40" s="166"/>
      <c r="D40" s="166"/>
      <c r="E40" s="166"/>
      <c r="F40" s="164"/>
      <c r="G40" s="164"/>
      <c r="H40" s="168"/>
      <c r="I40" s="168"/>
      <c r="J40" s="166"/>
      <c r="K40" s="169"/>
      <c r="L40" s="169"/>
      <c r="M40" s="157"/>
      <c r="N40" s="157"/>
      <c r="O40" s="157"/>
      <c r="P40" s="157"/>
    </row>
    <row r="41" spans="1:16" s="171" customFormat="1" ht="13.5" customHeight="1">
      <c r="A41" s="157"/>
      <c r="B41" s="166"/>
      <c r="C41" s="166"/>
      <c r="D41" s="166"/>
      <c r="E41" s="166"/>
      <c r="F41" s="164"/>
      <c r="G41" s="164"/>
      <c r="H41" s="168"/>
      <c r="I41" s="168"/>
      <c r="J41" s="166"/>
      <c r="K41" s="169"/>
      <c r="L41" s="169"/>
      <c r="M41" s="157"/>
      <c r="N41" s="157"/>
      <c r="O41" s="157"/>
      <c r="P41" s="157"/>
    </row>
    <row r="42" spans="1:16" s="171" customFormat="1" ht="13.5" customHeight="1">
      <c r="A42" s="157"/>
      <c r="B42" s="166"/>
      <c r="C42" s="166"/>
      <c r="D42" s="166"/>
      <c r="E42" s="166"/>
      <c r="F42" s="164"/>
      <c r="G42" s="164"/>
      <c r="H42" s="168"/>
      <c r="I42" s="168"/>
      <c r="J42" s="166"/>
      <c r="K42" s="169"/>
      <c r="L42" s="169"/>
      <c r="M42" s="157"/>
      <c r="N42" s="157"/>
      <c r="O42" s="157"/>
      <c r="P42" s="157"/>
    </row>
    <row r="43" spans="1:16" s="171" customFormat="1" ht="13.5" customHeight="1">
      <c r="A43" s="157"/>
      <c r="B43" s="166"/>
      <c r="C43" s="166"/>
      <c r="D43" s="166"/>
      <c r="E43" s="166"/>
      <c r="F43" s="164"/>
      <c r="G43" s="164"/>
      <c r="H43" s="168"/>
      <c r="I43" s="168"/>
      <c r="J43" s="166"/>
      <c r="K43" s="169"/>
      <c r="L43" s="169"/>
      <c r="M43" s="157"/>
      <c r="N43" s="157"/>
      <c r="O43" s="157"/>
      <c r="P43" s="157"/>
    </row>
    <row r="44" spans="1:16" s="171" customFormat="1" ht="13.5" customHeight="1">
      <c r="A44" s="157"/>
      <c r="B44" s="166"/>
      <c r="C44" s="166"/>
      <c r="D44" s="166"/>
      <c r="E44" s="166"/>
      <c r="F44" s="164"/>
      <c r="G44" s="164"/>
      <c r="H44" s="168"/>
      <c r="I44" s="168"/>
      <c r="J44" s="166"/>
      <c r="K44" s="169"/>
      <c r="L44" s="169"/>
      <c r="M44" s="157"/>
      <c r="N44" s="157"/>
      <c r="O44" s="157"/>
      <c r="P44" s="157"/>
    </row>
    <row r="45" spans="1:16" s="171" customFormat="1" ht="13.5" customHeight="1">
      <c r="A45" s="157"/>
      <c r="B45" s="166"/>
      <c r="C45" s="166"/>
      <c r="D45" s="166"/>
      <c r="E45" s="166"/>
      <c r="F45" s="164"/>
      <c r="G45" s="164"/>
      <c r="H45" s="168"/>
      <c r="I45" s="168"/>
      <c r="J45" s="166"/>
      <c r="K45" s="169"/>
      <c r="L45" s="169"/>
      <c r="M45" s="157"/>
      <c r="N45" s="157"/>
      <c r="O45" s="157"/>
      <c r="P45" s="157"/>
    </row>
    <row r="46" spans="1:16" s="171" customFormat="1" ht="13.5" customHeight="1">
      <c r="A46" s="157"/>
      <c r="B46" s="166"/>
      <c r="C46" s="166"/>
      <c r="D46" s="166"/>
      <c r="E46" s="166"/>
      <c r="F46" s="167"/>
      <c r="G46" s="167"/>
      <c r="H46" s="168"/>
      <c r="I46" s="168"/>
      <c r="J46" s="166"/>
      <c r="K46" s="169"/>
      <c r="L46" s="169"/>
      <c r="M46" s="157"/>
      <c r="N46" s="157"/>
      <c r="O46" s="157"/>
      <c r="P46" s="157"/>
    </row>
    <row r="47" spans="1:16" s="171" customFormat="1" ht="13.5" customHeight="1">
      <c r="A47" s="157"/>
      <c r="B47" s="166"/>
      <c r="C47" s="166"/>
      <c r="D47" s="166"/>
      <c r="E47" s="166"/>
      <c r="F47" s="164"/>
      <c r="G47" s="164"/>
      <c r="H47" s="168"/>
      <c r="I47" s="168"/>
      <c r="J47" s="166"/>
      <c r="K47" s="169"/>
      <c r="L47" s="169"/>
      <c r="M47" s="157"/>
      <c r="N47" s="157"/>
      <c r="O47" s="157"/>
      <c r="P47" s="157"/>
    </row>
    <row r="48" spans="1:16" s="171" customFormat="1" ht="13.5" customHeight="1">
      <c r="A48" s="157"/>
      <c r="B48" s="166"/>
      <c r="C48" s="166"/>
      <c r="D48" s="166"/>
      <c r="E48" s="166"/>
      <c r="F48" s="164"/>
      <c r="G48" s="164"/>
      <c r="H48" s="168"/>
      <c r="I48" s="168"/>
      <c r="J48" s="166"/>
      <c r="K48" s="169"/>
      <c r="L48" s="169"/>
      <c r="M48" s="157"/>
      <c r="N48" s="157"/>
      <c r="O48" s="157"/>
      <c r="P48" s="157"/>
    </row>
    <row r="49" spans="1:16" s="171" customFormat="1" ht="13.5" customHeight="1">
      <c r="A49" s="157"/>
      <c r="B49" s="166"/>
      <c r="C49" s="166"/>
      <c r="D49" s="166"/>
      <c r="E49" s="166"/>
      <c r="F49" s="164"/>
      <c r="G49" s="164"/>
      <c r="H49" s="168"/>
      <c r="I49" s="168"/>
      <c r="J49" s="166"/>
      <c r="K49" s="169"/>
      <c r="L49" s="169"/>
      <c r="M49" s="157"/>
      <c r="N49" s="157"/>
      <c r="O49" s="157"/>
      <c r="P49" s="157"/>
    </row>
    <row r="50" spans="1:16" s="171" customFormat="1" ht="13.5" customHeight="1">
      <c r="A50" s="157"/>
      <c r="B50" s="166"/>
      <c r="C50" s="166"/>
      <c r="D50" s="166"/>
      <c r="E50" s="166"/>
      <c r="F50" s="164"/>
      <c r="G50" s="164"/>
      <c r="H50" s="168"/>
      <c r="I50" s="168"/>
      <c r="J50" s="166"/>
      <c r="K50" s="169"/>
      <c r="L50" s="169"/>
      <c r="M50" s="157"/>
      <c r="N50" s="157"/>
      <c r="O50" s="157"/>
      <c r="P50" s="157"/>
    </row>
    <row r="51" spans="1:16" s="171" customFormat="1" ht="13.5" customHeight="1">
      <c r="A51" s="157"/>
      <c r="B51" s="166"/>
      <c r="C51" s="166"/>
      <c r="D51" s="166"/>
      <c r="E51" s="166"/>
      <c r="F51" s="164"/>
      <c r="G51" s="164"/>
      <c r="H51" s="168"/>
      <c r="I51" s="168"/>
      <c r="J51" s="166"/>
      <c r="K51" s="169"/>
      <c r="L51" s="169"/>
      <c r="M51" s="157"/>
      <c r="N51" s="157"/>
      <c r="O51" s="157"/>
      <c r="P51" s="157"/>
    </row>
    <row r="52" spans="1:16" s="171" customFormat="1" ht="13.5" customHeight="1">
      <c r="A52" s="157"/>
      <c r="B52" s="166"/>
      <c r="C52" s="166"/>
      <c r="D52" s="166"/>
      <c r="E52" s="166"/>
      <c r="F52" s="164"/>
      <c r="G52" s="164"/>
      <c r="H52" s="168"/>
      <c r="I52" s="168"/>
      <c r="J52" s="166"/>
      <c r="K52" s="169"/>
      <c r="L52" s="169"/>
      <c r="M52" s="157"/>
      <c r="N52" s="157"/>
      <c r="O52" s="157"/>
      <c r="P52" s="157"/>
    </row>
    <row r="53" spans="1:16" s="171" customFormat="1" ht="13.5" customHeight="1">
      <c r="A53" s="157"/>
      <c r="B53" s="166"/>
      <c r="C53" s="166"/>
      <c r="D53" s="166"/>
      <c r="E53" s="166"/>
      <c r="F53" s="164"/>
      <c r="G53" s="164"/>
      <c r="H53" s="168"/>
      <c r="I53" s="168"/>
      <c r="J53" s="166"/>
      <c r="K53" s="169"/>
      <c r="L53" s="169"/>
      <c r="M53" s="157"/>
      <c r="N53" s="157"/>
      <c r="O53" s="157"/>
      <c r="P53" s="157"/>
    </row>
    <row r="54" spans="1:16" s="171" customFormat="1" ht="13.5" customHeight="1">
      <c r="A54" s="157"/>
      <c r="B54" s="166"/>
      <c r="C54" s="166"/>
      <c r="D54" s="166"/>
      <c r="E54" s="166"/>
      <c r="F54" s="164"/>
      <c r="G54" s="164"/>
      <c r="H54" s="168"/>
      <c r="I54" s="168"/>
      <c r="J54" s="166"/>
      <c r="K54" s="169"/>
      <c r="L54" s="169"/>
      <c r="M54" s="157"/>
      <c r="N54" s="157"/>
      <c r="O54" s="157"/>
      <c r="P54" s="157"/>
    </row>
    <row r="55" spans="1:16" s="171" customFormat="1" ht="13.5" customHeight="1">
      <c r="A55" s="157"/>
      <c r="B55" s="166"/>
      <c r="C55" s="166"/>
      <c r="D55" s="166"/>
      <c r="E55" s="166"/>
      <c r="F55" s="164"/>
      <c r="G55" s="164"/>
      <c r="H55" s="168"/>
      <c r="I55" s="168"/>
      <c r="J55" s="166"/>
      <c r="K55" s="169"/>
      <c r="L55" s="169"/>
      <c r="M55" s="157"/>
      <c r="N55" s="157"/>
      <c r="O55" s="157"/>
      <c r="P55" s="157"/>
    </row>
    <row r="56" spans="1:16" s="171" customFormat="1" ht="13.5" customHeight="1">
      <c r="A56" s="157"/>
      <c r="B56" s="166"/>
      <c r="C56" s="166"/>
      <c r="D56" s="166"/>
      <c r="E56" s="166"/>
      <c r="F56" s="164"/>
      <c r="G56" s="164"/>
      <c r="H56" s="168"/>
      <c r="I56" s="168"/>
      <c r="J56" s="166"/>
      <c r="K56" s="169"/>
      <c r="L56" s="169"/>
      <c r="M56" s="157"/>
      <c r="N56" s="157"/>
      <c r="O56" s="157"/>
      <c r="P56" s="157"/>
    </row>
    <row r="57" spans="1:16" s="171" customFormat="1" ht="13.5" customHeight="1">
      <c r="A57" s="157"/>
      <c r="B57" s="166"/>
      <c r="C57" s="166"/>
      <c r="D57" s="166"/>
      <c r="E57" s="166"/>
      <c r="F57" s="164"/>
      <c r="G57" s="164"/>
      <c r="H57" s="168"/>
      <c r="I57" s="168"/>
      <c r="J57" s="166"/>
      <c r="K57" s="169"/>
      <c r="L57" s="169"/>
      <c r="M57" s="157"/>
      <c r="N57" s="157"/>
      <c r="O57" s="157"/>
      <c r="P57" s="157"/>
    </row>
    <row r="58" spans="1:16" s="171" customFormat="1" ht="13.5" customHeight="1">
      <c r="A58" s="157"/>
      <c r="B58" s="166"/>
      <c r="C58" s="166"/>
      <c r="D58" s="166"/>
      <c r="E58" s="166"/>
      <c r="F58" s="164"/>
      <c r="G58" s="164"/>
      <c r="H58" s="168"/>
      <c r="I58" s="168"/>
      <c r="J58" s="166"/>
      <c r="K58" s="169"/>
      <c r="L58" s="169"/>
      <c r="M58" s="157"/>
      <c r="N58" s="157"/>
      <c r="O58" s="157"/>
      <c r="P58" s="157"/>
    </row>
    <row r="59" spans="1:16" s="171" customFormat="1" ht="13.5" customHeight="1">
      <c r="A59" s="157"/>
      <c r="B59" s="166"/>
      <c r="C59" s="166"/>
      <c r="D59" s="166"/>
      <c r="E59" s="166"/>
      <c r="F59" s="164"/>
      <c r="G59" s="164"/>
      <c r="H59" s="168"/>
      <c r="I59" s="168"/>
      <c r="J59" s="166"/>
      <c r="K59" s="169"/>
      <c r="L59" s="169"/>
      <c r="M59" s="157"/>
      <c r="N59" s="157"/>
      <c r="O59" s="157"/>
      <c r="P59" s="157"/>
    </row>
    <row r="60" spans="1:16" s="171" customFormat="1" ht="13.5" customHeight="1">
      <c r="A60" s="157"/>
      <c r="B60" s="166"/>
      <c r="C60" s="166"/>
      <c r="D60" s="166"/>
      <c r="E60" s="166"/>
      <c r="F60" s="167"/>
      <c r="G60" s="167"/>
      <c r="H60" s="168"/>
      <c r="I60" s="168"/>
      <c r="J60" s="166"/>
      <c r="K60" s="169"/>
      <c r="L60" s="169"/>
      <c r="M60" s="157"/>
      <c r="N60" s="157"/>
      <c r="O60" s="157"/>
      <c r="P60" s="157"/>
    </row>
    <row r="61" spans="1:16" s="171" customFormat="1" ht="13.5" customHeight="1">
      <c r="A61" s="157"/>
      <c r="B61" s="166"/>
      <c r="C61" s="166"/>
      <c r="D61" s="166"/>
      <c r="E61" s="166"/>
      <c r="F61" s="227"/>
      <c r="G61" s="227"/>
      <c r="H61" s="168"/>
      <c r="I61" s="168"/>
      <c r="J61" s="166"/>
      <c r="K61" s="169"/>
      <c r="L61" s="169"/>
      <c r="M61" s="157"/>
      <c r="N61" s="157"/>
      <c r="O61" s="157"/>
      <c r="P61" s="157"/>
    </row>
    <row r="62" spans="1:16" s="171" customFormat="1" ht="13.5" customHeight="1">
      <c r="A62" s="157"/>
      <c r="B62" s="166"/>
      <c r="C62" s="166"/>
      <c r="D62" s="166"/>
      <c r="E62" s="166"/>
      <c r="F62" s="227"/>
      <c r="G62" s="227"/>
      <c r="H62" s="168"/>
      <c r="I62" s="168"/>
      <c r="J62" s="166"/>
      <c r="K62" s="169"/>
      <c r="L62" s="169"/>
      <c r="M62" s="157"/>
      <c r="N62" s="157"/>
      <c r="O62" s="157"/>
      <c r="P62" s="157"/>
    </row>
    <row r="63" spans="1:16" s="171" customFormat="1" ht="13.5" customHeight="1">
      <c r="A63" s="157"/>
      <c r="B63" s="166"/>
      <c r="C63" s="166"/>
      <c r="D63" s="166"/>
      <c r="E63" s="166"/>
      <c r="F63" s="227"/>
      <c r="G63" s="227"/>
      <c r="H63" s="168"/>
      <c r="I63" s="168"/>
      <c r="J63" s="166"/>
      <c r="K63" s="169"/>
      <c r="L63" s="169"/>
      <c r="M63" s="157"/>
      <c r="N63" s="157"/>
      <c r="O63" s="157"/>
      <c r="P63" s="157"/>
    </row>
    <row r="64" spans="1:16" s="171" customFormat="1" ht="13.5" customHeight="1">
      <c r="A64" s="157"/>
      <c r="B64" s="166"/>
      <c r="C64" s="166"/>
      <c r="D64" s="166"/>
      <c r="E64" s="166"/>
      <c r="F64" s="227"/>
      <c r="G64" s="227"/>
      <c r="H64" s="168"/>
      <c r="I64" s="168"/>
      <c r="J64" s="166"/>
      <c r="K64" s="169"/>
      <c r="L64" s="169"/>
      <c r="M64" s="157"/>
      <c r="N64" s="157"/>
      <c r="O64" s="157"/>
      <c r="P64" s="157"/>
    </row>
    <row r="65" spans="1:16" s="171" customFormat="1" ht="13.5" customHeight="1">
      <c r="A65" s="157"/>
      <c r="B65" s="166"/>
      <c r="C65" s="166"/>
      <c r="D65" s="166"/>
      <c r="E65" s="166"/>
      <c r="F65" s="227"/>
      <c r="G65" s="227"/>
      <c r="H65" s="168"/>
      <c r="I65" s="168"/>
      <c r="J65" s="166"/>
      <c r="K65" s="169"/>
      <c r="L65" s="169"/>
      <c r="M65" s="157"/>
      <c r="N65" s="157"/>
      <c r="O65" s="157"/>
      <c r="P65" s="157"/>
    </row>
    <row r="66" spans="1:16" s="171" customFormat="1" ht="13.5" customHeight="1">
      <c r="A66" s="157"/>
      <c r="B66" s="166"/>
      <c r="C66" s="166"/>
      <c r="D66" s="166"/>
      <c r="E66" s="166"/>
      <c r="F66" s="227"/>
      <c r="G66" s="227"/>
      <c r="H66" s="168"/>
      <c r="I66" s="168"/>
      <c r="J66" s="166"/>
      <c r="K66" s="169"/>
      <c r="L66" s="169"/>
      <c r="M66" s="157"/>
      <c r="N66" s="157"/>
      <c r="O66" s="157"/>
      <c r="P66" s="157"/>
    </row>
    <row r="67" spans="1:16" s="171" customFormat="1" ht="13.5" customHeight="1">
      <c r="A67" s="157"/>
      <c r="B67" s="166"/>
      <c r="C67" s="166"/>
      <c r="D67" s="166"/>
      <c r="E67" s="166"/>
      <c r="F67" s="167"/>
      <c r="G67" s="167"/>
      <c r="H67" s="168"/>
      <c r="I67" s="168"/>
      <c r="J67" s="166"/>
      <c r="K67" s="169"/>
      <c r="L67" s="169"/>
      <c r="M67" s="157"/>
      <c r="N67" s="157"/>
      <c r="O67" s="157"/>
      <c r="P67" s="157"/>
    </row>
    <row r="68" spans="1:16" s="171" customFormat="1" ht="13.5" customHeight="1">
      <c r="A68" s="157"/>
      <c r="B68" s="166"/>
      <c r="C68" s="166"/>
      <c r="D68" s="166"/>
      <c r="E68" s="166"/>
      <c r="F68" s="164"/>
      <c r="G68" s="164"/>
      <c r="H68" s="168"/>
      <c r="I68" s="168"/>
      <c r="J68" s="166"/>
      <c r="K68" s="169"/>
      <c r="L68" s="169"/>
      <c r="M68" s="157"/>
      <c r="N68" s="157"/>
      <c r="O68" s="157"/>
      <c r="P68" s="157"/>
    </row>
    <row r="69" spans="1:16" s="171" customFormat="1" ht="13.5" customHeight="1">
      <c r="A69" s="157"/>
      <c r="B69" s="166"/>
      <c r="C69" s="166"/>
      <c r="D69" s="166"/>
      <c r="E69" s="166"/>
      <c r="F69" s="164"/>
      <c r="G69" s="164"/>
      <c r="H69" s="168"/>
      <c r="I69" s="168"/>
      <c r="J69" s="166"/>
      <c r="K69" s="169"/>
      <c r="L69" s="169"/>
      <c r="M69" s="157"/>
      <c r="N69" s="157"/>
      <c r="O69" s="157"/>
      <c r="P69" s="157"/>
    </row>
    <row r="70" spans="1:16" s="171" customFormat="1" ht="13.5" customHeight="1">
      <c r="A70" s="157"/>
      <c r="B70" s="166"/>
      <c r="C70" s="166"/>
      <c r="D70" s="166"/>
      <c r="E70" s="166"/>
      <c r="F70" s="164"/>
      <c r="G70" s="164"/>
      <c r="H70" s="168"/>
      <c r="I70" s="168"/>
      <c r="J70" s="166"/>
      <c r="K70" s="169"/>
      <c r="L70" s="169"/>
      <c r="M70" s="157"/>
      <c r="N70" s="157"/>
      <c r="O70" s="157"/>
      <c r="P70" s="157"/>
    </row>
    <row r="71" spans="1:16" s="171" customFormat="1" ht="13.5" customHeight="1">
      <c r="A71" s="157"/>
      <c r="B71" s="166"/>
      <c r="C71" s="166"/>
      <c r="D71" s="166"/>
      <c r="E71" s="166"/>
      <c r="F71" s="164"/>
      <c r="G71" s="164"/>
      <c r="H71" s="168"/>
      <c r="I71" s="168"/>
      <c r="J71" s="166"/>
      <c r="K71" s="169"/>
      <c r="L71" s="169"/>
      <c r="M71" s="157"/>
      <c r="N71" s="157"/>
      <c r="O71" s="157"/>
      <c r="P71" s="157"/>
    </row>
    <row r="72" spans="1:16" s="171" customFormat="1" ht="13.5" customHeight="1">
      <c r="A72" s="157"/>
      <c r="B72" s="166"/>
      <c r="C72" s="166"/>
      <c r="D72" s="166"/>
      <c r="E72" s="166"/>
      <c r="F72" s="164"/>
      <c r="G72" s="164"/>
      <c r="H72" s="168"/>
      <c r="I72" s="168"/>
      <c r="J72" s="166"/>
      <c r="K72" s="169"/>
      <c r="L72" s="169"/>
      <c r="M72" s="157"/>
      <c r="N72" s="157"/>
      <c r="O72" s="157"/>
      <c r="P72" s="157"/>
    </row>
    <row r="73" spans="1:16" s="171" customFormat="1" ht="13.5" customHeight="1">
      <c r="A73" s="157"/>
      <c r="B73" s="166"/>
      <c r="C73" s="166"/>
      <c r="D73" s="166"/>
      <c r="E73" s="166"/>
      <c r="F73" s="164"/>
      <c r="G73" s="164"/>
      <c r="H73" s="168"/>
      <c r="I73" s="168"/>
      <c r="J73" s="166"/>
      <c r="K73" s="169"/>
      <c r="L73" s="169"/>
      <c r="M73" s="157"/>
      <c r="N73" s="157"/>
      <c r="O73" s="157"/>
      <c r="P73" s="157"/>
    </row>
    <row r="74" spans="1:16" s="171" customFormat="1" ht="13.5" customHeight="1">
      <c r="A74" s="157"/>
      <c r="B74" s="166"/>
      <c r="C74" s="166"/>
      <c r="D74" s="166"/>
      <c r="E74" s="166"/>
      <c r="F74" s="164"/>
      <c r="G74" s="164"/>
      <c r="H74" s="168"/>
      <c r="I74" s="168"/>
      <c r="J74" s="166"/>
      <c r="K74" s="169"/>
      <c r="L74" s="169"/>
      <c r="M74" s="157"/>
      <c r="N74" s="157"/>
      <c r="O74" s="157"/>
      <c r="P74" s="157"/>
    </row>
    <row r="75" spans="1:16" s="171" customFormat="1" ht="13.5" customHeight="1">
      <c r="A75" s="157"/>
      <c r="B75" s="166"/>
      <c r="C75" s="166"/>
      <c r="D75" s="166"/>
      <c r="E75" s="166"/>
      <c r="F75" s="167"/>
      <c r="G75" s="167"/>
      <c r="H75" s="168"/>
      <c r="I75" s="168"/>
      <c r="J75" s="166"/>
      <c r="K75" s="169"/>
      <c r="L75" s="169"/>
      <c r="M75" s="157"/>
      <c r="N75" s="157"/>
      <c r="O75" s="157"/>
      <c r="P75" s="157"/>
    </row>
    <row r="76" spans="1:16" s="171" customFormat="1" ht="13.5" customHeight="1">
      <c r="A76" s="157"/>
      <c r="B76" s="166"/>
      <c r="C76" s="166"/>
      <c r="D76" s="166"/>
      <c r="E76" s="166"/>
      <c r="F76" s="164"/>
      <c r="G76" s="164"/>
      <c r="H76" s="168"/>
      <c r="I76" s="168"/>
      <c r="J76" s="166"/>
      <c r="K76" s="169"/>
      <c r="L76" s="169"/>
      <c r="M76" s="157"/>
      <c r="N76" s="157"/>
      <c r="O76" s="157"/>
      <c r="P76" s="157"/>
    </row>
    <row r="77" spans="1:16" s="171" customFormat="1" ht="13.5" customHeight="1">
      <c r="A77" s="157"/>
      <c r="B77" s="166"/>
      <c r="C77" s="166"/>
      <c r="D77" s="166"/>
      <c r="E77" s="166"/>
      <c r="F77" s="164"/>
      <c r="G77" s="164"/>
      <c r="H77" s="168"/>
      <c r="I77" s="168"/>
      <c r="J77" s="166"/>
      <c r="K77" s="169"/>
      <c r="L77" s="169"/>
      <c r="M77" s="157"/>
      <c r="N77" s="157"/>
      <c r="O77" s="157"/>
      <c r="P77" s="157"/>
    </row>
    <row r="78" spans="1:16" s="171" customFormat="1" ht="13.5" customHeight="1">
      <c r="A78" s="157"/>
      <c r="B78" s="166"/>
      <c r="C78" s="166"/>
      <c r="D78" s="166"/>
      <c r="E78" s="166"/>
      <c r="F78" s="164"/>
      <c r="G78" s="164"/>
      <c r="H78" s="168"/>
      <c r="I78" s="168"/>
      <c r="J78" s="166"/>
      <c r="K78" s="169"/>
      <c r="L78" s="169"/>
      <c r="M78" s="157"/>
      <c r="N78" s="157"/>
      <c r="O78" s="157"/>
      <c r="P78" s="157"/>
    </row>
    <row r="79" spans="1:16" s="171" customFormat="1" ht="13.5" customHeight="1">
      <c r="A79" s="157"/>
      <c r="B79" s="166"/>
      <c r="C79" s="166"/>
      <c r="D79" s="166"/>
      <c r="E79" s="166"/>
      <c r="F79" s="164"/>
      <c r="G79" s="164"/>
      <c r="H79" s="168"/>
      <c r="I79" s="168"/>
      <c r="J79" s="166"/>
      <c r="K79" s="169"/>
      <c r="L79" s="169"/>
      <c r="M79" s="157"/>
      <c r="N79" s="157"/>
      <c r="O79" s="157"/>
      <c r="P79" s="157"/>
    </row>
    <row r="80" spans="1:16" s="171" customFormat="1" ht="13.5" customHeight="1">
      <c r="A80" s="157"/>
      <c r="B80" s="166"/>
      <c r="C80" s="166"/>
      <c r="D80" s="166"/>
      <c r="E80" s="166"/>
      <c r="F80" s="164"/>
      <c r="G80" s="164"/>
      <c r="H80" s="168"/>
      <c r="I80" s="168"/>
      <c r="J80" s="166"/>
      <c r="K80" s="169"/>
      <c r="L80" s="169"/>
      <c r="M80" s="157"/>
      <c r="N80" s="157"/>
      <c r="O80" s="157"/>
      <c r="P80" s="157"/>
    </row>
    <row r="81" spans="1:16" s="171" customFormat="1" ht="13.5" customHeight="1">
      <c r="A81" s="157"/>
      <c r="B81" s="166"/>
      <c r="C81" s="166"/>
      <c r="D81" s="166"/>
      <c r="E81" s="166"/>
      <c r="F81" s="164"/>
      <c r="G81" s="164"/>
      <c r="H81" s="168"/>
      <c r="I81" s="168"/>
      <c r="J81" s="166"/>
      <c r="K81" s="169"/>
      <c r="L81" s="169"/>
      <c r="M81" s="157"/>
      <c r="N81" s="157"/>
      <c r="O81" s="157"/>
      <c r="P81" s="157"/>
    </row>
    <row r="82" spans="1:16" s="171" customFormat="1" ht="13.5" customHeight="1">
      <c r="A82" s="157"/>
      <c r="B82" s="166"/>
      <c r="C82" s="166"/>
      <c r="D82" s="166"/>
      <c r="E82" s="166"/>
      <c r="F82" s="164"/>
      <c r="G82" s="164"/>
      <c r="H82" s="168"/>
      <c r="I82" s="168"/>
      <c r="J82" s="166"/>
      <c r="K82" s="169"/>
      <c r="L82" s="169"/>
      <c r="M82" s="157"/>
      <c r="N82" s="157"/>
      <c r="O82" s="157"/>
      <c r="P82" s="157"/>
    </row>
    <row r="83" spans="1:16" s="171" customFormat="1" ht="13.5" customHeight="1">
      <c r="A83" s="157"/>
      <c r="B83" s="166"/>
      <c r="C83" s="166"/>
      <c r="D83" s="166"/>
      <c r="E83" s="166"/>
      <c r="F83" s="167"/>
      <c r="G83" s="167"/>
      <c r="H83" s="168"/>
      <c r="I83" s="168"/>
      <c r="J83" s="166"/>
      <c r="K83" s="169"/>
      <c r="L83" s="169"/>
      <c r="M83" s="157"/>
      <c r="N83" s="157"/>
      <c r="O83" s="157"/>
      <c r="P83" s="157"/>
    </row>
    <row r="84" spans="1:16" s="171" customFormat="1" ht="13.5" customHeight="1">
      <c r="A84" s="157"/>
      <c r="B84" s="166"/>
      <c r="C84" s="166"/>
      <c r="D84" s="166"/>
      <c r="E84" s="166"/>
      <c r="F84" s="164"/>
      <c r="G84" s="164"/>
      <c r="H84" s="168"/>
      <c r="I84" s="168"/>
      <c r="J84" s="166"/>
      <c r="K84" s="169"/>
      <c r="L84" s="169"/>
      <c r="M84" s="157"/>
      <c r="N84" s="157"/>
      <c r="O84" s="157"/>
      <c r="P84" s="157"/>
    </row>
    <row r="85" spans="1:16" s="171" customFormat="1" ht="13.5" customHeight="1">
      <c r="A85" s="157"/>
      <c r="B85" s="166"/>
      <c r="C85" s="166"/>
      <c r="D85" s="166"/>
      <c r="E85" s="166"/>
      <c r="F85" s="164"/>
      <c r="G85" s="164"/>
      <c r="H85" s="168"/>
      <c r="I85" s="168"/>
      <c r="J85" s="166"/>
      <c r="K85" s="169"/>
      <c r="L85" s="169"/>
      <c r="M85" s="157"/>
      <c r="N85" s="157"/>
      <c r="O85" s="157"/>
      <c r="P85" s="157"/>
    </row>
    <row r="86" spans="1:16" s="171" customFormat="1" ht="13.5" customHeight="1">
      <c r="A86" s="157"/>
      <c r="B86" s="166"/>
      <c r="C86" s="166"/>
      <c r="D86" s="166"/>
      <c r="E86" s="166"/>
      <c r="F86" s="164"/>
      <c r="G86" s="164"/>
      <c r="H86" s="168"/>
      <c r="I86" s="168"/>
      <c r="J86" s="166"/>
      <c r="K86" s="169"/>
      <c r="L86" s="169"/>
      <c r="M86" s="157"/>
      <c r="N86" s="157"/>
      <c r="O86" s="157"/>
      <c r="P86" s="157"/>
    </row>
    <row r="87" spans="1:16" s="171" customFormat="1" ht="13.5" customHeight="1">
      <c r="A87" s="157"/>
      <c r="B87" s="166"/>
      <c r="C87" s="166"/>
      <c r="D87" s="166"/>
      <c r="E87" s="166"/>
      <c r="F87" s="164"/>
      <c r="G87" s="164"/>
      <c r="H87" s="168"/>
      <c r="I87" s="168"/>
      <c r="J87" s="166"/>
      <c r="K87" s="169"/>
      <c r="L87" s="169"/>
      <c r="M87" s="157"/>
      <c r="N87" s="157"/>
      <c r="O87" s="157"/>
      <c r="P87" s="157"/>
    </row>
    <row r="88" spans="1:16" s="171" customFormat="1" ht="13.5" customHeight="1">
      <c r="A88" s="157"/>
      <c r="B88" s="166"/>
      <c r="C88" s="166"/>
      <c r="D88" s="166"/>
      <c r="E88" s="166"/>
      <c r="F88" s="164"/>
      <c r="G88" s="164"/>
      <c r="H88" s="168"/>
      <c r="I88" s="168"/>
      <c r="J88" s="166"/>
      <c r="K88" s="169"/>
      <c r="L88" s="169"/>
      <c r="M88" s="157"/>
      <c r="N88" s="157"/>
      <c r="O88" s="157"/>
      <c r="P88" s="157"/>
    </row>
    <row r="89" spans="1:16" s="171" customFormat="1" ht="13.5" customHeight="1">
      <c r="A89" s="157"/>
      <c r="B89" s="166"/>
      <c r="C89" s="166"/>
      <c r="D89" s="166"/>
      <c r="E89" s="166"/>
      <c r="F89" s="164"/>
      <c r="G89" s="164"/>
      <c r="H89" s="168"/>
      <c r="I89" s="168"/>
      <c r="J89" s="166"/>
      <c r="K89" s="169"/>
      <c r="L89" s="169"/>
      <c r="M89" s="157"/>
      <c r="N89" s="157"/>
      <c r="O89" s="157"/>
      <c r="P89" s="157"/>
    </row>
    <row r="90" spans="1:16" s="171" customFormat="1" ht="13.5" customHeight="1">
      <c r="A90" s="157"/>
      <c r="B90" s="166"/>
      <c r="C90" s="166"/>
      <c r="D90" s="166"/>
      <c r="E90" s="166"/>
      <c r="F90" s="164"/>
      <c r="G90" s="164"/>
      <c r="H90" s="168"/>
      <c r="I90" s="168"/>
      <c r="J90" s="166"/>
      <c r="K90" s="169"/>
      <c r="L90" s="169"/>
      <c r="M90" s="157"/>
      <c r="N90" s="157"/>
      <c r="O90" s="157"/>
      <c r="P90" s="157"/>
    </row>
    <row r="91" spans="1:16" s="171" customFormat="1" ht="13.5" customHeight="1">
      <c r="A91" s="157"/>
      <c r="B91" s="166"/>
      <c r="C91" s="166"/>
      <c r="D91" s="166"/>
      <c r="E91" s="166"/>
      <c r="F91" s="164"/>
      <c r="G91" s="164"/>
      <c r="H91" s="168"/>
      <c r="I91" s="168"/>
      <c r="J91" s="166"/>
      <c r="K91" s="169"/>
      <c r="L91" s="169"/>
      <c r="M91" s="157"/>
      <c r="N91" s="157"/>
      <c r="O91" s="157"/>
      <c r="P91" s="157"/>
    </row>
    <row r="92" spans="1:16" s="171" customFormat="1" ht="13.5" customHeight="1">
      <c r="A92" s="157"/>
      <c r="B92" s="166"/>
      <c r="C92" s="166"/>
      <c r="D92" s="166"/>
      <c r="E92" s="166"/>
      <c r="F92" s="164"/>
      <c r="G92" s="164"/>
      <c r="H92" s="168"/>
      <c r="I92" s="168"/>
      <c r="J92" s="166"/>
      <c r="K92" s="169"/>
      <c r="L92" s="169"/>
      <c r="M92" s="157"/>
      <c r="N92" s="157"/>
      <c r="O92" s="157"/>
      <c r="P92" s="157"/>
    </row>
    <row r="93" spans="1:16" s="171" customFormat="1" ht="13.5" customHeight="1">
      <c r="A93" s="157"/>
      <c r="B93" s="166"/>
      <c r="C93" s="166"/>
      <c r="D93" s="166"/>
      <c r="E93" s="166"/>
      <c r="F93" s="164"/>
      <c r="G93" s="164"/>
      <c r="H93" s="168"/>
      <c r="I93" s="168"/>
      <c r="J93" s="166"/>
      <c r="K93" s="169"/>
      <c r="L93" s="169"/>
      <c r="M93" s="157"/>
      <c r="N93" s="157"/>
      <c r="O93" s="157"/>
      <c r="P93" s="157"/>
    </row>
    <row r="94" spans="1:16" s="171" customFormat="1" ht="13.5" customHeight="1">
      <c r="A94" s="157"/>
      <c r="B94" s="166"/>
      <c r="C94" s="166"/>
      <c r="D94" s="166"/>
      <c r="E94" s="166"/>
      <c r="F94" s="164"/>
      <c r="G94" s="164"/>
      <c r="H94" s="168"/>
      <c r="I94" s="168"/>
      <c r="J94" s="166"/>
      <c r="K94" s="169"/>
      <c r="L94" s="169"/>
      <c r="M94" s="157"/>
      <c r="N94" s="157"/>
      <c r="O94" s="157"/>
      <c r="P94" s="157"/>
    </row>
    <row r="95" spans="1:16" s="171" customFormat="1" ht="13.5" customHeight="1">
      <c r="A95" s="157"/>
      <c r="B95" s="166"/>
      <c r="C95" s="166"/>
      <c r="D95" s="166"/>
      <c r="E95" s="166"/>
      <c r="F95" s="164"/>
      <c r="G95" s="164"/>
      <c r="H95" s="168"/>
      <c r="I95" s="168"/>
      <c r="J95" s="166"/>
      <c r="K95" s="169"/>
      <c r="L95" s="169"/>
      <c r="M95" s="157"/>
      <c r="N95" s="157"/>
      <c r="O95" s="157"/>
      <c r="P95" s="157"/>
    </row>
    <row r="96" spans="1:16" s="171" customFormat="1" ht="13.5" customHeight="1">
      <c r="A96" s="157"/>
      <c r="B96" s="166"/>
      <c r="C96" s="166"/>
      <c r="D96" s="166"/>
      <c r="E96" s="166"/>
      <c r="F96" s="164"/>
      <c r="G96" s="164"/>
      <c r="H96" s="168"/>
      <c r="I96" s="168"/>
      <c r="J96" s="166"/>
      <c r="K96" s="169"/>
      <c r="L96" s="169"/>
      <c r="M96" s="157"/>
      <c r="N96" s="157"/>
      <c r="O96" s="157"/>
      <c r="P96" s="157"/>
    </row>
    <row r="97" spans="1:16" s="171" customFormat="1" ht="13.5" customHeight="1">
      <c r="A97" s="157"/>
      <c r="B97" s="166"/>
      <c r="C97" s="166"/>
      <c r="D97" s="166"/>
      <c r="E97" s="166"/>
      <c r="F97" s="164"/>
      <c r="G97" s="164"/>
      <c r="H97" s="168"/>
      <c r="I97" s="168"/>
      <c r="J97" s="166"/>
      <c r="K97" s="169"/>
      <c r="L97" s="169"/>
      <c r="M97" s="157"/>
      <c r="N97" s="157"/>
      <c r="O97" s="157"/>
      <c r="P97" s="157"/>
    </row>
    <row r="98" spans="1:16" s="171" customFormat="1" ht="13.5" customHeight="1">
      <c r="A98" s="157"/>
      <c r="B98" s="166"/>
      <c r="C98" s="166"/>
      <c r="D98" s="166"/>
      <c r="E98" s="166"/>
      <c r="F98" s="164"/>
      <c r="G98" s="164"/>
      <c r="H98" s="168"/>
      <c r="I98" s="168"/>
      <c r="J98" s="166"/>
      <c r="K98" s="169"/>
      <c r="L98" s="169"/>
      <c r="M98" s="157"/>
      <c r="N98" s="157"/>
      <c r="O98" s="157"/>
      <c r="P98" s="157"/>
    </row>
    <row r="99" spans="1:16" s="171" customFormat="1" ht="13.5" customHeight="1">
      <c r="A99" s="157"/>
      <c r="B99" s="166"/>
      <c r="C99" s="166"/>
      <c r="D99" s="166"/>
      <c r="E99" s="166"/>
      <c r="F99" s="167"/>
      <c r="G99" s="167"/>
      <c r="H99" s="168"/>
      <c r="I99" s="168"/>
      <c r="J99" s="166"/>
      <c r="K99" s="169"/>
      <c r="L99" s="169"/>
      <c r="M99" s="157"/>
      <c r="N99" s="157"/>
      <c r="O99" s="157"/>
      <c r="P99" s="157"/>
    </row>
    <row r="100" spans="1:16" s="171" customFormat="1" ht="13.5" customHeight="1">
      <c r="A100" s="157"/>
      <c r="B100" s="166"/>
      <c r="C100" s="166"/>
      <c r="D100" s="166"/>
      <c r="E100" s="166"/>
      <c r="F100" s="164"/>
      <c r="G100" s="164"/>
      <c r="H100" s="168"/>
      <c r="I100" s="168"/>
      <c r="J100" s="166"/>
      <c r="K100" s="169"/>
      <c r="L100" s="169"/>
      <c r="M100" s="157"/>
      <c r="N100" s="157"/>
      <c r="O100" s="157"/>
      <c r="P100" s="157"/>
    </row>
    <row r="101" spans="1:16" s="171" customFormat="1" ht="13.5" customHeight="1">
      <c r="A101" s="157"/>
      <c r="B101" s="166"/>
      <c r="C101" s="166"/>
      <c r="D101" s="166"/>
      <c r="E101" s="166"/>
      <c r="F101" s="164"/>
      <c r="G101" s="164"/>
      <c r="H101" s="168"/>
      <c r="I101" s="168"/>
      <c r="J101" s="166"/>
      <c r="K101" s="169"/>
      <c r="L101" s="169"/>
      <c r="M101" s="157"/>
      <c r="N101" s="157"/>
      <c r="O101" s="157"/>
      <c r="P101" s="157"/>
    </row>
    <row r="102" spans="1:16" s="171" customFormat="1" ht="13.5" customHeight="1">
      <c r="A102" s="157"/>
      <c r="B102" s="166"/>
      <c r="C102" s="166"/>
      <c r="D102" s="166"/>
      <c r="E102" s="166"/>
      <c r="F102" s="164"/>
      <c r="G102" s="164"/>
      <c r="H102" s="168"/>
      <c r="I102" s="168"/>
      <c r="J102" s="166"/>
      <c r="K102" s="169"/>
      <c r="L102" s="169"/>
      <c r="M102" s="157"/>
      <c r="N102" s="157"/>
      <c r="O102" s="157"/>
      <c r="P102" s="157"/>
    </row>
    <row r="103" spans="1:16" s="171" customFormat="1" ht="13.5" customHeight="1">
      <c r="A103" s="157"/>
      <c r="B103" s="166"/>
      <c r="C103" s="166"/>
      <c r="D103" s="166"/>
      <c r="E103" s="166"/>
      <c r="F103" s="164"/>
      <c r="G103" s="164"/>
      <c r="H103" s="168"/>
      <c r="I103" s="168"/>
      <c r="J103" s="166"/>
      <c r="K103" s="169"/>
      <c r="L103" s="169"/>
      <c r="M103" s="157"/>
      <c r="N103" s="157"/>
      <c r="O103" s="157"/>
      <c r="P103" s="157"/>
    </row>
    <row r="104" spans="1:16" s="171" customFormat="1" ht="13.5" customHeight="1">
      <c r="A104" s="157"/>
      <c r="B104" s="166"/>
      <c r="C104" s="166"/>
      <c r="D104" s="166"/>
      <c r="E104" s="166"/>
      <c r="F104" s="164"/>
      <c r="G104" s="164"/>
      <c r="H104" s="168"/>
      <c r="I104" s="168"/>
      <c r="J104" s="166"/>
      <c r="K104" s="169"/>
      <c r="L104" s="169"/>
      <c r="M104" s="157"/>
      <c r="N104" s="157"/>
      <c r="O104" s="157"/>
      <c r="P104" s="157"/>
    </row>
    <row r="105" spans="1:16" s="171" customFormat="1" ht="13.5" customHeight="1">
      <c r="A105" s="157"/>
      <c r="B105" s="166"/>
      <c r="C105" s="166"/>
      <c r="D105" s="166"/>
      <c r="E105" s="166"/>
      <c r="F105" s="164"/>
      <c r="G105" s="164"/>
      <c r="H105" s="168"/>
      <c r="I105" s="168"/>
      <c r="J105" s="166"/>
      <c r="K105" s="169"/>
      <c r="L105" s="169"/>
      <c r="M105" s="157"/>
      <c r="N105" s="157"/>
      <c r="O105" s="157"/>
      <c r="P105" s="157"/>
    </row>
    <row r="106" spans="1:16" s="171" customFormat="1" ht="13.5" customHeight="1">
      <c r="A106" s="157"/>
      <c r="B106" s="166"/>
      <c r="C106" s="166"/>
      <c r="D106" s="166"/>
      <c r="E106" s="166"/>
      <c r="F106" s="164"/>
      <c r="G106" s="164"/>
      <c r="H106" s="168"/>
      <c r="I106" s="168"/>
      <c r="J106" s="166"/>
      <c r="K106" s="169"/>
      <c r="L106" s="169"/>
      <c r="M106" s="157"/>
      <c r="N106" s="157"/>
      <c r="O106" s="157"/>
      <c r="P106" s="157"/>
    </row>
    <row r="107" spans="1:16" s="171" customFormat="1" ht="13.5" customHeight="1">
      <c r="A107" s="157"/>
      <c r="B107" s="166"/>
      <c r="C107" s="166"/>
      <c r="D107" s="166"/>
      <c r="E107" s="166"/>
      <c r="F107" s="167"/>
      <c r="G107" s="167"/>
      <c r="H107" s="168"/>
      <c r="I107" s="168"/>
      <c r="J107" s="166"/>
      <c r="K107" s="169"/>
      <c r="L107" s="169"/>
      <c r="M107" s="157"/>
      <c r="N107" s="157"/>
      <c r="O107" s="157"/>
      <c r="P107" s="157"/>
    </row>
    <row r="108" spans="1:16" s="228" customFormat="1" ht="13.5" customHeight="1">
      <c r="A108" s="157"/>
      <c r="B108" s="166"/>
      <c r="C108" s="166"/>
      <c r="D108" s="166"/>
      <c r="E108" s="166"/>
      <c r="F108" s="164"/>
      <c r="G108" s="164"/>
      <c r="H108" s="168"/>
      <c r="I108" s="168"/>
      <c r="J108" s="166"/>
      <c r="K108" s="169"/>
      <c r="L108" s="169"/>
      <c r="M108" s="157"/>
      <c r="N108" s="157"/>
      <c r="O108" s="157"/>
      <c r="P108" s="157"/>
    </row>
    <row r="109" spans="1:16" s="171" customFormat="1" ht="13.5" customHeight="1">
      <c r="A109" s="157"/>
      <c r="B109" s="166"/>
      <c r="C109" s="166"/>
      <c r="D109" s="166"/>
      <c r="E109" s="166"/>
      <c r="F109" s="164"/>
      <c r="G109" s="164"/>
      <c r="H109" s="168"/>
      <c r="I109" s="168"/>
      <c r="J109" s="166"/>
      <c r="K109" s="169"/>
      <c r="L109" s="169"/>
      <c r="M109" s="157"/>
      <c r="N109" s="157"/>
      <c r="O109" s="157"/>
      <c r="P109" s="157"/>
    </row>
    <row r="110" spans="1:16" s="171" customFormat="1" ht="13.5" customHeight="1">
      <c r="A110" s="157"/>
      <c r="B110" s="166"/>
      <c r="C110" s="166"/>
      <c r="D110" s="166"/>
      <c r="E110" s="166"/>
      <c r="F110" s="164"/>
      <c r="G110" s="164"/>
      <c r="H110" s="168"/>
      <c r="I110" s="168"/>
      <c r="J110" s="166"/>
      <c r="K110" s="169"/>
      <c r="L110" s="169"/>
      <c r="M110" s="157"/>
      <c r="N110" s="157"/>
      <c r="O110" s="157"/>
      <c r="P110" s="157"/>
    </row>
    <row r="111" spans="1:16" s="171" customFormat="1" ht="13.5" customHeight="1">
      <c r="A111" s="157"/>
      <c r="B111" s="166"/>
      <c r="C111" s="166"/>
      <c r="D111" s="166"/>
      <c r="E111" s="166"/>
      <c r="F111" s="164"/>
      <c r="G111" s="164"/>
      <c r="H111" s="168"/>
      <c r="I111" s="168"/>
      <c r="J111" s="166"/>
      <c r="K111" s="169"/>
      <c r="L111" s="169"/>
      <c r="M111" s="157"/>
      <c r="N111" s="157"/>
      <c r="O111" s="157"/>
      <c r="P111" s="157"/>
    </row>
    <row r="112" spans="1:16" s="171" customFormat="1" ht="13.5" customHeight="1">
      <c r="A112" s="157"/>
      <c r="B112" s="166"/>
      <c r="C112" s="166"/>
      <c r="D112" s="166"/>
      <c r="E112" s="166"/>
      <c r="F112" s="164"/>
      <c r="G112" s="164"/>
      <c r="H112" s="168"/>
      <c r="I112" s="168"/>
      <c r="J112" s="166"/>
      <c r="K112" s="169"/>
      <c r="L112" s="169"/>
      <c r="M112" s="157"/>
      <c r="N112" s="157"/>
      <c r="O112" s="157"/>
      <c r="P112" s="157"/>
    </row>
    <row r="113" spans="1:16" s="171" customFormat="1" ht="13.5" customHeight="1">
      <c r="A113" s="157"/>
      <c r="B113" s="166"/>
      <c r="C113" s="166"/>
      <c r="D113" s="166"/>
      <c r="E113" s="166"/>
      <c r="F113" s="164"/>
      <c r="G113" s="164"/>
      <c r="H113" s="168"/>
      <c r="I113" s="168"/>
      <c r="J113" s="166"/>
      <c r="K113" s="169"/>
      <c r="L113" s="169"/>
      <c r="M113" s="157"/>
      <c r="N113" s="157"/>
      <c r="O113" s="157"/>
      <c r="P113" s="157"/>
    </row>
    <row r="114" spans="1:16" s="171" customFormat="1" ht="13.5" customHeight="1">
      <c r="A114" s="157"/>
      <c r="B114" s="166"/>
      <c r="C114" s="166"/>
      <c r="D114" s="166"/>
      <c r="E114" s="166"/>
      <c r="F114" s="164"/>
      <c r="G114" s="164"/>
      <c r="H114" s="168"/>
      <c r="I114" s="168"/>
      <c r="J114" s="166"/>
      <c r="K114" s="169"/>
      <c r="L114" s="169"/>
      <c r="M114" s="157"/>
      <c r="N114" s="157"/>
      <c r="O114" s="157"/>
      <c r="P114" s="157"/>
    </row>
    <row r="115" spans="1:16" s="171" customFormat="1" ht="13.5" customHeight="1">
      <c r="A115" s="157"/>
      <c r="B115" s="166"/>
      <c r="C115" s="166"/>
      <c r="D115" s="166"/>
      <c r="E115" s="166"/>
      <c r="F115" s="167"/>
      <c r="G115" s="167"/>
      <c r="H115" s="168"/>
      <c r="I115" s="168"/>
      <c r="J115" s="166"/>
      <c r="K115" s="169"/>
      <c r="L115" s="169"/>
      <c r="M115" s="157"/>
      <c r="N115" s="157"/>
      <c r="O115" s="157"/>
      <c r="P115" s="157"/>
    </row>
    <row r="116" spans="1:16" s="171" customFormat="1" ht="13.5" customHeight="1">
      <c r="A116" s="157"/>
      <c r="B116" s="166"/>
      <c r="C116" s="166"/>
      <c r="D116" s="166"/>
      <c r="E116" s="166"/>
      <c r="F116" s="164"/>
      <c r="G116" s="164"/>
      <c r="H116" s="168"/>
      <c r="I116" s="168"/>
      <c r="J116" s="166"/>
      <c r="K116" s="169"/>
      <c r="L116" s="169"/>
      <c r="M116" s="157"/>
      <c r="N116" s="157"/>
      <c r="O116" s="157"/>
      <c r="P116" s="157"/>
    </row>
    <row r="117" spans="1:16" s="171" customFormat="1" ht="13.5" customHeight="1">
      <c r="A117" s="157"/>
      <c r="B117" s="166"/>
      <c r="C117" s="166"/>
      <c r="D117" s="166"/>
      <c r="E117" s="166"/>
      <c r="F117" s="164"/>
      <c r="G117" s="164"/>
      <c r="H117" s="168"/>
      <c r="I117" s="168"/>
      <c r="J117" s="166"/>
      <c r="K117" s="169"/>
      <c r="L117" s="169"/>
      <c r="M117" s="157"/>
      <c r="N117" s="157"/>
      <c r="O117" s="157"/>
      <c r="P117" s="157"/>
    </row>
    <row r="118" spans="1:16" s="171" customFormat="1" ht="13.5" customHeight="1">
      <c r="A118" s="157"/>
      <c r="B118" s="166"/>
      <c r="C118" s="166"/>
      <c r="D118" s="166"/>
      <c r="E118" s="166"/>
      <c r="F118" s="164"/>
      <c r="G118" s="164"/>
      <c r="H118" s="168"/>
      <c r="I118" s="168"/>
      <c r="J118" s="166"/>
      <c r="K118" s="169"/>
      <c r="L118" s="169"/>
      <c r="M118" s="157"/>
      <c r="N118" s="157"/>
      <c r="O118" s="157"/>
      <c r="P118" s="157"/>
    </row>
    <row r="119" spans="1:16" s="171" customFormat="1" ht="13.5" customHeight="1">
      <c r="A119" s="157"/>
      <c r="B119" s="166"/>
      <c r="C119" s="166"/>
      <c r="D119" s="166"/>
      <c r="E119" s="166"/>
      <c r="F119" s="164"/>
      <c r="G119" s="164"/>
      <c r="H119" s="168"/>
      <c r="I119" s="168"/>
      <c r="J119" s="166"/>
      <c r="K119" s="169"/>
      <c r="L119" s="169"/>
      <c r="M119" s="157"/>
      <c r="N119" s="157"/>
      <c r="O119" s="157"/>
      <c r="P119" s="157"/>
    </row>
    <row r="120" spans="1:16" s="171" customFormat="1" ht="13.5" customHeight="1">
      <c r="A120" s="157"/>
      <c r="B120" s="166"/>
      <c r="C120" s="166"/>
      <c r="D120" s="166"/>
      <c r="E120" s="166"/>
      <c r="F120" s="164"/>
      <c r="G120" s="164"/>
      <c r="H120" s="168"/>
      <c r="I120" s="168"/>
      <c r="J120" s="166"/>
      <c r="K120" s="169"/>
      <c r="L120" s="169"/>
      <c r="M120" s="157"/>
      <c r="N120" s="157"/>
      <c r="O120" s="157"/>
      <c r="P120" s="157"/>
    </row>
    <row r="121" spans="1:16" s="171" customFormat="1" ht="13.5" customHeight="1">
      <c r="A121" s="157"/>
      <c r="B121" s="166"/>
      <c r="C121" s="166"/>
      <c r="D121" s="166"/>
      <c r="E121" s="166"/>
      <c r="F121" s="164"/>
      <c r="G121" s="164"/>
      <c r="H121" s="168"/>
      <c r="I121" s="168"/>
      <c r="J121" s="166"/>
      <c r="K121" s="169"/>
      <c r="L121" s="169"/>
      <c r="M121" s="157"/>
      <c r="N121" s="157"/>
      <c r="O121" s="157"/>
      <c r="P121" s="157"/>
    </row>
    <row r="122" spans="1:16" s="171" customFormat="1" ht="13.5" customHeight="1">
      <c r="A122" s="157"/>
      <c r="B122" s="166"/>
      <c r="C122" s="166"/>
      <c r="D122" s="166"/>
      <c r="E122" s="166"/>
      <c r="F122" s="164"/>
      <c r="G122" s="164"/>
      <c r="H122" s="168"/>
      <c r="I122" s="168"/>
      <c r="J122" s="166"/>
      <c r="K122" s="169"/>
      <c r="L122" s="169"/>
      <c r="M122" s="157"/>
      <c r="N122" s="157"/>
      <c r="O122" s="157"/>
      <c r="P122" s="157"/>
    </row>
    <row r="123" spans="1:16" s="171" customFormat="1" ht="13.5" customHeight="1">
      <c r="A123" s="157"/>
      <c r="B123" s="166"/>
      <c r="C123" s="166"/>
      <c r="D123" s="166"/>
      <c r="E123" s="166"/>
      <c r="F123" s="167"/>
      <c r="G123" s="167"/>
      <c r="H123" s="168"/>
      <c r="I123" s="168"/>
      <c r="J123" s="166"/>
      <c r="K123" s="169"/>
      <c r="L123" s="169"/>
      <c r="M123" s="157"/>
      <c r="N123" s="157"/>
      <c r="O123" s="157"/>
      <c r="P123" s="157"/>
    </row>
    <row r="124" spans="1:16" s="171" customFormat="1" ht="13.5" customHeight="1">
      <c r="A124" s="157"/>
      <c r="B124" s="166"/>
      <c r="C124" s="166"/>
      <c r="D124" s="166"/>
      <c r="E124" s="166"/>
      <c r="F124" s="164"/>
      <c r="G124" s="164"/>
      <c r="H124" s="168"/>
      <c r="I124" s="168"/>
      <c r="J124" s="166"/>
      <c r="K124" s="169"/>
      <c r="L124" s="169"/>
      <c r="M124" s="157"/>
      <c r="N124" s="157"/>
      <c r="O124" s="157"/>
      <c r="P124" s="157"/>
    </row>
    <row r="125" spans="1:16" s="171" customFormat="1" ht="13.5" customHeight="1">
      <c r="A125" s="157"/>
      <c r="B125" s="166"/>
      <c r="C125" s="166"/>
      <c r="D125" s="166"/>
      <c r="E125" s="166"/>
      <c r="F125" s="164"/>
      <c r="G125" s="164"/>
      <c r="H125" s="168"/>
      <c r="I125" s="168"/>
      <c r="J125" s="166"/>
      <c r="K125" s="169"/>
      <c r="L125" s="169"/>
      <c r="M125" s="157"/>
      <c r="N125" s="157"/>
      <c r="O125" s="157"/>
      <c r="P125" s="157"/>
    </row>
    <row r="126" spans="1:16" s="171" customFormat="1" ht="13.5" customHeight="1">
      <c r="A126" s="157"/>
      <c r="B126" s="166"/>
      <c r="C126" s="166"/>
      <c r="D126" s="166"/>
      <c r="E126" s="166"/>
      <c r="F126" s="164"/>
      <c r="G126" s="164"/>
      <c r="H126" s="168"/>
      <c r="I126" s="168"/>
      <c r="J126" s="166"/>
      <c r="K126" s="169"/>
      <c r="L126" s="169"/>
      <c r="M126" s="157"/>
      <c r="N126" s="157"/>
      <c r="O126" s="157"/>
      <c r="P126" s="157"/>
    </row>
    <row r="127" spans="1:16" s="171" customFormat="1" ht="13.5" customHeight="1">
      <c r="A127" s="157"/>
      <c r="B127" s="166"/>
      <c r="C127" s="166"/>
      <c r="D127" s="166"/>
      <c r="E127" s="166"/>
      <c r="F127" s="164"/>
      <c r="G127" s="164"/>
      <c r="H127" s="168"/>
      <c r="I127" s="168"/>
      <c r="J127" s="166"/>
      <c r="K127" s="169"/>
      <c r="L127" s="169"/>
      <c r="M127" s="157"/>
      <c r="N127" s="157"/>
      <c r="O127" s="157"/>
      <c r="P127" s="157"/>
    </row>
    <row r="128" spans="1:16" s="171" customFormat="1" ht="13.5" customHeight="1">
      <c r="A128" s="157"/>
      <c r="B128" s="166"/>
      <c r="C128" s="166"/>
      <c r="D128" s="166"/>
      <c r="E128" s="166"/>
      <c r="F128" s="164"/>
      <c r="G128" s="164"/>
      <c r="H128" s="168"/>
      <c r="I128" s="168"/>
      <c r="J128" s="166"/>
      <c r="K128" s="169"/>
      <c r="L128" s="169"/>
      <c r="M128" s="157"/>
      <c r="N128" s="157"/>
      <c r="O128" s="157"/>
      <c r="P128" s="157"/>
    </row>
    <row r="129" spans="1:16" s="171" customFormat="1" ht="13.5" customHeight="1">
      <c r="A129" s="157"/>
      <c r="B129" s="166"/>
      <c r="C129" s="166"/>
      <c r="D129" s="166"/>
      <c r="E129" s="166"/>
      <c r="F129" s="164"/>
      <c r="G129" s="164"/>
      <c r="H129" s="168"/>
      <c r="I129" s="168"/>
      <c r="J129" s="166"/>
      <c r="K129" s="169"/>
      <c r="L129" s="169"/>
      <c r="M129" s="157"/>
      <c r="N129" s="157"/>
      <c r="O129" s="157"/>
      <c r="P129" s="157"/>
    </row>
    <row r="130" spans="1:16" s="171" customFormat="1" ht="13.5" customHeight="1">
      <c r="A130" s="157"/>
      <c r="B130" s="166"/>
      <c r="C130" s="166"/>
      <c r="D130" s="166"/>
      <c r="E130" s="166"/>
      <c r="F130" s="164"/>
      <c r="G130" s="164"/>
      <c r="H130" s="168"/>
      <c r="I130" s="168"/>
      <c r="J130" s="166"/>
      <c r="K130" s="169"/>
      <c r="L130" s="169"/>
      <c r="M130" s="157"/>
      <c r="N130" s="157"/>
      <c r="O130" s="157"/>
      <c r="P130" s="157"/>
    </row>
    <row r="131" spans="1:16" s="171" customFormat="1" ht="13.5" customHeight="1">
      <c r="A131" s="157"/>
      <c r="B131" s="166"/>
      <c r="C131" s="166"/>
      <c r="D131" s="166"/>
      <c r="E131" s="166"/>
      <c r="F131" s="167"/>
      <c r="G131" s="167"/>
      <c r="H131" s="168"/>
      <c r="I131" s="168"/>
      <c r="J131" s="166"/>
      <c r="K131" s="169"/>
      <c r="L131" s="169"/>
      <c r="M131" s="157"/>
      <c r="N131" s="157"/>
      <c r="O131" s="157"/>
      <c r="P131" s="157"/>
    </row>
    <row r="132" spans="1:16" s="171" customFormat="1" ht="13.5" customHeight="1">
      <c r="A132" s="157"/>
      <c r="B132" s="166"/>
      <c r="C132" s="166"/>
      <c r="D132" s="166"/>
      <c r="E132" s="166"/>
      <c r="F132" s="164"/>
      <c r="G132" s="164"/>
      <c r="H132" s="168"/>
      <c r="I132" s="168"/>
      <c r="J132" s="166"/>
      <c r="K132" s="169"/>
      <c r="L132" s="169"/>
      <c r="M132" s="157"/>
      <c r="N132" s="157"/>
      <c r="O132" s="157"/>
      <c r="P132" s="157"/>
    </row>
    <row r="133" spans="1:16" s="171" customFormat="1" ht="13.5" customHeight="1">
      <c r="A133" s="157"/>
      <c r="B133" s="166"/>
      <c r="C133" s="166"/>
      <c r="D133" s="166"/>
      <c r="E133" s="166"/>
      <c r="F133" s="164"/>
      <c r="G133" s="164"/>
      <c r="H133" s="168"/>
      <c r="I133" s="168"/>
      <c r="J133" s="166"/>
      <c r="K133" s="169"/>
      <c r="L133" s="169"/>
      <c r="M133" s="157"/>
      <c r="N133" s="157"/>
      <c r="O133" s="157"/>
      <c r="P133" s="157"/>
    </row>
    <row r="134" spans="1:16" s="171" customFormat="1" ht="13.5" customHeight="1">
      <c r="A134" s="157"/>
      <c r="B134" s="166"/>
      <c r="C134" s="166"/>
      <c r="D134" s="166"/>
      <c r="E134" s="166"/>
      <c r="F134" s="164"/>
      <c r="G134" s="164"/>
      <c r="H134" s="168"/>
      <c r="I134" s="168"/>
      <c r="J134" s="166"/>
      <c r="K134" s="169"/>
      <c r="L134" s="169"/>
      <c r="M134" s="157"/>
      <c r="N134" s="157"/>
      <c r="O134" s="157"/>
      <c r="P134" s="157"/>
    </row>
    <row r="135" spans="1:16" s="171" customFormat="1" ht="13.5" customHeight="1">
      <c r="A135" s="157"/>
      <c r="B135" s="166"/>
      <c r="C135" s="166"/>
      <c r="D135" s="166"/>
      <c r="E135" s="166"/>
      <c r="G135" s="164"/>
      <c r="H135" s="168"/>
      <c r="I135" s="168"/>
      <c r="J135" s="166"/>
      <c r="K135" s="169"/>
      <c r="L135" s="169"/>
      <c r="M135" s="157"/>
      <c r="N135" s="157"/>
      <c r="O135" s="157"/>
      <c r="P135" s="157"/>
    </row>
    <row r="136" spans="1:16" s="171" customFormat="1" ht="13.5" customHeight="1">
      <c r="A136" s="157"/>
      <c r="B136" s="166"/>
      <c r="C136" s="166"/>
      <c r="D136" s="166"/>
      <c r="E136" s="166"/>
      <c r="F136" s="164"/>
      <c r="G136" s="164"/>
      <c r="H136" s="168"/>
      <c r="I136" s="168"/>
      <c r="J136" s="166"/>
      <c r="K136" s="169"/>
      <c r="L136" s="169"/>
      <c r="M136" s="157"/>
      <c r="N136" s="157"/>
      <c r="O136" s="157"/>
      <c r="P136" s="157"/>
    </row>
    <row r="137" spans="1:16" s="171" customFormat="1" ht="13.5" customHeight="1">
      <c r="A137" s="157"/>
      <c r="B137" s="166"/>
      <c r="C137" s="166"/>
      <c r="D137" s="166"/>
      <c r="E137" s="166"/>
      <c r="F137" s="164"/>
      <c r="G137" s="164"/>
      <c r="H137" s="168"/>
      <c r="I137" s="168"/>
      <c r="J137" s="166"/>
      <c r="K137" s="169"/>
      <c r="L137" s="169"/>
      <c r="M137" s="157"/>
      <c r="N137" s="157"/>
      <c r="O137" s="157"/>
      <c r="P137" s="157"/>
    </row>
    <row r="138" spans="1:16" s="171" customFormat="1" ht="13.5" customHeight="1">
      <c r="A138" s="157"/>
      <c r="B138" s="166"/>
      <c r="C138" s="166"/>
      <c r="D138" s="166"/>
      <c r="E138" s="166"/>
      <c r="F138" s="164"/>
      <c r="G138" s="164"/>
      <c r="H138" s="168"/>
      <c r="I138" s="168"/>
      <c r="J138" s="166"/>
      <c r="K138" s="169"/>
      <c r="L138" s="169"/>
      <c r="M138" s="157"/>
      <c r="N138" s="157"/>
      <c r="O138" s="157"/>
      <c r="P138" s="157"/>
    </row>
    <row r="139" spans="1:16" s="171" customFormat="1" ht="13.5" customHeight="1">
      <c r="A139" s="157"/>
      <c r="B139" s="166"/>
      <c r="C139" s="166"/>
      <c r="D139" s="166"/>
      <c r="E139" s="166"/>
      <c r="F139" s="167"/>
      <c r="G139" s="167"/>
      <c r="H139" s="168"/>
      <c r="I139" s="168"/>
      <c r="J139" s="166"/>
      <c r="K139" s="169"/>
      <c r="L139" s="169"/>
      <c r="M139" s="157"/>
      <c r="N139" s="157"/>
      <c r="O139" s="157"/>
      <c r="P139" s="157"/>
    </row>
    <row r="140" spans="1:16" s="171" customFormat="1" ht="13.5" customHeight="1">
      <c r="A140" s="157"/>
      <c r="B140" s="166"/>
      <c r="C140" s="166"/>
      <c r="D140" s="166"/>
      <c r="E140" s="166"/>
      <c r="F140" s="164"/>
      <c r="G140" s="164"/>
      <c r="H140" s="168"/>
      <c r="I140" s="168"/>
      <c r="J140" s="166"/>
      <c r="K140" s="169"/>
      <c r="L140" s="169"/>
      <c r="M140" s="157"/>
      <c r="N140" s="157"/>
      <c r="O140" s="157"/>
      <c r="P140" s="157"/>
    </row>
    <row r="141" spans="1:16" s="171" customFormat="1" ht="13.5" customHeight="1">
      <c r="A141" s="157"/>
      <c r="B141" s="166"/>
      <c r="C141" s="166"/>
      <c r="D141" s="166"/>
      <c r="E141" s="166"/>
      <c r="F141" s="164"/>
      <c r="G141" s="164"/>
      <c r="H141" s="168"/>
      <c r="I141" s="168"/>
      <c r="J141" s="166"/>
      <c r="K141" s="169"/>
      <c r="L141" s="169"/>
      <c r="M141" s="157"/>
      <c r="N141" s="157"/>
      <c r="O141" s="157"/>
      <c r="P141" s="157"/>
    </row>
    <row r="142" spans="1:16" s="171" customFormat="1" ht="13.5" customHeight="1">
      <c r="A142" s="157"/>
      <c r="B142" s="166"/>
      <c r="C142" s="166"/>
      <c r="D142" s="166"/>
      <c r="E142" s="166"/>
      <c r="F142" s="164"/>
      <c r="G142" s="164"/>
      <c r="H142" s="168"/>
      <c r="I142" s="168"/>
      <c r="J142" s="166"/>
      <c r="K142" s="169"/>
      <c r="L142" s="169"/>
      <c r="M142" s="157"/>
      <c r="N142" s="157"/>
      <c r="O142" s="157"/>
      <c r="P142" s="157"/>
    </row>
    <row r="143" spans="1:16" s="171" customFormat="1" ht="13.5" customHeight="1">
      <c r="A143" s="157"/>
      <c r="B143" s="166"/>
      <c r="C143" s="166"/>
      <c r="D143" s="166"/>
      <c r="E143" s="166"/>
      <c r="G143" s="164"/>
      <c r="H143" s="168"/>
      <c r="I143" s="168"/>
      <c r="J143" s="166"/>
      <c r="K143" s="169"/>
      <c r="L143" s="169"/>
      <c r="M143" s="157"/>
      <c r="N143" s="157"/>
      <c r="O143" s="157"/>
      <c r="P143" s="157"/>
    </row>
    <row r="144" spans="1:16" s="171" customFormat="1" ht="13.5" customHeight="1">
      <c r="A144" s="157"/>
      <c r="B144" s="166"/>
      <c r="C144" s="166"/>
      <c r="D144" s="166"/>
      <c r="E144" s="166"/>
      <c r="F144" s="164"/>
      <c r="G144" s="164"/>
      <c r="H144" s="168"/>
      <c r="I144" s="168"/>
      <c r="J144" s="166"/>
      <c r="K144" s="169"/>
      <c r="L144" s="169"/>
      <c r="M144" s="157"/>
      <c r="N144" s="157"/>
      <c r="O144" s="157"/>
      <c r="P144" s="157"/>
    </row>
    <row r="145" spans="1:16" s="171" customFormat="1" ht="13.5" customHeight="1">
      <c r="A145" s="157"/>
      <c r="B145" s="166"/>
      <c r="C145" s="166"/>
      <c r="D145" s="166"/>
      <c r="E145" s="166"/>
      <c r="F145" s="164"/>
      <c r="G145" s="164"/>
      <c r="H145" s="168"/>
      <c r="I145" s="168"/>
      <c r="J145" s="166"/>
      <c r="K145" s="169"/>
      <c r="L145" s="169"/>
      <c r="M145" s="157"/>
      <c r="N145" s="157"/>
      <c r="O145" s="157"/>
      <c r="P145" s="157"/>
    </row>
    <row r="146" spans="1:16" s="171" customFormat="1" ht="13.5" customHeight="1">
      <c r="A146" s="157"/>
      <c r="B146" s="166"/>
      <c r="C146" s="166"/>
      <c r="D146" s="166"/>
      <c r="E146" s="166"/>
      <c r="F146" s="164"/>
      <c r="G146" s="164"/>
      <c r="H146" s="168"/>
      <c r="I146" s="168"/>
      <c r="J146" s="166"/>
      <c r="K146" s="169"/>
      <c r="L146" s="169"/>
      <c r="M146" s="157"/>
      <c r="N146" s="157"/>
      <c r="O146" s="157"/>
      <c r="P146" s="157"/>
    </row>
    <row r="147" spans="1:16" s="171" customFormat="1" ht="13.5" customHeight="1">
      <c r="A147" s="157"/>
      <c r="B147" s="166"/>
      <c r="C147" s="166"/>
      <c r="D147" s="166"/>
      <c r="E147" s="166"/>
      <c r="F147" s="167"/>
      <c r="G147" s="167"/>
      <c r="H147" s="168"/>
      <c r="I147" s="168"/>
      <c r="J147" s="166"/>
      <c r="K147" s="169"/>
      <c r="L147" s="169"/>
      <c r="M147" s="157"/>
      <c r="N147" s="157"/>
      <c r="O147" s="157"/>
      <c r="P147" s="157"/>
    </row>
    <row r="148" spans="1:16" s="171" customFormat="1" ht="13.5" customHeight="1">
      <c r="A148" s="157"/>
      <c r="B148" s="166"/>
      <c r="C148" s="166"/>
      <c r="D148" s="166"/>
      <c r="E148" s="166"/>
      <c r="F148" s="164"/>
      <c r="G148" s="164"/>
      <c r="H148" s="168"/>
      <c r="I148" s="168"/>
      <c r="J148" s="166"/>
      <c r="K148" s="169"/>
      <c r="L148" s="169"/>
      <c r="M148" s="157"/>
      <c r="N148" s="157"/>
      <c r="O148" s="157"/>
      <c r="P148" s="157"/>
    </row>
    <row r="149" spans="1:16" s="171" customFormat="1" ht="13.5" customHeight="1">
      <c r="A149" s="157"/>
      <c r="B149" s="166"/>
      <c r="C149" s="166"/>
      <c r="D149" s="166"/>
      <c r="E149" s="166"/>
      <c r="F149" s="164"/>
      <c r="G149" s="164"/>
      <c r="H149" s="168"/>
      <c r="I149" s="168"/>
      <c r="J149" s="166"/>
      <c r="K149" s="169"/>
      <c r="L149" s="169"/>
      <c r="M149" s="157"/>
      <c r="N149" s="157"/>
      <c r="O149" s="157"/>
      <c r="P149" s="157"/>
    </row>
    <row r="150" spans="1:16" s="171" customFormat="1" ht="13.5" customHeight="1">
      <c r="A150" s="157"/>
      <c r="B150" s="166"/>
      <c r="C150" s="166"/>
      <c r="D150" s="166"/>
      <c r="E150" s="166"/>
      <c r="F150" s="164"/>
      <c r="G150" s="164"/>
      <c r="H150" s="168"/>
      <c r="I150" s="168"/>
      <c r="J150" s="166"/>
      <c r="K150" s="169"/>
      <c r="L150" s="169"/>
      <c r="M150" s="157"/>
      <c r="N150" s="157"/>
      <c r="O150" s="157"/>
      <c r="P150" s="157"/>
    </row>
    <row r="151" spans="1:16" s="171" customFormat="1" ht="13.5" customHeight="1">
      <c r="A151" s="157"/>
      <c r="B151" s="166"/>
      <c r="C151" s="166"/>
      <c r="D151" s="166"/>
      <c r="E151" s="166"/>
      <c r="F151" s="167"/>
      <c r="G151" s="170"/>
      <c r="H151" s="168"/>
      <c r="I151" s="168"/>
      <c r="J151" s="166"/>
      <c r="K151" s="169"/>
      <c r="L151" s="169"/>
      <c r="M151" s="157"/>
      <c r="N151" s="157"/>
      <c r="O151" s="157"/>
      <c r="P151" s="157"/>
    </row>
    <row r="152" spans="1:16" s="171" customFormat="1" ht="13.5" customHeight="1">
      <c r="A152" s="157"/>
      <c r="B152" s="166"/>
      <c r="C152" s="166"/>
      <c r="D152" s="166"/>
      <c r="E152" s="166"/>
      <c r="F152" s="164"/>
      <c r="G152" s="164"/>
      <c r="H152" s="168"/>
      <c r="I152" s="168"/>
      <c r="J152" s="166"/>
      <c r="K152" s="169"/>
      <c r="L152" s="169"/>
      <c r="M152" s="157"/>
      <c r="N152" s="157"/>
      <c r="O152" s="157"/>
      <c r="P152" s="157"/>
    </row>
    <row r="153" spans="1:16" s="171" customFormat="1" ht="13.5" customHeight="1">
      <c r="A153" s="157"/>
      <c r="B153" s="166"/>
      <c r="C153" s="166"/>
      <c r="D153" s="166"/>
      <c r="E153" s="166"/>
      <c r="F153" s="164"/>
      <c r="G153" s="164"/>
      <c r="H153" s="168"/>
      <c r="I153" s="168"/>
      <c r="J153" s="166"/>
      <c r="K153" s="169"/>
      <c r="L153" s="169"/>
      <c r="M153" s="157"/>
      <c r="N153" s="157"/>
      <c r="O153" s="157"/>
      <c r="P153" s="157"/>
    </row>
    <row r="154" spans="1:16" s="171" customFormat="1" ht="13.5" customHeight="1">
      <c r="A154" s="157"/>
      <c r="B154" s="166"/>
      <c r="C154" s="166"/>
      <c r="D154" s="166"/>
      <c r="E154" s="166"/>
      <c r="F154" s="167"/>
      <c r="G154" s="167"/>
      <c r="H154" s="168"/>
      <c r="I154" s="168"/>
      <c r="J154" s="166"/>
      <c r="K154" s="169"/>
      <c r="L154" s="169"/>
      <c r="M154" s="157"/>
      <c r="N154" s="157"/>
      <c r="O154" s="157"/>
      <c r="P154" s="157"/>
    </row>
    <row r="155" spans="1:16" s="171" customFormat="1" ht="13.5" customHeight="1">
      <c r="A155" s="157"/>
      <c r="B155" s="166"/>
      <c r="C155" s="166"/>
      <c r="D155" s="166"/>
      <c r="E155" s="166"/>
      <c r="F155" s="167"/>
      <c r="G155" s="167"/>
      <c r="H155" s="168"/>
      <c r="I155" s="168"/>
      <c r="J155" s="166"/>
      <c r="K155" s="169"/>
      <c r="L155" s="169"/>
      <c r="M155" s="157"/>
      <c r="N155" s="157"/>
      <c r="O155" s="157"/>
      <c r="P155" s="157"/>
    </row>
    <row r="156" spans="1:16" s="171" customFormat="1" ht="13.5" customHeight="1">
      <c r="A156" s="157"/>
      <c r="B156" s="166"/>
      <c r="C156" s="166"/>
      <c r="D156" s="166"/>
      <c r="E156" s="166"/>
      <c r="F156" s="164"/>
      <c r="G156" s="164"/>
      <c r="H156" s="168"/>
      <c r="I156" s="168"/>
      <c r="J156" s="166"/>
      <c r="K156" s="169"/>
      <c r="L156" s="169"/>
      <c r="M156" s="157"/>
      <c r="N156" s="157"/>
      <c r="O156" s="157"/>
      <c r="P156" s="157"/>
    </row>
    <row r="157" spans="1:16" s="171" customFormat="1" ht="13.5" customHeight="1">
      <c r="A157" s="157"/>
      <c r="B157" s="166"/>
      <c r="C157" s="166"/>
      <c r="D157" s="166"/>
      <c r="E157" s="166"/>
      <c r="F157" s="164"/>
      <c r="G157" s="164"/>
      <c r="H157" s="168"/>
      <c r="I157" s="168"/>
      <c r="J157" s="166"/>
      <c r="K157" s="169"/>
      <c r="L157" s="169"/>
      <c r="M157" s="157"/>
      <c r="N157" s="157"/>
      <c r="O157" s="157"/>
      <c r="P157" s="157"/>
    </row>
    <row r="158" spans="1:16" s="171" customFormat="1" ht="13.5" customHeight="1">
      <c r="A158" s="157"/>
      <c r="B158" s="166"/>
      <c r="C158" s="166"/>
      <c r="D158" s="166"/>
      <c r="E158" s="166"/>
      <c r="F158" s="164"/>
      <c r="G158" s="164"/>
      <c r="H158" s="168"/>
      <c r="I158" s="168"/>
      <c r="J158" s="166"/>
      <c r="K158" s="169"/>
      <c r="L158" s="169"/>
      <c r="M158" s="157"/>
      <c r="N158" s="157"/>
      <c r="O158" s="157"/>
      <c r="P158" s="157"/>
    </row>
    <row r="159" spans="1:16" s="171" customFormat="1" ht="13.5" customHeight="1">
      <c r="A159" s="157"/>
      <c r="B159" s="166"/>
      <c r="C159" s="166"/>
      <c r="D159" s="166"/>
      <c r="E159" s="166"/>
      <c r="F159" s="164"/>
      <c r="G159" s="164"/>
      <c r="H159" s="168"/>
      <c r="I159" s="168"/>
      <c r="J159" s="166"/>
      <c r="K159" s="169"/>
      <c r="L159" s="169"/>
      <c r="M159" s="157"/>
      <c r="N159" s="157"/>
      <c r="O159" s="157"/>
      <c r="P159" s="157"/>
    </row>
    <row r="160" spans="1:16" s="171" customFormat="1" ht="13.5" customHeight="1">
      <c r="A160" s="157"/>
      <c r="B160" s="166"/>
      <c r="C160" s="166"/>
      <c r="D160" s="166"/>
      <c r="E160" s="166"/>
      <c r="F160" s="164"/>
      <c r="G160" s="164"/>
      <c r="H160" s="168"/>
      <c r="I160" s="168"/>
      <c r="J160" s="166"/>
      <c r="K160" s="169"/>
      <c r="L160" s="169"/>
      <c r="M160" s="157"/>
      <c r="N160" s="157"/>
      <c r="O160" s="157"/>
      <c r="P160" s="157"/>
    </row>
    <row r="161" spans="1:16" s="171" customFormat="1" ht="13.5" customHeight="1">
      <c r="A161" s="157"/>
      <c r="B161" s="166"/>
      <c r="C161" s="166"/>
      <c r="D161" s="166"/>
      <c r="E161" s="166"/>
      <c r="F161" s="164"/>
      <c r="G161" s="164"/>
      <c r="H161" s="168"/>
      <c r="I161" s="168"/>
      <c r="J161" s="166"/>
      <c r="K161" s="169"/>
      <c r="L161" s="169"/>
      <c r="M161" s="157"/>
      <c r="N161" s="157"/>
      <c r="O161" s="157"/>
      <c r="P161" s="157"/>
    </row>
    <row r="162" spans="1:16" s="171" customFormat="1" ht="13.5" customHeight="1">
      <c r="A162" s="157"/>
      <c r="B162" s="166"/>
      <c r="C162" s="166"/>
      <c r="D162" s="166"/>
      <c r="E162" s="166"/>
      <c r="F162" s="167"/>
      <c r="G162" s="167"/>
      <c r="H162" s="168"/>
      <c r="I162" s="168"/>
      <c r="J162" s="166"/>
      <c r="K162" s="169"/>
      <c r="L162" s="169"/>
      <c r="M162" s="157"/>
      <c r="N162" s="157"/>
      <c r="O162" s="157"/>
      <c r="P162" s="157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scale="92" orientation="portrait" horizontalDpi="4294967294" r:id="rId1"/>
  <headerFooter alignWithMargins="0"/>
  <colBreaks count="1" manualBreakCount="1">
    <brk id="12" max="162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C17" sqref="C17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213" t="s">
        <v>39</v>
      </c>
      <c r="C4" s="214"/>
      <c r="D4" s="90" t="s">
        <v>75</v>
      </c>
    </row>
    <row r="5" spans="2:37" ht="14.25" customHeight="1">
      <c r="B5" s="78"/>
      <c r="C5" s="79" t="s">
        <v>40</v>
      </c>
      <c r="D5" s="90" t="s">
        <v>144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213" t="s">
        <v>42</v>
      </c>
      <c r="C7" s="214"/>
      <c r="D7" s="90" t="s">
        <v>75</v>
      </c>
    </row>
    <row r="8" spans="2:37" ht="14.25" customHeight="1">
      <c r="B8" s="78"/>
      <c r="C8" s="79" t="s">
        <v>40</v>
      </c>
      <c r="D8" s="90" t="s">
        <v>144</v>
      </c>
    </row>
    <row r="9" spans="2:37" ht="14.25" customHeight="1">
      <c r="B9" s="80"/>
      <c r="C9" s="81" t="s">
        <v>41</v>
      </c>
      <c r="D9" s="92">
        <v>2</v>
      </c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</row>
    <row r="10" spans="2:37" ht="14.25" customHeight="1">
      <c r="B10" s="213" t="s">
        <v>81</v>
      </c>
      <c r="C10" s="214"/>
      <c r="D10" s="90" t="s">
        <v>75</v>
      </c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</row>
    <row r="11" spans="2:37" ht="14.25" customHeight="1">
      <c r="B11" s="80"/>
      <c r="C11" s="82" t="s">
        <v>43</v>
      </c>
      <c r="D11" s="90">
        <v>30</v>
      </c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</row>
    <row r="12" spans="2:37" ht="14.25" customHeight="1">
      <c r="D12" s="83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</row>
    <row r="13" spans="2:37" ht="14.25" customHeight="1">
      <c r="B13" s="84" t="s">
        <v>44</v>
      </c>
      <c r="C13" s="85"/>
      <c r="D13" s="86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</row>
    <row r="14" spans="2:37" ht="14.25" customHeight="1">
      <c r="B14" s="87"/>
      <c r="C14" s="88" t="s">
        <v>20</v>
      </c>
      <c r="D14" s="90">
        <v>180</v>
      </c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</row>
    <row r="15" spans="2:37" ht="14.25" customHeight="1">
      <c r="B15" s="87"/>
      <c r="C15" s="88" t="s">
        <v>21</v>
      </c>
      <c r="D15" s="90">
        <v>0</v>
      </c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</row>
    <row r="16" spans="2:37" ht="14.25" customHeight="1">
      <c r="B16" s="89"/>
      <c r="C16" s="88" t="s">
        <v>22</v>
      </c>
      <c r="D16" s="90">
        <v>0</v>
      </c>
      <c r="I16" s="215"/>
      <c r="J16" s="215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</row>
    <row r="17" spans="3:37" ht="14.25" customHeight="1"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</row>
    <row r="18" spans="3:37" ht="14.25" customHeight="1"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</row>
    <row r="19" spans="3:37" ht="14.25" customHeight="1"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</row>
    <row r="20" spans="3:37" ht="14.25" customHeight="1"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5"/>
      <c r="W20" s="215"/>
      <c r="X20" s="215"/>
      <c r="Y20" s="215"/>
      <c r="Z20" s="215"/>
      <c r="AA20" s="215"/>
      <c r="AB20" s="215"/>
      <c r="AC20" s="215"/>
      <c r="AD20" s="215"/>
      <c r="AE20" s="215"/>
      <c r="AF20" s="215"/>
      <c r="AG20" s="215"/>
      <c r="AH20" s="215"/>
      <c r="AI20" s="215"/>
      <c r="AJ20" s="215"/>
      <c r="AK20" s="215"/>
    </row>
    <row r="21" spans="3:37" ht="14.25" customHeight="1"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  <c r="AC21" s="215"/>
      <c r="AD21" s="215"/>
      <c r="AE21" s="215"/>
      <c r="AF21" s="215"/>
      <c r="AG21" s="215"/>
      <c r="AH21" s="215"/>
      <c r="AI21" s="215"/>
      <c r="AJ21" s="215"/>
      <c r="AK21" s="215"/>
    </row>
    <row r="22" spans="3:37" ht="14.25" customHeight="1"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</row>
    <row r="23" spans="3:37" ht="14.25" customHeight="1"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  <c r="AC23" s="215"/>
      <c r="AD23" s="215"/>
      <c r="AE23" s="215"/>
      <c r="AF23" s="215"/>
      <c r="AG23" s="215"/>
      <c r="AH23" s="215"/>
      <c r="AI23" s="215"/>
      <c r="AJ23" s="215"/>
      <c r="AK23" s="215"/>
    </row>
    <row r="24" spans="3:37" ht="14.25" customHeight="1">
      <c r="C24" s="88" t="s">
        <v>59</v>
      </c>
      <c r="D24" s="90">
        <v>1</v>
      </c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</row>
    <row r="25" spans="3:37" ht="14.25" customHeight="1"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5"/>
      <c r="AD25" s="215"/>
      <c r="AE25" s="215"/>
      <c r="AF25" s="215"/>
      <c r="AG25" s="215"/>
      <c r="AH25" s="215"/>
      <c r="AI25" s="215"/>
      <c r="AJ25" s="215"/>
      <c r="AK25" s="215"/>
    </row>
    <row r="26" spans="3:37" ht="14.25" customHeight="1"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5"/>
      <c r="AK26" s="215"/>
    </row>
    <row r="27" spans="3:37" ht="14.25" customHeight="1"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5"/>
      <c r="T27" s="215"/>
      <c r="U27" s="215"/>
      <c r="V27" s="215"/>
      <c r="W27" s="215"/>
      <c r="X27" s="215"/>
      <c r="Y27" s="215"/>
      <c r="Z27" s="215"/>
      <c r="AA27" s="215"/>
      <c r="AB27" s="215"/>
      <c r="AC27" s="215"/>
      <c r="AD27" s="215"/>
      <c r="AE27" s="215"/>
      <c r="AF27" s="215"/>
      <c r="AG27" s="215"/>
      <c r="AH27" s="215"/>
      <c r="AI27" s="215"/>
      <c r="AJ27" s="215"/>
      <c r="AK27" s="215"/>
    </row>
    <row r="28" spans="3:37" ht="14.25" customHeight="1"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15"/>
      <c r="AA28" s="215"/>
      <c r="AB28" s="215"/>
      <c r="AC28" s="215"/>
      <c r="AD28" s="215"/>
      <c r="AE28" s="215"/>
      <c r="AF28" s="215"/>
      <c r="AG28" s="215"/>
      <c r="AH28" s="215"/>
      <c r="AI28" s="215"/>
      <c r="AJ28" s="215"/>
      <c r="AK28" s="215"/>
    </row>
    <row r="29" spans="3:37" ht="14.25" customHeight="1">
      <c r="I29" s="215"/>
      <c r="J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15"/>
      <c r="AH29" s="215"/>
      <c r="AI29" s="215"/>
      <c r="AJ29" s="215"/>
      <c r="AK29" s="215"/>
    </row>
    <row r="30" spans="3:37" ht="14.25" customHeight="1"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215"/>
      <c r="Z30" s="215"/>
      <c r="AA30" s="215"/>
      <c r="AB30" s="215"/>
      <c r="AC30" s="215"/>
      <c r="AD30" s="215"/>
      <c r="AE30" s="215"/>
      <c r="AF30" s="215"/>
      <c r="AG30" s="215"/>
      <c r="AH30" s="215"/>
      <c r="AI30" s="215"/>
      <c r="AJ30" s="215"/>
      <c r="AK30" s="215"/>
    </row>
    <row r="31" spans="3:37" ht="14.25" customHeight="1">
      <c r="I31" s="215"/>
      <c r="J31" s="215"/>
      <c r="K31" s="215"/>
      <c r="L31" s="215"/>
      <c r="M31" s="215"/>
      <c r="N31" s="215"/>
      <c r="O31" s="215"/>
      <c r="P31" s="215"/>
      <c r="Q31" s="215"/>
      <c r="R31" s="215"/>
      <c r="S31" s="215"/>
      <c r="T31" s="215"/>
      <c r="U31" s="215"/>
      <c r="V31" s="215"/>
      <c r="W31" s="215"/>
      <c r="X31" s="215"/>
      <c r="Y31" s="215"/>
      <c r="Z31" s="215"/>
      <c r="AA31" s="215"/>
      <c r="AB31" s="215"/>
      <c r="AC31" s="215"/>
      <c r="AD31" s="215"/>
      <c r="AE31" s="215"/>
      <c r="AF31" s="215"/>
      <c r="AG31" s="215"/>
      <c r="AH31" s="215"/>
      <c r="AI31" s="215"/>
      <c r="AJ31" s="215"/>
      <c r="AK31" s="215"/>
    </row>
    <row r="32" spans="3:37" ht="14.25" customHeight="1">
      <c r="I32" s="215"/>
      <c r="J32" s="215"/>
      <c r="K32" s="215"/>
      <c r="L32" s="215"/>
      <c r="M32" s="215"/>
      <c r="N32" s="215"/>
      <c r="O32" s="215"/>
      <c r="P32" s="215"/>
      <c r="Q32" s="215"/>
      <c r="R32" s="215"/>
      <c r="S32" s="215"/>
      <c r="T32" s="215"/>
      <c r="U32" s="215"/>
      <c r="V32" s="215"/>
      <c r="W32" s="215"/>
      <c r="X32" s="215"/>
      <c r="Y32" s="215"/>
      <c r="Z32" s="215"/>
      <c r="AA32" s="215"/>
      <c r="AB32" s="215"/>
      <c r="AC32" s="215"/>
      <c r="AD32" s="215"/>
      <c r="AE32" s="215"/>
      <c r="AF32" s="215"/>
      <c r="AG32" s="215"/>
      <c r="AH32" s="215"/>
      <c r="AI32" s="215"/>
      <c r="AJ32" s="215"/>
      <c r="AK32" s="215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activeCell="A5" sqref="A5:XFD27"/>
    </sheetView>
  </sheetViews>
  <sheetFormatPr defaultRowHeight="16.5" customHeight="1"/>
  <cols>
    <col min="1" max="1" width="9" style="143"/>
    <col min="2" max="16384" width="9" style="144"/>
  </cols>
  <sheetData>
    <row r="1" spans="1:17" s="138" customFormat="1" ht="16.5" customHeight="1">
      <c r="A1" s="137"/>
    </row>
    <row r="2" spans="1:17" s="138" customFormat="1" ht="16.5" customHeight="1">
      <c r="A2" s="139" t="s">
        <v>140</v>
      </c>
    </row>
    <row r="3" spans="1:17" s="141" customFormat="1" ht="16.5" customHeight="1">
      <c r="A3" s="140"/>
    </row>
    <row r="4" spans="1:17" s="95" customFormat="1" ht="16.5" customHeight="1">
      <c r="A4" s="99" t="s">
        <v>171</v>
      </c>
      <c r="B4" s="102" t="s">
        <v>172</v>
      </c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01"/>
      <c r="O4" s="101"/>
      <c r="P4" s="101"/>
    </row>
    <row r="5" spans="1:17" s="98" customFormat="1" ht="22.5" customHeight="1">
      <c r="A5" s="96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22.5" customHeight="1">
      <c r="A6" s="96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22.5" customHeight="1">
      <c r="A7" s="96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22.5" customHeight="1">
      <c r="A8" s="96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  <row r="9" spans="1:17" ht="22.5" customHeight="1"/>
    <row r="10" spans="1:17" ht="22.5" customHeight="1"/>
    <row r="11" spans="1:17" ht="22.5" customHeight="1"/>
    <row r="12" spans="1:17" ht="22.5" customHeight="1"/>
    <row r="13" spans="1:17" ht="22.5" customHeight="1"/>
    <row r="14" spans="1:17" ht="22.5" customHeight="1"/>
    <row r="15" spans="1:17" ht="22.5" customHeight="1"/>
    <row r="16" spans="1:17" ht="22.5" customHeight="1"/>
    <row r="17" ht="22.5" customHeight="1"/>
    <row r="18" ht="22.5" customHeight="1"/>
    <row r="19" ht="22.5" customHeight="1"/>
    <row r="20" ht="22.5" customHeight="1"/>
    <row r="21" ht="22.5" customHeight="1"/>
    <row r="22" ht="22.5" customHeight="1"/>
    <row r="23" ht="22.5" customHeight="1"/>
    <row r="24" ht="22.5" customHeight="1"/>
    <row r="25" ht="22.5" customHeight="1"/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K19" sqref="K19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141</v>
      </c>
    </row>
    <row r="3" spans="1:22" s="105" customFormat="1" ht="15.75" customHeight="1">
      <c r="A3" s="103"/>
    </row>
    <row r="4" spans="1:22" s="108" customFormat="1" ht="15.75" customHeight="1">
      <c r="A4" s="216" t="s">
        <v>173</v>
      </c>
      <c r="B4" s="107" t="s">
        <v>182</v>
      </c>
    </row>
    <row r="5" spans="1:22" s="104" customFormat="1" ht="15.75" customHeight="1">
      <c r="A5" s="217"/>
      <c r="B5" s="104">
        <v>1</v>
      </c>
    </row>
    <row r="6" spans="1:22" s="147" customFormat="1" ht="15.75" customHeight="1">
      <c r="A6" s="104"/>
      <c r="B6" s="148"/>
      <c r="C6" s="148"/>
      <c r="D6" s="148"/>
      <c r="E6" s="148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</row>
    <row r="7" spans="1:22" s="147" customFormat="1" ht="15.75" customHeight="1">
      <c r="A7" s="104"/>
      <c r="B7" s="148"/>
      <c r="C7" s="148"/>
      <c r="D7" s="148"/>
      <c r="E7" s="148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</row>
    <row r="8" spans="1:22" s="147" customFormat="1" ht="15.75" customHeight="1">
      <c r="A8" s="104"/>
      <c r="B8" s="148"/>
      <c r="C8" s="148"/>
      <c r="D8" s="148"/>
      <c r="E8" s="148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</row>
    <row r="9" spans="1:22" s="147" customFormat="1" ht="15.75" customHeight="1">
      <c r="A9" s="104"/>
      <c r="B9" s="148"/>
      <c r="C9" s="148"/>
      <c r="D9" s="148"/>
      <c r="E9" s="148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</row>
    <row r="10" spans="1:22" s="147" customFormat="1" ht="15.75" customHeight="1">
      <c r="A10" s="104"/>
      <c r="B10" s="148"/>
      <c r="C10" s="148"/>
      <c r="D10" s="148"/>
      <c r="E10" s="148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</row>
    <row r="11" spans="1:22" s="147" customFormat="1" ht="15.75" customHeight="1">
      <c r="A11" s="104"/>
      <c r="B11" s="148"/>
      <c r="C11" s="148"/>
      <c r="D11" s="148"/>
      <c r="E11" s="148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</row>
    <row r="12" spans="1:22" s="147" customFormat="1" ht="15.75" customHeight="1">
      <c r="A12" s="104"/>
      <c r="B12" s="148"/>
      <c r="C12" s="148"/>
      <c r="D12" s="148"/>
      <c r="E12" s="148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</row>
    <row r="13" spans="1:22" s="147" customFormat="1" ht="15.75" customHeight="1">
      <c r="A13" s="104"/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</row>
    <row r="14" spans="1:22" s="147" customFormat="1" ht="15.75" customHeight="1">
      <c r="A14" s="104"/>
      <c r="B14" s="145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</row>
    <row r="15" spans="1:22" s="147" customFormat="1" ht="15.75" customHeight="1">
      <c r="A15" s="104"/>
      <c r="B15" s="145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</row>
    <row r="16" spans="1:22" s="147" customFormat="1" ht="15.75" customHeight="1">
      <c r="A16" s="104"/>
      <c r="B16" s="145"/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</row>
    <row r="17" spans="1:22" s="147" customFormat="1" ht="15.75" customHeight="1">
      <c r="A17" s="104"/>
      <c r="B17" s="145"/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</row>
    <row r="18" spans="1:22" s="147" customFormat="1" ht="15.75" customHeight="1">
      <c r="A18" s="104"/>
      <c r="B18" s="145"/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</row>
    <row r="19" spans="1:22" s="147" customFormat="1" ht="15.75" customHeight="1">
      <c r="A19" s="104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</row>
    <row r="20" spans="1:22" s="147" customFormat="1" ht="15.75" customHeight="1">
      <c r="A20" s="104"/>
      <c r="B20" s="148"/>
      <c r="C20" s="148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</row>
    <row r="21" spans="1:22" s="147" customFormat="1" ht="15.75" customHeight="1">
      <c r="A21" s="104"/>
      <c r="B21" s="148"/>
      <c r="C21" s="148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</row>
    <row r="22" spans="1:22" s="147" customFormat="1" ht="15.75" customHeight="1">
      <c r="A22" s="104"/>
      <c r="B22" s="148"/>
      <c r="C22" s="148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</row>
    <row r="23" spans="1:22" s="147" customFormat="1" ht="15.75" customHeight="1">
      <c r="A23" s="104"/>
      <c r="B23" s="148"/>
      <c r="C23" s="148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S23" s="145"/>
      <c r="T23" s="145"/>
      <c r="U23" s="145"/>
    </row>
    <row r="24" spans="1:22" s="147" customFormat="1" ht="15.75" customHeight="1">
      <c r="A24" s="104"/>
      <c r="B24" s="148"/>
      <c r="C24" s="148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S24" s="145"/>
      <c r="T24" s="145"/>
      <c r="U24" s="145"/>
    </row>
    <row r="25" spans="1:22" s="147" customFormat="1" ht="15.75" customHeight="1">
      <c r="A25" s="104"/>
      <c r="B25" s="148"/>
      <c r="C25" s="148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S25" s="145"/>
      <c r="T25" s="145"/>
      <c r="U25" s="145"/>
    </row>
    <row r="26" spans="1:22" s="147" customFormat="1" ht="15.75" customHeight="1">
      <c r="A26" s="104"/>
      <c r="B26" s="148"/>
      <c r="C26" s="148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S26" s="145"/>
      <c r="T26" s="145"/>
      <c r="U26" s="145"/>
    </row>
    <row r="27" spans="1:22" s="147" customFormat="1" ht="15.75" customHeight="1">
      <c r="A27" s="104"/>
      <c r="B27" s="148"/>
      <c r="C27" s="148"/>
      <c r="D27" s="145"/>
      <c r="E27" s="145"/>
      <c r="V27" s="145"/>
    </row>
    <row r="28" spans="1:22" s="147" customFormat="1" ht="15.75" customHeight="1">
      <c r="A28" s="104"/>
      <c r="B28" s="145"/>
      <c r="C28" s="145"/>
      <c r="D28" s="145"/>
      <c r="E28" s="145"/>
      <c r="F28" s="145"/>
    </row>
    <row r="29" spans="1:22" s="147" customFormat="1" ht="15.75" customHeight="1">
      <c r="A29" s="104"/>
      <c r="B29" s="145"/>
      <c r="C29" s="145"/>
      <c r="D29" s="145"/>
      <c r="E29" s="145"/>
      <c r="F29" s="145"/>
      <c r="N29" s="145"/>
      <c r="T29" s="145"/>
    </row>
    <row r="30" spans="1:22" s="147" customFormat="1" ht="15.75" customHeight="1">
      <c r="A30" s="104"/>
      <c r="B30" s="145"/>
      <c r="C30" s="145"/>
      <c r="D30" s="145"/>
      <c r="E30" s="145"/>
      <c r="F30" s="145"/>
      <c r="O30" s="145"/>
      <c r="P30" s="145"/>
      <c r="Q30" s="145"/>
      <c r="R30" s="145"/>
      <c r="T30" s="145"/>
    </row>
    <row r="31" spans="1:22" s="147" customFormat="1" ht="15.75" customHeight="1">
      <c r="A31" s="104"/>
      <c r="B31" s="145"/>
      <c r="C31" s="145"/>
      <c r="D31" s="145"/>
      <c r="E31" s="145"/>
      <c r="F31" s="145"/>
      <c r="O31" s="145"/>
      <c r="P31" s="145"/>
      <c r="Q31" s="145"/>
      <c r="R31" s="145"/>
      <c r="T31" s="145"/>
    </row>
    <row r="32" spans="1:22" s="147" customFormat="1" ht="15.75" customHeight="1">
      <c r="A32" s="104"/>
      <c r="B32" s="145"/>
      <c r="C32" s="145"/>
      <c r="D32" s="145"/>
      <c r="E32" s="145"/>
      <c r="F32" s="145"/>
      <c r="O32" s="145"/>
      <c r="P32" s="145"/>
      <c r="Q32" s="145"/>
      <c r="R32" s="145"/>
      <c r="T32" s="145"/>
    </row>
    <row r="33" spans="1:21" s="147" customFormat="1" ht="15.75" customHeight="1">
      <c r="A33" s="104"/>
      <c r="B33" s="145"/>
      <c r="C33" s="145"/>
      <c r="D33" s="145"/>
      <c r="E33" s="145"/>
      <c r="F33" s="145"/>
      <c r="O33" s="145"/>
      <c r="P33" s="145"/>
      <c r="Q33" s="145"/>
      <c r="R33" s="145"/>
      <c r="T33" s="145"/>
    </row>
    <row r="34" spans="1:21" s="147" customFormat="1" ht="15.75" customHeight="1">
      <c r="A34" s="104"/>
      <c r="B34" s="145"/>
      <c r="C34" s="145"/>
      <c r="D34" s="145"/>
      <c r="E34" s="145"/>
      <c r="F34" s="145"/>
      <c r="O34" s="145"/>
      <c r="P34" s="145"/>
      <c r="Q34" s="145"/>
      <c r="R34" s="145"/>
      <c r="T34" s="145"/>
    </row>
    <row r="35" spans="1:21" s="147" customFormat="1" ht="15.75" customHeight="1">
      <c r="A35" s="104"/>
      <c r="B35" s="145"/>
      <c r="C35" s="145"/>
      <c r="D35" s="145"/>
      <c r="E35" s="145"/>
      <c r="F35" s="145"/>
      <c r="O35" s="145"/>
      <c r="P35" s="145"/>
      <c r="Q35" s="145"/>
      <c r="R35" s="145"/>
      <c r="T35" s="145"/>
    </row>
    <row r="36" spans="1:21" s="147" customFormat="1" ht="15.75" customHeight="1">
      <c r="A36" s="104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</row>
    <row r="37" spans="1:21" s="147" customFormat="1" ht="15.75" customHeight="1">
      <c r="A37" s="104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</row>
    <row r="38" spans="1:21" s="147" customFormat="1" ht="15.75" customHeight="1">
      <c r="A38" s="104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</row>
    <row r="39" spans="1:21" s="147" customFormat="1" ht="15.75" customHeight="1">
      <c r="A39" s="104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</row>
    <row r="40" spans="1:21" s="147" customFormat="1" ht="15.75" customHeight="1">
      <c r="A40" s="104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</row>
    <row r="41" spans="1:21" s="147" customFormat="1" ht="15.75" customHeight="1">
      <c r="A41" s="104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</row>
    <row r="42" spans="1:21" s="147" customFormat="1" ht="15.75" customHeight="1">
      <c r="A42" s="104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8"/>
  <sheetViews>
    <sheetView workbookViewId="0">
      <selection activeCell="E18" sqref="E18"/>
    </sheetView>
  </sheetViews>
  <sheetFormatPr defaultRowHeight="16.5" customHeight="1"/>
  <cols>
    <col min="1" max="1" width="9" style="143"/>
    <col min="2" max="16384" width="9" style="144"/>
  </cols>
  <sheetData>
    <row r="1" spans="1:40" s="138" customFormat="1" ht="16.5" customHeight="1">
      <c r="A1" s="137"/>
    </row>
    <row r="2" spans="1:40" s="138" customFormat="1" ht="16.5" customHeight="1">
      <c r="A2" s="139" t="s">
        <v>142</v>
      </c>
    </row>
    <row r="3" spans="1:40" s="141" customFormat="1" ht="16.5" customHeight="1">
      <c r="A3" s="140"/>
    </row>
    <row r="4" spans="1:40" s="95" customFormat="1" ht="16.5" customHeight="1">
      <c r="A4" s="99" t="s">
        <v>174</v>
      </c>
      <c r="B4" s="102" t="s">
        <v>172</v>
      </c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01"/>
      <c r="O4" s="101"/>
      <c r="P4" s="101"/>
    </row>
    <row r="5" spans="1:40" s="98" customFormat="1" ht="22.5" customHeight="1">
      <c r="A5" s="96"/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</row>
    <row r="6" spans="1:40" s="98" customFormat="1" ht="22.5" customHeight="1">
      <c r="A6" s="96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40" s="98" customFormat="1" ht="22.5" customHeight="1">
      <c r="A7" s="96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40" ht="22.5" customHeight="1"/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J234"/>
  <sheetViews>
    <sheetView zoomScale="115" zoomScaleNormal="115" workbookViewId="0">
      <selection activeCell="E63" sqref="E63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9" style="25" customWidth="1"/>
    <col min="17" max="17" width="9.125" style="25" bestFit="1" customWidth="1"/>
    <col min="18" max="18" width="13.875" style="25" bestFit="1" customWidth="1"/>
    <col min="19" max="16384" width="9" style="25"/>
  </cols>
  <sheetData>
    <row r="6" spans="2:5">
      <c r="B6" s="25" t="s">
        <v>112</v>
      </c>
      <c r="C6" s="25" t="s">
        <v>113</v>
      </c>
      <c r="D6" s="25" t="s">
        <v>114</v>
      </c>
      <c r="E6" s="25" t="s">
        <v>115</v>
      </c>
    </row>
    <row r="7" spans="2:5">
      <c r="B7" s="25">
        <v>1</v>
      </c>
      <c r="C7" s="25">
        <v>1</v>
      </c>
      <c r="D7" s="25" t="s">
        <v>178</v>
      </c>
      <c r="E7" s="25" t="s">
        <v>179</v>
      </c>
    </row>
    <row r="9" spans="2:5">
      <c r="B9" s="25" t="s">
        <v>116</v>
      </c>
      <c r="C9" s="25">
        <v>37</v>
      </c>
    </row>
    <row r="11" spans="2:5">
      <c r="B11" s="25" t="s">
        <v>117</v>
      </c>
    </row>
    <row r="12" spans="2:5">
      <c r="C12" s="25" t="s">
        <v>118</v>
      </c>
      <c r="D12" s="25" t="s">
        <v>119</v>
      </c>
      <c r="E12" s="25" t="s">
        <v>120</v>
      </c>
    </row>
    <row r="13" spans="2:5">
      <c r="B13" s="25">
        <v>1</v>
      </c>
      <c r="C13" s="25">
        <v>-21.25</v>
      </c>
      <c r="D13" s="25">
        <v>-7.35</v>
      </c>
      <c r="E13" s="25">
        <v>0</v>
      </c>
    </row>
    <row r="14" spans="2:5">
      <c r="B14" s="25">
        <v>2</v>
      </c>
      <c r="C14" s="25">
        <v>-19.684999999999999</v>
      </c>
      <c r="D14" s="25">
        <v>-7.35</v>
      </c>
      <c r="E14" s="25">
        <v>0</v>
      </c>
    </row>
    <row r="15" spans="2:5">
      <c r="B15" s="25">
        <v>3</v>
      </c>
      <c r="C15" s="25">
        <v>-19.41</v>
      </c>
      <c r="D15" s="25">
        <v>-7.35</v>
      </c>
      <c r="E15" s="25">
        <v>0</v>
      </c>
    </row>
    <row r="16" spans="2:5">
      <c r="B16" s="25">
        <v>4</v>
      </c>
      <c r="C16" s="25">
        <v>-19.135000000000002</v>
      </c>
      <c r="D16" s="25">
        <v>-7.35</v>
      </c>
      <c r="E16" s="25">
        <v>0</v>
      </c>
    </row>
    <row r="17" spans="2:5">
      <c r="B17" s="25">
        <v>5</v>
      </c>
      <c r="C17" s="25">
        <v>-13.215</v>
      </c>
      <c r="D17" s="25">
        <v>-7.35</v>
      </c>
      <c r="E17" s="25">
        <v>0</v>
      </c>
    </row>
    <row r="18" spans="2:5">
      <c r="B18" s="25">
        <v>6</v>
      </c>
      <c r="C18" s="25">
        <v>-12.94</v>
      </c>
      <c r="D18" s="25">
        <v>-7.35</v>
      </c>
      <c r="E18" s="25">
        <v>0</v>
      </c>
    </row>
    <row r="19" spans="2:5">
      <c r="B19" s="25">
        <v>7</v>
      </c>
      <c r="C19" s="25">
        <v>-12.664999999999999</v>
      </c>
      <c r="D19" s="25">
        <v>-7.35</v>
      </c>
      <c r="E19" s="25">
        <v>0</v>
      </c>
    </row>
    <row r="20" spans="2:5">
      <c r="B20" s="25">
        <v>8</v>
      </c>
      <c r="C20" s="25">
        <v>-6.7450000000000001</v>
      </c>
      <c r="D20" s="25">
        <v>-7.35</v>
      </c>
      <c r="E20" s="25">
        <v>0</v>
      </c>
    </row>
    <row r="21" spans="2:5">
      <c r="B21" s="25">
        <v>9</v>
      </c>
      <c r="C21" s="25">
        <v>-6.47</v>
      </c>
      <c r="D21" s="25">
        <v>-7.35</v>
      </c>
      <c r="E21" s="25">
        <v>0</v>
      </c>
    </row>
    <row r="22" spans="2:5">
      <c r="B22" s="25">
        <v>10</v>
      </c>
      <c r="C22" s="25">
        <v>-6.1950000000000003</v>
      </c>
      <c r="D22" s="25">
        <v>-7.35</v>
      </c>
      <c r="E22" s="25">
        <v>0</v>
      </c>
    </row>
    <row r="23" spans="2:5">
      <c r="B23" s="25">
        <v>11</v>
      </c>
      <c r="C23" s="25">
        <v>-0.27500000000000002</v>
      </c>
      <c r="D23" s="25">
        <v>-7.35</v>
      </c>
      <c r="E23" s="25">
        <v>0</v>
      </c>
    </row>
    <row r="24" spans="2:5">
      <c r="B24" s="25">
        <v>12</v>
      </c>
      <c r="C24" s="25">
        <v>0</v>
      </c>
      <c r="D24" s="25">
        <v>-7.35</v>
      </c>
      <c r="E24" s="25">
        <v>0</v>
      </c>
    </row>
    <row r="25" spans="2:5">
      <c r="B25" s="25">
        <v>13</v>
      </c>
      <c r="C25" s="25">
        <v>0.27500000000000002</v>
      </c>
      <c r="D25" s="25">
        <v>-7.35</v>
      </c>
      <c r="E25" s="25">
        <v>0</v>
      </c>
    </row>
    <row r="26" spans="2:5">
      <c r="B26" s="25">
        <v>14</v>
      </c>
      <c r="C26" s="25">
        <v>6.1950000000000003</v>
      </c>
      <c r="D26" s="25">
        <v>-7.35</v>
      </c>
      <c r="E26" s="25">
        <v>0</v>
      </c>
    </row>
    <row r="27" spans="2:5">
      <c r="B27" s="25">
        <v>15</v>
      </c>
      <c r="C27" s="25">
        <v>6.47</v>
      </c>
      <c r="D27" s="25">
        <v>-7.35</v>
      </c>
      <c r="E27" s="25">
        <v>0</v>
      </c>
    </row>
    <row r="28" spans="2:5">
      <c r="B28" s="25">
        <v>16</v>
      </c>
      <c r="C28" s="25">
        <v>6.7450000000000001</v>
      </c>
      <c r="D28" s="25">
        <v>-7.35</v>
      </c>
      <c r="E28" s="25">
        <v>0</v>
      </c>
    </row>
    <row r="29" spans="2:5">
      <c r="B29" s="25">
        <v>17</v>
      </c>
      <c r="C29" s="25">
        <v>12.664999999999999</v>
      </c>
      <c r="D29" s="25">
        <v>-7.35</v>
      </c>
      <c r="E29" s="25">
        <v>0</v>
      </c>
    </row>
    <row r="30" spans="2:5">
      <c r="B30" s="25">
        <v>18</v>
      </c>
      <c r="C30" s="25">
        <v>12.94</v>
      </c>
      <c r="D30" s="25">
        <v>-7.35</v>
      </c>
      <c r="E30" s="25">
        <v>0</v>
      </c>
    </row>
    <row r="31" spans="2:5">
      <c r="B31" s="25">
        <v>19</v>
      </c>
      <c r="C31" s="25">
        <v>13.215</v>
      </c>
      <c r="D31" s="25">
        <v>-7.35</v>
      </c>
      <c r="E31" s="25">
        <v>0</v>
      </c>
    </row>
    <row r="32" spans="2:5">
      <c r="B32" s="25">
        <v>20</v>
      </c>
      <c r="C32" s="25">
        <v>19.135000000000002</v>
      </c>
      <c r="D32" s="25">
        <v>-7.35</v>
      </c>
      <c r="E32" s="25">
        <v>0</v>
      </c>
    </row>
    <row r="33" spans="2:5">
      <c r="B33" s="25">
        <v>21</v>
      </c>
      <c r="C33" s="25">
        <v>19.41</v>
      </c>
      <c r="D33" s="25">
        <v>-7.35</v>
      </c>
      <c r="E33" s="25">
        <v>0</v>
      </c>
    </row>
    <row r="34" spans="2:5">
      <c r="B34" s="25">
        <v>22</v>
      </c>
      <c r="C34" s="25">
        <v>19.684999999999999</v>
      </c>
      <c r="D34" s="25">
        <v>-7.35</v>
      </c>
      <c r="E34" s="25">
        <v>0</v>
      </c>
    </row>
    <row r="35" spans="2:5">
      <c r="B35" s="25">
        <v>23</v>
      </c>
      <c r="C35" s="25">
        <v>21.25</v>
      </c>
      <c r="D35" s="25">
        <v>-7.35</v>
      </c>
      <c r="E35" s="25">
        <v>0</v>
      </c>
    </row>
    <row r="36" spans="2:5">
      <c r="B36" s="25">
        <v>24</v>
      </c>
      <c r="C36" s="25">
        <v>-19.41</v>
      </c>
      <c r="D36" s="25">
        <v>-6.1749999999999998</v>
      </c>
      <c r="E36" s="25">
        <v>0</v>
      </c>
    </row>
    <row r="37" spans="2:5">
      <c r="B37" s="25">
        <v>25</v>
      </c>
      <c r="C37" s="25">
        <v>-12.94</v>
      </c>
      <c r="D37" s="25">
        <v>-6.1749999999999998</v>
      </c>
      <c r="E37" s="25">
        <v>0</v>
      </c>
    </row>
    <row r="38" spans="2:5">
      <c r="B38" s="25">
        <v>26</v>
      </c>
      <c r="C38" s="25">
        <v>-6.47</v>
      </c>
      <c r="D38" s="25">
        <v>-6.1749999999999998</v>
      </c>
      <c r="E38" s="25">
        <v>0</v>
      </c>
    </row>
    <row r="39" spans="2:5">
      <c r="B39" s="25">
        <v>27</v>
      </c>
      <c r="C39" s="25">
        <v>0</v>
      </c>
      <c r="D39" s="25">
        <v>-6.1749999999999998</v>
      </c>
      <c r="E39" s="25">
        <v>0</v>
      </c>
    </row>
    <row r="40" spans="2:5">
      <c r="B40" s="25">
        <v>28</v>
      </c>
      <c r="C40" s="25">
        <v>6.47</v>
      </c>
      <c r="D40" s="25">
        <v>-6.1749999999999998</v>
      </c>
      <c r="E40" s="25">
        <v>0</v>
      </c>
    </row>
    <row r="41" spans="2:5">
      <c r="B41" s="25">
        <v>29</v>
      </c>
      <c r="C41" s="25">
        <v>12.94</v>
      </c>
      <c r="D41" s="25">
        <v>-6.1749999999999998</v>
      </c>
      <c r="E41" s="25">
        <v>0</v>
      </c>
    </row>
    <row r="42" spans="2:5">
      <c r="B42" s="25">
        <v>30</v>
      </c>
      <c r="C42" s="25">
        <v>19.41</v>
      </c>
      <c r="D42" s="25">
        <v>-6.1749999999999998</v>
      </c>
      <c r="E42" s="25">
        <v>0</v>
      </c>
    </row>
    <row r="43" spans="2:5">
      <c r="B43" s="25">
        <v>31</v>
      </c>
      <c r="C43" s="25">
        <v>-19.41</v>
      </c>
      <c r="D43" s="25">
        <v>0</v>
      </c>
      <c r="E43" s="25">
        <v>0</v>
      </c>
    </row>
    <row r="44" spans="2:5">
      <c r="B44" s="25">
        <v>32</v>
      </c>
      <c r="C44" s="25">
        <v>-12.94</v>
      </c>
      <c r="D44" s="25">
        <v>0</v>
      </c>
      <c r="E44" s="25">
        <v>0</v>
      </c>
    </row>
    <row r="45" spans="2:5">
      <c r="B45" s="25">
        <v>33</v>
      </c>
      <c r="C45" s="25">
        <v>-6.47</v>
      </c>
      <c r="D45" s="25">
        <v>0</v>
      </c>
      <c r="E45" s="25">
        <v>0</v>
      </c>
    </row>
    <row r="46" spans="2:5">
      <c r="B46" s="25">
        <v>34</v>
      </c>
      <c r="C46" s="25">
        <v>0</v>
      </c>
      <c r="D46" s="25">
        <v>0</v>
      </c>
      <c r="E46" s="25">
        <v>0</v>
      </c>
    </row>
    <row r="47" spans="2:5">
      <c r="B47" s="25">
        <v>35</v>
      </c>
      <c r="C47" s="25">
        <v>6.47</v>
      </c>
      <c r="D47" s="25">
        <v>0</v>
      </c>
      <c r="E47" s="25">
        <v>0</v>
      </c>
    </row>
    <row r="48" spans="2:5">
      <c r="B48" s="25">
        <v>36</v>
      </c>
      <c r="C48" s="25">
        <v>12.94</v>
      </c>
      <c r="D48" s="25">
        <v>0</v>
      </c>
      <c r="E48" s="25">
        <v>0</v>
      </c>
    </row>
    <row r="49" spans="2:8">
      <c r="B49" s="25">
        <v>37</v>
      </c>
      <c r="C49" s="25">
        <v>19.41</v>
      </c>
      <c r="D49" s="25">
        <v>0</v>
      </c>
      <c r="E49" s="25">
        <v>0</v>
      </c>
    </row>
    <row r="52" spans="2:8">
      <c r="B52" s="25" t="s">
        <v>121</v>
      </c>
    </row>
    <row r="53" spans="2:8">
      <c r="C53" s="25" t="s">
        <v>118</v>
      </c>
      <c r="D53" s="25" t="s">
        <v>119</v>
      </c>
      <c r="E53" s="25" t="s">
        <v>120</v>
      </c>
      <c r="F53" s="25" t="s">
        <v>122</v>
      </c>
      <c r="G53" s="25" t="s">
        <v>123</v>
      </c>
      <c r="H53" s="25" t="s">
        <v>124</v>
      </c>
    </row>
    <row r="54" spans="2:8">
      <c r="B54" s="25">
        <v>1</v>
      </c>
      <c r="C54" s="25">
        <v>2.7464872691780329E-3</v>
      </c>
      <c r="D54" s="25">
        <v>-4.116376512683928E-4</v>
      </c>
      <c r="E54" s="25">
        <v>0</v>
      </c>
      <c r="F54" s="25">
        <v>0</v>
      </c>
      <c r="G54" s="25">
        <v>0</v>
      </c>
      <c r="H54" s="25">
        <v>1.2822380813304335E-4</v>
      </c>
    </row>
    <row r="55" spans="2:8">
      <c r="B55" s="25">
        <v>2</v>
      </c>
      <c r="C55" s="25">
        <v>2.5117371696978807E-3</v>
      </c>
      <c r="D55" s="25">
        <v>-2.1096739510539919E-4</v>
      </c>
      <c r="E55" s="25">
        <v>0</v>
      </c>
      <c r="F55" s="25">
        <v>0</v>
      </c>
      <c r="G55" s="25">
        <v>0</v>
      </c>
      <c r="H55" s="25">
        <v>1.2822380813304335E-4</v>
      </c>
    </row>
    <row r="56" spans="2:8">
      <c r="B56" s="25">
        <v>3</v>
      </c>
      <c r="C56" s="25">
        <v>2.4704872630536556E-3</v>
      </c>
      <c r="D56" s="25">
        <v>-1.7570584896020591E-4</v>
      </c>
      <c r="E56" s="25">
        <v>0</v>
      </c>
      <c r="F56" s="25">
        <v>0</v>
      </c>
      <c r="G56" s="25">
        <v>0</v>
      </c>
      <c r="H56" s="25">
        <v>1.2822380813304335E-4</v>
      </c>
    </row>
    <row r="57" spans="2:8">
      <c r="B57" s="25">
        <v>4</v>
      </c>
      <c r="C57" s="25">
        <v>2.4293314199894667E-3</v>
      </c>
      <c r="D57" s="25">
        <v>-1.4049562742002308E-4</v>
      </c>
      <c r="E57" s="25">
        <v>0</v>
      </c>
      <c r="F57" s="25">
        <v>0</v>
      </c>
      <c r="G57" s="25">
        <v>0</v>
      </c>
      <c r="H57" s="25">
        <v>1.278543786611408E-4</v>
      </c>
    </row>
    <row r="58" spans="2:8">
      <c r="B58" s="25">
        <v>5</v>
      </c>
      <c r="C58" s="25">
        <v>1.6303451266139746E-3</v>
      </c>
      <c r="D58" s="25">
        <v>8.1318765296600759E-5</v>
      </c>
      <c r="E58" s="25">
        <v>0</v>
      </c>
      <c r="F58" s="25">
        <v>0</v>
      </c>
      <c r="G58" s="25">
        <v>0</v>
      </c>
      <c r="H58" s="25">
        <v>2.2647336663794704E-5</v>
      </c>
    </row>
    <row r="59" spans="2:8">
      <c r="B59" s="25">
        <v>6</v>
      </c>
      <c r="C59" s="25">
        <v>1.5891891671344638E-3</v>
      </c>
      <c r="D59" s="25">
        <v>8.7565851572435349E-5</v>
      </c>
      <c r="E59" s="25">
        <v>0</v>
      </c>
      <c r="F59" s="25">
        <v>0</v>
      </c>
      <c r="G59" s="25">
        <v>0</v>
      </c>
      <c r="H59" s="25">
        <v>2.2789758077124134E-5</v>
      </c>
    </row>
    <row r="60" spans="2:8">
      <c r="B60" s="25">
        <v>7</v>
      </c>
      <c r="C60" s="25">
        <v>1.5481062000617385E-3</v>
      </c>
      <c r="D60" s="25">
        <v>9.3812457635067403E-5</v>
      </c>
      <c r="E60" s="25">
        <v>0</v>
      </c>
      <c r="F60" s="25">
        <v>0</v>
      </c>
      <c r="G60" s="25">
        <v>0</v>
      </c>
      <c r="H60" s="25">
        <v>2.2642043404630385E-5</v>
      </c>
    </row>
    <row r="61" spans="2:8">
      <c r="B61" s="25">
        <v>8</v>
      </c>
      <c r="C61" s="25">
        <v>8.1814319128170609E-4</v>
      </c>
      <c r="D61" s="25">
        <v>6.2597311625722796E-5</v>
      </c>
      <c r="E61" s="25">
        <v>0</v>
      </c>
      <c r="F61" s="25">
        <v>0</v>
      </c>
      <c r="G61" s="25">
        <v>0</v>
      </c>
      <c r="H61" s="25">
        <v>4.7179723878798541E-6</v>
      </c>
    </row>
    <row r="62" spans="2:8">
      <c r="B62" s="25">
        <v>9</v>
      </c>
      <c r="C62" s="25">
        <v>7.770602242089808E-4</v>
      </c>
      <c r="D62" s="25">
        <v>6.3909486925695091E-5</v>
      </c>
      <c r="E62" s="25">
        <v>0</v>
      </c>
      <c r="F62" s="25">
        <v>0</v>
      </c>
      <c r="G62" s="25">
        <v>0</v>
      </c>
      <c r="H62" s="25">
        <v>4.8270139814121649E-6</v>
      </c>
    </row>
    <row r="63" spans="2:8">
      <c r="B63" s="25">
        <v>10</v>
      </c>
      <c r="C63" s="25">
        <v>7.3601421900093555E-4</v>
      </c>
      <c r="D63" s="25">
        <v>6.5231273765675724E-5</v>
      </c>
      <c r="E63" s="25">
        <v>0</v>
      </c>
      <c r="F63" s="25">
        <v>0</v>
      </c>
      <c r="G63" s="25">
        <v>0</v>
      </c>
      <c r="H63" s="25">
        <v>4.7865255510259885E-6</v>
      </c>
    </row>
    <row r="64" spans="2:8">
      <c r="B64" s="25">
        <v>11</v>
      </c>
      <c r="C64" s="25">
        <v>4.1046005208045244E-5</v>
      </c>
      <c r="D64" s="25">
        <v>4.8465248255524784E-5</v>
      </c>
      <c r="E64" s="25">
        <v>0</v>
      </c>
      <c r="F64" s="25">
        <v>0</v>
      </c>
      <c r="G64" s="25">
        <v>0</v>
      </c>
      <c r="H64" s="25">
        <v>-3.0096217074060405E-8</v>
      </c>
    </row>
    <row r="65" spans="2:8">
      <c r="B65" s="25">
        <v>12</v>
      </c>
      <c r="C65" s="25">
        <v>-1.9347060489994161E-15</v>
      </c>
      <c r="D65" s="25">
        <v>4.8461039114044979E-5</v>
      </c>
      <c r="E65" s="25">
        <v>0</v>
      </c>
      <c r="F65" s="25">
        <v>0</v>
      </c>
      <c r="G65" s="25">
        <v>0</v>
      </c>
      <c r="H65" s="25">
        <v>5.1607044028464748E-17</v>
      </c>
    </row>
    <row r="66" spans="2:8">
      <c r="B66" s="25">
        <v>13</v>
      </c>
      <c r="C66" s="25">
        <v>-4.1046005208045244E-5</v>
      </c>
      <c r="D66" s="25">
        <v>4.8465248255524784E-5</v>
      </c>
      <c r="E66" s="25">
        <v>0</v>
      </c>
      <c r="F66" s="25">
        <v>0</v>
      </c>
      <c r="G66" s="25">
        <v>0</v>
      </c>
      <c r="H66" s="25">
        <v>3.0096217074060405E-8</v>
      </c>
    </row>
    <row r="67" spans="2:8">
      <c r="B67" s="25">
        <v>14</v>
      </c>
      <c r="C67" s="25">
        <v>-7.3601421900093555E-4</v>
      </c>
      <c r="D67" s="25">
        <v>6.5231273765675724E-5</v>
      </c>
      <c r="E67" s="25">
        <v>0</v>
      </c>
      <c r="F67" s="25">
        <v>0</v>
      </c>
      <c r="G67" s="25">
        <v>0</v>
      </c>
      <c r="H67" s="25">
        <v>-4.7865255510259885E-6</v>
      </c>
    </row>
    <row r="68" spans="2:8">
      <c r="B68" s="25">
        <v>15</v>
      </c>
      <c r="C68" s="25">
        <v>-7.770602242089808E-4</v>
      </c>
      <c r="D68" s="25">
        <v>6.3909486925695091E-5</v>
      </c>
      <c r="E68" s="25">
        <v>0</v>
      </c>
      <c r="F68" s="25">
        <v>0</v>
      </c>
      <c r="G68" s="25">
        <v>0</v>
      </c>
      <c r="H68" s="25">
        <v>-4.8270139814121649E-6</v>
      </c>
    </row>
    <row r="69" spans="2:8">
      <c r="B69" s="25">
        <v>16</v>
      </c>
      <c r="C69" s="25">
        <v>-8.1814319128170609E-4</v>
      </c>
      <c r="D69" s="25">
        <v>6.2597311625722796E-5</v>
      </c>
      <c r="E69" s="25">
        <v>0</v>
      </c>
      <c r="F69" s="25">
        <v>0</v>
      </c>
      <c r="G69" s="25">
        <v>0</v>
      </c>
      <c r="H69" s="25">
        <v>-4.7179723878798541E-6</v>
      </c>
    </row>
    <row r="70" spans="2:8">
      <c r="B70" s="25">
        <v>17</v>
      </c>
      <c r="C70" s="25">
        <v>-1.5481062000617385E-3</v>
      </c>
      <c r="D70" s="25">
        <v>9.3812457635067403E-5</v>
      </c>
      <c r="E70" s="25">
        <v>0</v>
      </c>
      <c r="F70" s="25">
        <v>0</v>
      </c>
      <c r="G70" s="25">
        <v>0</v>
      </c>
      <c r="H70" s="25">
        <v>-2.2642043404630385E-5</v>
      </c>
    </row>
    <row r="71" spans="2:8">
      <c r="B71" s="25">
        <v>18</v>
      </c>
      <c r="C71" s="25">
        <v>-1.5891891671344638E-3</v>
      </c>
      <c r="D71" s="25">
        <v>8.7565851572435349E-5</v>
      </c>
      <c r="E71" s="25">
        <v>0</v>
      </c>
      <c r="F71" s="25">
        <v>0</v>
      </c>
      <c r="G71" s="25">
        <v>0</v>
      </c>
      <c r="H71" s="25">
        <v>-2.2789758077124134E-5</v>
      </c>
    </row>
    <row r="72" spans="2:8">
      <c r="B72" s="25">
        <v>19</v>
      </c>
      <c r="C72" s="25">
        <v>-1.6303451266139746E-3</v>
      </c>
      <c r="D72" s="25">
        <v>8.1318765296600759E-5</v>
      </c>
      <c r="E72" s="25">
        <v>0</v>
      </c>
      <c r="F72" s="25">
        <v>0</v>
      </c>
      <c r="G72" s="25">
        <v>0</v>
      </c>
      <c r="H72" s="25">
        <v>-2.2647336663794704E-5</v>
      </c>
    </row>
    <row r="73" spans="2:8">
      <c r="B73" s="25">
        <v>20</v>
      </c>
      <c r="C73" s="25">
        <v>-2.4293314199894667E-3</v>
      </c>
      <c r="D73" s="25">
        <v>-1.4049562742002308E-4</v>
      </c>
      <c r="E73" s="25">
        <v>0</v>
      </c>
      <c r="F73" s="25">
        <v>0</v>
      </c>
      <c r="G73" s="25">
        <v>0</v>
      </c>
      <c r="H73" s="25">
        <v>-1.278543786611408E-4</v>
      </c>
    </row>
    <row r="74" spans="2:8">
      <c r="B74" s="25">
        <v>21</v>
      </c>
      <c r="C74" s="25">
        <v>-2.4704872630536556E-3</v>
      </c>
      <c r="D74" s="25">
        <v>-1.7570584896020591E-4</v>
      </c>
      <c r="E74" s="25">
        <v>0</v>
      </c>
      <c r="F74" s="25">
        <v>0</v>
      </c>
      <c r="G74" s="25">
        <v>0</v>
      </c>
      <c r="H74" s="25">
        <v>-1.2822380813304335E-4</v>
      </c>
    </row>
    <row r="75" spans="2:8">
      <c r="B75" s="25">
        <v>22</v>
      </c>
      <c r="C75" s="25">
        <v>-2.5117371696978807E-3</v>
      </c>
      <c r="D75" s="25">
        <v>-2.1096739510539919E-4</v>
      </c>
      <c r="E75" s="25">
        <v>0</v>
      </c>
      <c r="F75" s="25">
        <v>0</v>
      </c>
      <c r="G75" s="25">
        <v>0</v>
      </c>
      <c r="H75" s="25">
        <v>-1.2822380813304335E-4</v>
      </c>
    </row>
    <row r="76" spans="2:8">
      <c r="B76" s="25">
        <v>23</v>
      </c>
      <c r="C76" s="25">
        <v>-2.7464872691780329E-3</v>
      </c>
      <c r="D76" s="25">
        <v>-4.116376512683928E-4</v>
      </c>
      <c r="E76" s="25">
        <v>0</v>
      </c>
      <c r="F76" s="25">
        <v>0</v>
      </c>
      <c r="G76" s="25">
        <v>0</v>
      </c>
      <c r="H76" s="25">
        <v>-1.2822380813304335E-4</v>
      </c>
    </row>
    <row r="77" spans="2:8">
      <c r="B77" s="25">
        <v>24</v>
      </c>
      <c r="C77" s="25">
        <v>2.3189608473330736E-3</v>
      </c>
      <c r="D77" s="25">
        <v>-1.7535283404868096E-4</v>
      </c>
      <c r="E77" s="25">
        <v>0</v>
      </c>
      <c r="F77" s="25">
        <v>0</v>
      </c>
      <c r="G77" s="25">
        <v>0</v>
      </c>
      <c r="H77" s="25">
        <v>1.2961463653482497E-4</v>
      </c>
    </row>
    <row r="78" spans="2:8">
      <c r="B78" s="25">
        <v>25</v>
      </c>
      <c r="C78" s="25">
        <v>1.5617117751389742E-3</v>
      </c>
      <c r="D78" s="25">
        <v>8.7389918917324394E-5</v>
      </c>
      <c r="E78" s="25">
        <v>0</v>
      </c>
      <c r="F78" s="25">
        <v>0</v>
      </c>
      <c r="G78" s="25">
        <v>0</v>
      </c>
      <c r="H78" s="25">
        <v>2.3919219529489055E-5</v>
      </c>
    </row>
    <row r="79" spans="2:8">
      <c r="B79" s="25">
        <v>26</v>
      </c>
      <c r="C79" s="25">
        <v>7.7103124931454659E-4</v>
      </c>
      <c r="D79" s="25">
        <v>6.3781080825719982E-5</v>
      </c>
      <c r="E79" s="25">
        <v>0</v>
      </c>
      <c r="F79" s="25">
        <v>0</v>
      </c>
      <c r="G79" s="25">
        <v>0</v>
      </c>
      <c r="H79" s="25">
        <v>5.4041256589698605E-6</v>
      </c>
    </row>
    <row r="80" spans="2:8">
      <c r="B80" s="25">
        <v>27</v>
      </c>
      <c r="C80" s="25">
        <v>-1.994296087388177E-15</v>
      </c>
      <c r="D80" s="25">
        <v>4.8363672249251977E-5</v>
      </c>
      <c r="E80" s="25">
        <v>0</v>
      </c>
      <c r="F80" s="25">
        <v>0</v>
      </c>
      <c r="G80" s="25">
        <v>0</v>
      </c>
      <c r="H80" s="25">
        <v>4.9917957761243717E-17</v>
      </c>
    </row>
    <row r="81" spans="2:8">
      <c r="B81" s="25">
        <v>28</v>
      </c>
      <c r="C81" s="25">
        <v>-7.7103124931454659E-4</v>
      </c>
      <c r="D81" s="25">
        <v>6.3781080825719982E-5</v>
      </c>
      <c r="E81" s="25">
        <v>0</v>
      </c>
      <c r="F81" s="25">
        <v>0</v>
      </c>
      <c r="G81" s="25">
        <v>0</v>
      </c>
      <c r="H81" s="25">
        <v>-5.4041256589698605E-6</v>
      </c>
    </row>
    <row r="82" spans="2:8">
      <c r="B82" s="25">
        <v>29</v>
      </c>
      <c r="C82" s="25">
        <v>-1.5617117751389742E-3</v>
      </c>
      <c r="D82" s="25">
        <v>8.7389918917324394E-5</v>
      </c>
      <c r="E82" s="25">
        <v>0</v>
      </c>
      <c r="F82" s="25">
        <v>0</v>
      </c>
      <c r="G82" s="25">
        <v>0</v>
      </c>
      <c r="H82" s="25">
        <v>-2.3919219529489055E-5</v>
      </c>
    </row>
    <row r="83" spans="2:8">
      <c r="B83" s="25">
        <v>30</v>
      </c>
      <c r="C83" s="25">
        <v>-2.3189608473330736E-3</v>
      </c>
      <c r="D83" s="25">
        <v>-1.7535283404868096E-4</v>
      </c>
      <c r="E83" s="25">
        <v>0</v>
      </c>
      <c r="F83" s="25">
        <v>0</v>
      </c>
      <c r="G83" s="25">
        <v>0</v>
      </c>
      <c r="H83" s="25">
        <v>-1.2961463653482497E-4</v>
      </c>
    </row>
    <row r="84" spans="2:8">
      <c r="B84" s="25">
        <v>31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</row>
    <row r="85" spans="2:8">
      <c r="B85" s="25">
        <v>32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</row>
    <row r="86" spans="2:8">
      <c r="B86" s="25">
        <v>33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</row>
    <row r="87" spans="2:8">
      <c r="B87" s="25">
        <v>34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</row>
    <row r="88" spans="2:8">
      <c r="B88" s="25">
        <v>35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</row>
    <row r="89" spans="2:8">
      <c r="B89" s="25">
        <v>36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</row>
    <row r="90" spans="2:8">
      <c r="B90" s="25">
        <v>37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</row>
    <row r="93" spans="2:8">
      <c r="B93" s="25" t="s">
        <v>125</v>
      </c>
    </row>
    <row r="94" spans="2:8">
      <c r="C94" s="25" t="s">
        <v>126</v>
      </c>
      <c r="D94" s="25" t="s">
        <v>127</v>
      </c>
      <c r="E94" s="25" t="s">
        <v>128</v>
      </c>
      <c r="F94" s="25" t="s">
        <v>129</v>
      </c>
      <c r="G94" s="25" t="s">
        <v>130</v>
      </c>
      <c r="H94" s="25" t="s">
        <v>131</v>
      </c>
    </row>
    <row r="95" spans="2:8">
      <c r="B95" s="25">
        <v>31</v>
      </c>
      <c r="C95" s="25">
        <v>9064.89453125</v>
      </c>
      <c r="D95" s="25">
        <v>-7961.728515625</v>
      </c>
      <c r="E95" s="25">
        <v>0</v>
      </c>
      <c r="F95" s="25">
        <v>0</v>
      </c>
      <c r="G95" s="25">
        <v>0</v>
      </c>
      <c r="H95" s="25">
        <v>29933.603515625</v>
      </c>
    </row>
    <row r="96" spans="2:8">
      <c r="B96" s="25">
        <v>32</v>
      </c>
      <c r="C96" s="25">
        <v>7029.11962890625</v>
      </c>
      <c r="D96" s="25">
        <v>3967.85595703125</v>
      </c>
      <c r="E96" s="25">
        <v>0</v>
      </c>
      <c r="F96" s="25">
        <v>0</v>
      </c>
      <c r="G96" s="25">
        <v>0</v>
      </c>
      <c r="H96" s="25">
        <v>22061.4765625</v>
      </c>
    </row>
    <row r="97" spans="2:8">
      <c r="B97" s="25">
        <v>33</v>
      </c>
      <c r="C97" s="25">
        <v>3563.765380859375</v>
      </c>
      <c r="D97" s="25">
        <v>2895.91943359375</v>
      </c>
      <c r="E97" s="25">
        <v>0</v>
      </c>
      <c r="F97" s="25">
        <v>0</v>
      </c>
      <c r="G97" s="25">
        <v>0</v>
      </c>
      <c r="H97" s="25">
        <v>11084.2509765625</v>
      </c>
    </row>
    <row r="98" spans="2:8">
      <c r="B98" s="25">
        <v>34</v>
      </c>
      <c r="C98" s="25">
        <v>-1.0150482232518243E-8</v>
      </c>
      <c r="D98" s="25">
        <v>2195.906494140625</v>
      </c>
      <c r="E98" s="25">
        <v>0</v>
      </c>
      <c r="F98" s="25">
        <v>0</v>
      </c>
      <c r="G98" s="25">
        <v>0</v>
      </c>
      <c r="H98" s="25">
        <v>-3.0589518473789212E-8</v>
      </c>
    </row>
    <row r="99" spans="2:8">
      <c r="B99" s="25">
        <v>35</v>
      </c>
      <c r="C99" s="25">
        <v>-3563.765380859375</v>
      </c>
      <c r="D99" s="25">
        <v>2895.91943359375</v>
      </c>
      <c r="E99" s="25">
        <v>0</v>
      </c>
      <c r="F99" s="25">
        <v>0</v>
      </c>
      <c r="G99" s="25">
        <v>0</v>
      </c>
      <c r="H99" s="25">
        <v>-11084.2509765625</v>
      </c>
    </row>
    <row r="100" spans="2:8">
      <c r="B100" s="25">
        <v>36</v>
      </c>
      <c r="C100" s="25">
        <v>-7029.11962890625</v>
      </c>
      <c r="D100" s="25">
        <v>3967.85595703125</v>
      </c>
      <c r="E100" s="25">
        <v>0</v>
      </c>
      <c r="F100" s="25">
        <v>0</v>
      </c>
      <c r="G100" s="25">
        <v>0</v>
      </c>
      <c r="H100" s="25">
        <v>-22061.4765625</v>
      </c>
    </row>
    <row r="101" spans="2:8">
      <c r="B101" s="25">
        <v>37</v>
      </c>
      <c r="C101" s="25">
        <v>-9064.89453125</v>
      </c>
      <c r="D101" s="25">
        <v>-7961.728515625</v>
      </c>
      <c r="E101" s="25">
        <v>0</v>
      </c>
      <c r="F101" s="25">
        <v>0</v>
      </c>
      <c r="G101" s="25">
        <v>0</v>
      </c>
      <c r="H101" s="25">
        <v>-29933.603515625</v>
      </c>
    </row>
    <row r="134" spans="2:10">
      <c r="B134" s="25" t="s">
        <v>132</v>
      </c>
      <c r="C134" s="25">
        <v>36</v>
      </c>
    </row>
    <row r="136" spans="2:10">
      <c r="B136" s="25" t="s">
        <v>133</v>
      </c>
    </row>
    <row r="137" spans="2:10">
      <c r="C137" s="25" t="s">
        <v>134</v>
      </c>
      <c r="D137" s="25" t="s">
        <v>138</v>
      </c>
      <c r="E137" s="25" t="s">
        <v>135</v>
      </c>
      <c r="F137" s="25" t="s">
        <v>136</v>
      </c>
      <c r="G137" s="25" t="s">
        <v>137</v>
      </c>
      <c r="H137" s="25" t="s">
        <v>129</v>
      </c>
      <c r="I137" s="25" t="s">
        <v>130</v>
      </c>
      <c r="J137" s="25" t="s">
        <v>131</v>
      </c>
    </row>
    <row r="138" spans="2:10">
      <c r="B138" s="25">
        <v>1</v>
      </c>
      <c r="C138" s="25">
        <v>1</v>
      </c>
      <c r="D138" s="25">
        <v>0</v>
      </c>
      <c r="E138" s="25">
        <v>-2.1827872842550278E-10</v>
      </c>
      <c r="F138" s="25">
        <v>0</v>
      </c>
      <c r="G138" s="25">
        <v>0</v>
      </c>
      <c r="H138" s="25">
        <v>0</v>
      </c>
      <c r="I138" s="25">
        <v>0</v>
      </c>
      <c r="J138" s="25">
        <v>-9.5693394541740417E-8</v>
      </c>
    </row>
    <row r="139" spans="2:10">
      <c r="C139" s="25">
        <v>2</v>
      </c>
      <c r="D139" s="25">
        <v>1.565000057220459</v>
      </c>
      <c r="E139" s="25">
        <v>-2.1827872842550278E-10</v>
      </c>
      <c r="F139" s="25">
        <v>0</v>
      </c>
      <c r="G139" s="25">
        <v>0</v>
      </c>
      <c r="H139" s="25">
        <v>0</v>
      </c>
      <c r="I139" s="25">
        <v>0</v>
      </c>
      <c r="J139" s="25">
        <v>-9.5751602202653885E-8</v>
      </c>
    </row>
    <row r="140" spans="2:10">
      <c r="B140" s="25">
        <v>2</v>
      </c>
      <c r="C140" s="25">
        <v>2</v>
      </c>
      <c r="D140" s="25">
        <v>0</v>
      </c>
      <c r="E140" s="25">
        <v>-2.9802322387695313E-8</v>
      </c>
      <c r="F140" s="25">
        <v>0</v>
      </c>
      <c r="G140" s="25">
        <v>0</v>
      </c>
      <c r="H140" s="25">
        <v>0</v>
      </c>
      <c r="I140" s="25">
        <v>0</v>
      </c>
      <c r="J140" s="25">
        <v>-1.1920928955078125E-7</v>
      </c>
    </row>
    <row r="141" spans="2:10">
      <c r="C141" s="25">
        <v>3</v>
      </c>
      <c r="D141" s="25">
        <v>0.27500000596046448</v>
      </c>
      <c r="E141" s="25">
        <v>-2.9802322387695313E-8</v>
      </c>
      <c r="F141" s="25">
        <v>0</v>
      </c>
      <c r="G141" s="25">
        <v>0</v>
      </c>
      <c r="H141" s="25">
        <v>0</v>
      </c>
      <c r="I141" s="25">
        <v>0</v>
      </c>
      <c r="J141" s="25">
        <v>-1.7881393432617188E-7</v>
      </c>
    </row>
    <row r="142" spans="2:10">
      <c r="B142" s="25">
        <v>3</v>
      </c>
      <c r="C142" s="25">
        <v>3</v>
      </c>
      <c r="D142" s="25">
        <v>0</v>
      </c>
      <c r="E142" s="25">
        <v>9064.89453125</v>
      </c>
      <c r="F142" s="25">
        <v>-7961.728515625</v>
      </c>
      <c r="G142" s="25">
        <v>0</v>
      </c>
      <c r="H142" s="25">
        <v>0</v>
      </c>
      <c r="I142" s="25">
        <v>0</v>
      </c>
      <c r="J142" s="25">
        <v>36693.37109375</v>
      </c>
    </row>
    <row r="143" spans="2:10">
      <c r="C143" s="25">
        <v>4</v>
      </c>
      <c r="D143" s="25">
        <v>0.27500000596046448</v>
      </c>
      <c r="E143" s="25">
        <v>9064.89453125</v>
      </c>
      <c r="F143" s="25">
        <v>-7961.728515625</v>
      </c>
      <c r="G143" s="25">
        <v>0</v>
      </c>
      <c r="H143" s="25">
        <v>0</v>
      </c>
      <c r="I143" s="25">
        <v>0</v>
      </c>
      <c r="J143" s="25">
        <v>34503.89453125</v>
      </c>
    </row>
    <row r="144" spans="2:10">
      <c r="B144" s="25">
        <v>4</v>
      </c>
      <c r="C144" s="25">
        <v>4</v>
      </c>
      <c r="D144" s="25">
        <v>0</v>
      </c>
      <c r="E144" s="25">
        <v>9064.89453125</v>
      </c>
      <c r="F144" s="25">
        <v>-7961.728515625</v>
      </c>
      <c r="G144" s="25">
        <v>0</v>
      </c>
      <c r="H144" s="25">
        <v>0</v>
      </c>
      <c r="I144" s="25">
        <v>0</v>
      </c>
      <c r="J144" s="25">
        <v>34503.89453125</v>
      </c>
    </row>
    <row r="145" spans="2:10">
      <c r="D145" s="25">
        <v>0.875</v>
      </c>
      <c r="E145" s="25">
        <v>9064.89453125</v>
      </c>
      <c r="F145" s="25">
        <v>-7961.728515625</v>
      </c>
      <c r="G145" s="25">
        <v>0</v>
      </c>
      <c r="H145" s="25">
        <v>0</v>
      </c>
      <c r="I145" s="25">
        <v>0</v>
      </c>
      <c r="J145" s="25">
        <v>27537.380859375</v>
      </c>
    </row>
    <row r="146" spans="2:10">
      <c r="D146" s="25">
        <v>2.9600000381469727</v>
      </c>
      <c r="E146" s="25">
        <v>9064.89453125</v>
      </c>
      <c r="F146" s="25">
        <v>-7961.728515625</v>
      </c>
      <c r="G146" s="25">
        <v>0</v>
      </c>
      <c r="H146" s="25">
        <v>0</v>
      </c>
      <c r="I146" s="25">
        <v>0</v>
      </c>
      <c r="J146" s="25">
        <v>10937.177734375</v>
      </c>
    </row>
    <row r="147" spans="2:10">
      <c r="D147" s="25">
        <v>5.0450000762939453</v>
      </c>
      <c r="E147" s="25">
        <v>9064.89453125</v>
      </c>
      <c r="F147" s="25">
        <v>-7961.728515625</v>
      </c>
      <c r="G147" s="25">
        <v>0</v>
      </c>
      <c r="H147" s="25">
        <v>0</v>
      </c>
      <c r="I147" s="25">
        <v>0</v>
      </c>
      <c r="J147" s="25">
        <v>-5663.0263671875</v>
      </c>
    </row>
    <row r="148" spans="2:10">
      <c r="C148" s="25">
        <v>5</v>
      </c>
      <c r="D148" s="25">
        <v>5.9200000762939453</v>
      </c>
      <c r="E148" s="25">
        <v>9064.89453125</v>
      </c>
      <c r="F148" s="25">
        <v>-7961.728515625</v>
      </c>
      <c r="G148" s="25">
        <v>0</v>
      </c>
      <c r="H148" s="25">
        <v>0</v>
      </c>
      <c r="I148" s="25">
        <v>0</v>
      </c>
      <c r="J148" s="25">
        <v>-12629.5390625</v>
      </c>
    </row>
    <row r="149" spans="2:10">
      <c r="B149" s="25">
        <v>5</v>
      </c>
      <c r="C149" s="25">
        <v>5</v>
      </c>
      <c r="D149" s="25">
        <v>0</v>
      </c>
      <c r="E149" s="25">
        <v>9064.89453125</v>
      </c>
      <c r="F149" s="25">
        <v>-7961.728515625</v>
      </c>
      <c r="G149" s="25">
        <v>0</v>
      </c>
      <c r="H149" s="25">
        <v>0</v>
      </c>
      <c r="I149" s="25">
        <v>0</v>
      </c>
      <c r="J149" s="25">
        <v>-12629.5390625</v>
      </c>
    </row>
    <row r="150" spans="2:10">
      <c r="C150" s="25">
        <v>6</v>
      </c>
      <c r="D150" s="25">
        <v>0.27500000596046448</v>
      </c>
      <c r="E150" s="25">
        <v>9064.89453125</v>
      </c>
      <c r="F150" s="25">
        <v>-7961.728515625</v>
      </c>
      <c r="G150" s="25">
        <v>0</v>
      </c>
      <c r="H150" s="25">
        <v>0</v>
      </c>
      <c r="I150" s="25">
        <v>0</v>
      </c>
      <c r="J150" s="25">
        <v>-14819.013671875</v>
      </c>
    </row>
    <row r="151" spans="2:10">
      <c r="B151" s="25">
        <v>6</v>
      </c>
      <c r="C151" s="25">
        <v>6</v>
      </c>
      <c r="D151" s="25">
        <v>0</v>
      </c>
      <c r="E151" s="25">
        <v>16094.013671875</v>
      </c>
      <c r="F151" s="25">
        <v>-3993.87255859375</v>
      </c>
      <c r="G151" s="25">
        <v>0</v>
      </c>
      <c r="H151" s="25">
        <v>0</v>
      </c>
      <c r="I151" s="25">
        <v>0</v>
      </c>
      <c r="J151" s="25">
        <v>14783.5390625</v>
      </c>
    </row>
    <row r="152" spans="2:10">
      <c r="C152" s="25">
        <v>7</v>
      </c>
      <c r="D152" s="25">
        <v>0.27500000596046448</v>
      </c>
      <c r="E152" s="25">
        <v>16094.013671875</v>
      </c>
      <c r="F152" s="25">
        <v>-3993.87255859375</v>
      </c>
      <c r="G152" s="25">
        <v>0</v>
      </c>
      <c r="H152" s="25">
        <v>0</v>
      </c>
      <c r="I152" s="25">
        <v>0</v>
      </c>
      <c r="J152" s="25">
        <v>13685.224609375</v>
      </c>
    </row>
    <row r="153" spans="2:10">
      <c r="B153" s="25">
        <v>7</v>
      </c>
      <c r="C153" s="25">
        <v>7</v>
      </c>
      <c r="D153" s="25">
        <v>0</v>
      </c>
      <c r="E153" s="25">
        <v>16094.013671875</v>
      </c>
      <c r="F153" s="25">
        <v>-3993.87255859375</v>
      </c>
      <c r="G153" s="25">
        <v>0</v>
      </c>
      <c r="H153" s="25">
        <v>0</v>
      </c>
      <c r="I153" s="25">
        <v>0</v>
      </c>
      <c r="J153" s="25">
        <v>13685.224609375</v>
      </c>
    </row>
    <row r="154" spans="2:10">
      <c r="D154" s="25">
        <v>0.875</v>
      </c>
      <c r="E154" s="25">
        <v>16094.013671875</v>
      </c>
      <c r="F154" s="25">
        <v>-3993.87255859375</v>
      </c>
      <c r="G154" s="25">
        <v>0</v>
      </c>
      <c r="H154" s="25">
        <v>0</v>
      </c>
      <c r="I154" s="25">
        <v>0</v>
      </c>
      <c r="J154" s="25">
        <v>10190.5859375</v>
      </c>
    </row>
    <row r="155" spans="2:10">
      <c r="D155" s="25">
        <v>2.9600000381469727</v>
      </c>
      <c r="E155" s="25">
        <v>16094.013671875</v>
      </c>
      <c r="F155" s="25">
        <v>-3993.87255859375</v>
      </c>
      <c r="G155" s="25">
        <v>0</v>
      </c>
      <c r="H155" s="25">
        <v>0</v>
      </c>
      <c r="I155" s="25">
        <v>0</v>
      </c>
      <c r="J155" s="25">
        <v>1863.361328125</v>
      </c>
    </row>
    <row r="156" spans="2:10">
      <c r="D156" s="25">
        <v>5.0450000762939453</v>
      </c>
      <c r="E156" s="25">
        <v>16094.013671875</v>
      </c>
      <c r="F156" s="25">
        <v>-3993.87255859375</v>
      </c>
      <c r="G156" s="25">
        <v>0</v>
      </c>
      <c r="H156" s="25">
        <v>0</v>
      </c>
      <c r="I156" s="25">
        <v>0</v>
      </c>
      <c r="J156" s="25">
        <v>-6463.86279296875</v>
      </c>
    </row>
    <row r="157" spans="2:10">
      <c r="C157" s="25">
        <v>8</v>
      </c>
      <c r="D157" s="25">
        <v>5.9200000762939453</v>
      </c>
      <c r="E157" s="25">
        <v>16094.013671875</v>
      </c>
      <c r="F157" s="25">
        <v>-3993.87255859375</v>
      </c>
      <c r="G157" s="25">
        <v>0</v>
      </c>
      <c r="H157" s="25">
        <v>0</v>
      </c>
      <c r="I157" s="25">
        <v>0</v>
      </c>
      <c r="J157" s="25">
        <v>-9958.501953125</v>
      </c>
    </row>
    <row r="158" spans="2:10">
      <c r="B158" s="25">
        <v>8</v>
      </c>
      <c r="C158" s="25">
        <v>8</v>
      </c>
      <c r="D158" s="25">
        <v>0</v>
      </c>
      <c r="E158" s="25">
        <v>16094.013671875</v>
      </c>
      <c r="F158" s="25">
        <v>-3993.87255859375</v>
      </c>
      <c r="G158" s="25">
        <v>0</v>
      </c>
      <c r="H158" s="25">
        <v>0</v>
      </c>
      <c r="I158" s="25">
        <v>0</v>
      </c>
      <c r="J158" s="25">
        <v>-9958.501953125</v>
      </c>
    </row>
    <row r="159" spans="2:10">
      <c r="C159" s="25">
        <v>9</v>
      </c>
      <c r="D159" s="25">
        <v>0.27500000596046448</v>
      </c>
      <c r="E159" s="25">
        <v>16094.013671875</v>
      </c>
      <c r="F159" s="25">
        <v>-3993.87255859375</v>
      </c>
      <c r="G159" s="25">
        <v>0</v>
      </c>
      <c r="H159" s="25">
        <v>0</v>
      </c>
      <c r="I159" s="25">
        <v>0</v>
      </c>
      <c r="J159" s="25">
        <v>-11056.81640625</v>
      </c>
    </row>
    <row r="160" spans="2:10">
      <c r="B160" s="25">
        <v>9</v>
      </c>
      <c r="C160" s="25">
        <v>9</v>
      </c>
      <c r="D160" s="25">
        <v>0</v>
      </c>
      <c r="E160" s="25">
        <v>19657.779296875</v>
      </c>
      <c r="F160" s="25">
        <v>-1097.9532470703125</v>
      </c>
      <c r="G160" s="25">
        <v>0</v>
      </c>
      <c r="H160" s="25">
        <v>0</v>
      </c>
      <c r="I160" s="25">
        <v>0</v>
      </c>
      <c r="J160" s="25">
        <v>4052.608154296875</v>
      </c>
    </row>
    <row r="161" spans="2:10">
      <c r="C161" s="25">
        <v>10</v>
      </c>
      <c r="D161" s="25">
        <v>0.27500000596046448</v>
      </c>
      <c r="E161" s="25">
        <v>19657.779296875</v>
      </c>
      <c r="F161" s="25">
        <v>-1097.9532470703125</v>
      </c>
      <c r="G161" s="25">
        <v>0</v>
      </c>
      <c r="H161" s="25">
        <v>0</v>
      </c>
      <c r="I161" s="25">
        <v>0</v>
      </c>
      <c r="J161" s="25">
        <v>3750.6708984375</v>
      </c>
    </row>
    <row r="162" spans="2:10">
      <c r="B162" s="25">
        <v>10</v>
      </c>
      <c r="C162" s="25">
        <v>10</v>
      </c>
      <c r="D162" s="25">
        <v>0</v>
      </c>
      <c r="E162" s="25">
        <v>19657.779296875</v>
      </c>
      <c r="F162" s="25">
        <v>-1097.9532470703125</v>
      </c>
      <c r="G162" s="25">
        <v>0</v>
      </c>
      <c r="H162" s="25">
        <v>0</v>
      </c>
      <c r="I162" s="25">
        <v>0</v>
      </c>
      <c r="J162" s="25">
        <v>3750.6708984375</v>
      </c>
    </row>
    <row r="163" spans="2:10">
      <c r="D163" s="25">
        <v>0.875</v>
      </c>
      <c r="E163" s="25">
        <v>19657.779296875</v>
      </c>
      <c r="F163" s="25">
        <v>-1097.9532470703125</v>
      </c>
      <c r="G163" s="25">
        <v>0</v>
      </c>
      <c r="H163" s="25">
        <v>0</v>
      </c>
      <c r="I163" s="25">
        <v>0</v>
      </c>
      <c r="J163" s="25">
        <v>2789.9619140625</v>
      </c>
    </row>
    <row r="164" spans="2:10">
      <c r="D164" s="25">
        <v>2.9600000381469727</v>
      </c>
      <c r="E164" s="25">
        <v>19657.779296875</v>
      </c>
      <c r="F164" s="25">
        <v>-1097.9532470703125</v>
      </c>
      <c r="G164" s="25">
        <v>0</v>
      </c>
      <c r="H164" s="25">
        <v>0</v>
      </c>
      <c r="I164" s="25">
        <v>0</v>
      </c>
      <c r="J164" s="25">
        <v>500.729248046875</v>
      </c>
    </row>
    <row r="165" spans="2:10">
      <c r="D165" s="25">
        <v>5.0450000762939453</v>
      </c>
      <c r="E165" s="25">
        <v>19657.779296875</v>
      </c>
      <c r="F165" s="25">
        <v>-1097.9532470703125</v>
      </c>
      <c r="G165" s="25">
        <v>0</v>
      </c>
      <c r="H165" s="25">
        <v>0</v>
      </c>
      <c r="I165" s="25">
        <v>0</v>
      </c>
      <c r="J165" s="25">
        <v>-1788.5032958984375</v>
      </c>
    </row>
    <row r="166" spans="2:10">
      <c r="C166" s="25">
        <v>11</v>
      </c>
      <c r="D166" s="25">
        <v>5.9200000762939453</v>
      </c>
      <c r="E166" s="25">
        <v>19657.779296875</v>
      </c>
      <c r="F166" s="25">
        <v>-1097.9532470703125</v>
      </c>
      <c r="G166" s="25">
        <v>0</v>
      </c>
      <c r="H166" s="25">
        <v>0</v>
      </c>
      <c r="I166" s="25">
        <v>0</v>
      </c>
      <c r="J166" s="25">
        <v>-2749.21240234375</v>
      </c>
    </row>
    <row r="167" spans="2:10">
      <c r="B167" s="25">
        <v>11</v>
      </c>
      <c r="C167" s="25">
        <v>11</v>
      </c>
      <c r="D167" s="25">
        <v>0</v>
      </c>
      <c r="E167" s="25">
        <v>19657.779296875</v>
      </c>
      <c r="F167" s="25">
        <v>-1097.9532470703125</v>
      </c>
      <c r="G167" s="25">
        <v>0</v>
      </c>
      <c r="H167" s="25">
        <v>0</v>
      </c>
      <c r="I167" s="25">
        <v>0</v>
      </c>
      <c r="J167" s="25">
        <v>-2749.21240234375</v>
      </c>
    </row>
    <row r="168" spans="2:10">
      <c r="C168" s="25">
        <v>12</v>
      </c>
      <c r="D168" s="25">
        <v>0.27500000596046448</v>
      </c>
      <c r="E168" s="25">
        <v>19657.779296875</v>
      </c>
      <c r="F168" s="25">
        <v>-1097.9532470703125</v>
      </c>
      <c r="G168" s="25">
        <v>0</v>
      </c>
      <c r="H168" s="25">
        <v>0</v>
      </c>
      <c r="I168" s="25">
        <v>0</v>
      </c>
      <c r="J168" s="25">
        <v>-3051.149658203125</v>
      </c>
    </row>
    <row r="169" spans="2:10">
      <c r="B169" s="25">
        <v>12</v>
      </c>
      <c r="C169" s="25">
        <v>12</v>
      </c>
      <c r="D169" s="25">
        <v>0</v>
      </c>
      <c r="E169" s="25">
        <v>19657.779296875</v>
      </c>
      <c r="F169" s="25">
        <v>1097.9532470703125</v>
      </c>
      <c r="G169" s="25">
        <v>0</v>
      </c>
      <c r="H169" s="25">
        <v>0</v>
      </c>
      <c r="I169" s="25">
        <v>0</v>
      </c>
      <c r="J169" s="25">
        <v>-3051.149658203125</v>
      </c>
    </row>
    <row r="170" spans="2:10">
      <c r="C170" s="25">
        <v>13</v>
      </c>
      <c r="D170" s="25">
        <v>0.27500000596046448</v>
      </c>
      <c r="E170" s="25">
        <v>19657.779296875</v>
      </c>
      <c r="F170" s="25">
        <v>1097.9532470703125</v>
      </c>
      <c r="G170" s="25">
        <v>0</v>
      </c>
      <c r="H170" s="25">
        <v>0</v>
      </c>
      <c r="I170" s="25">
        <v>0</v>
      </c>
      <c r="J170" s="25">
        <v>-2749.21240234375</v>
      </c>
    </row>
    <row r="171" spans="2:10">
      <c r="B171" s="25">
        <v>13</v>
      </c>
      <c r="C171" s="25">
        <v>13</v>
      </c>
      <c r="D171" s="25">
        <v>0</v>
      </c>
      <c r="E171" s="25">
        <v>19657.779296875</v>
      </c>
      <c r="F171" s="25">
        <v>1097.9532470703125</v>
      </c>
      <c r="G171" s="25">
        <v>0</v>
      </c>
      <c r="H171" s="25">
        <v>0</v>
      </c>
      <c r="I171" s="25">
        <v>0</v>
      </c>
      <c r="J171" s="25">
        <v>-2749.21240234375</v>
      </c>
    </row>
    <row r="172" spans="2:10">
      <c r="D172" s="25">
        <v>0.875</v>
      </c>
      <c r="E172" s="25">
        <v>19657.779296875</v>
      </c>
      <c r="F172" s="25">
        <v>1097.9532470703125</v>
      </c>
      <c r="G172" s="25">
        <v>0</v>
      </c>
      <c r="H172" s="25">
        <v>0</v>
      </c>
      <c r="I172" s="25">
        <v>0</v>
      </c>
      <c r="J172" s="25">
        <v>-1788.5032958984375</v>
      </c>
    </row>
    <row r="173" spans="2:10">
      <c r="D173" s="25">
        <v>2.9600000381469727</v>
      </c>
      <c r="E173" s="25">
        <v>19657.779296875</v>
      </c>
      <c r="F173" s="25">
        <v>1097.9532470703125</v>
      </c>
      <c r="G173" s="25">
        <v>0</v>
      </c>
      <c r="H173" s="25">
        <v>0</v>
      </c>
      <c r="I173" s="25">
        <v>0</v>
      </c>
      <c r="J173" s="25">
        <v>500.729248046875</v>
      </c>
    </row>
    <row r="174" spans="2:10">
      <c r="D174" s="25">
        <v>5.0450000762939453</v>
      </c>
      <c r="E174" s="25">
        <v>19657.779296875</v>
      </c>
      <c r="F174" s="25">
        <v>1097.9532470703125</v>
      </c>
      <c r="G174" s="25">
        <v>0</v>
      </c>
      <c r="H174" s="25">
        <v>0</v>
      </c>
      <c r="I174" s="25">
        <v>0</v>
      </c>
      <c r="J174" s="25">
        <v>2789.9619140625</v>
      </c>
    </row>
    <row r="175" spans="2:10">
      <c r="C175" s="25">
        <v>14</v>
      </c>
      <c r="D175" s="25">
        <v>5.9200000762939453</v>
      </c>
      <c r="E175" s="25">
        <v>19657.779296875</v>
      </c>
      <c r="F175" s="25">
        <v>1097.9532470703125</v>
      </c>
      <c r="G175" s="25">
        <v>0</v>
      </c>
      <c r="H175" s="25">
        <v>0</v>
      </c>
      <c r="I175" s="25">
        <v>0</v>
      </c>
      <c r="J175" s="25">
        <v>3750.6708984375</v>
      </c>
    </row>
    <row r="176" spans="2:10">
      <c r="B176" s="25">
        <v>14</v>
      </c>
      <c r="C176" s="25">
        <v>14</v>
      </c>
      <c r="D176" s="25">
        <v>0</v>
      </c>
      <c r="E176" s="25">
        <v>19657.779296875</v>
      </c>
      <c r="F176" s="25">
        <v>1097.9532470703125</v>
      </c>
      <c r="G176" s="25">
        <v>0</v>
      </c>
      <c r="H176" s="25">
        <v>0</v>
      </c>
      <c r="I176" s="25">
        <v>0</v>
      </c>
      <c r="J176" s="25">
        <v>3750.6708984375</v>
      </c>
    </row>
    <row r="177" spans="2:10">
      <c r="C177" s="25">
        <v>15</v>
      </c>
      <c r="D177" s="25">
        <v>0.27500000596046448</v>
      </c>
      <c r="E177" s="25">
        <v>19657.779296875</v>
      </c>
      <c r="F177" s="25">
        <v>1097.9532470703125</v>
      </c>
      <c r="G177" s="25">
        <v>0</v>
      </c>
      <c r="H177" s="25">
        <v>0</v>
      </c>
      <c r="I177" s="25">
        <v>0</v>
      </c>
      <c r="J177" s="25">
        <v>4052.608154296875</v>
      </c>
    </row>
    <row r="178" spans="2:10">
      <c r="B178" s="25">
        <v>15</v>
      </c>
      <c r="C178" s="25">
        <v>15</v>
      </c>
      <c r="D178" s="25">
        <v>0</v>
      </c>
      <c r="E178" s="25">
        <v>16094.013671875</v>
      </c>
      <c r="F178" s="25">
        <v>3993.87255859375</v>
      </c>
      <c r="G178" s="25">
        <v>0</v>
      </c>
      <c r="H178" s="25">
        <v>0</v>
      </c>
      <c r="I178" s="25">
        <v>0</v>
      </c>
      <c r="J178" s="25">
        <v>-11056.81640625</v>
      </c>
    </row>
    <row r="179" spans="2:10">
      <c r="C179" s="25">
        <v>16</v>
      </c>
      <c r="D179" s="25">
        <v>0.27500000596046448</v>
      </c>
      <c r="E179" s="25">
        <v>16094.013671875</v>
      </c>
      <c r="F179" s="25">
        <v>3993.87255859375</v>
      </c>
      <c r="G179" s="25">
        <v>0</v>
      </c>
      <c r="H179" s="25">
        <v>0</v>
      </c>
      <c r="I179" s="25">
        <v>0</v>
      </c>
      <c r="J179" s="25">
        <v>-9958.501953125</v>
      </c>
    </row>
    <row r="180" spans="2:10">
      <c r="B180" s="25">
        <v>16</v>
      </c>
      <c r="C180" s="25">
        <v>16</v>
      </c>
      <c r="D180" s="25">
        <v>0</v>
      </c>
      <c r="E180" s="25">
        <v>16094.013671875</v>
      </c>
      <c r="F180" s="25">
        <v>3993.87255859375</v>
      </c>
      <c r="G180" s="25">
        <v>0</v>
      </c>
      <c r="H180" s="25">
        <v>0</v>
      </c>
      <c r="I180" s="25">
        <v>0</v>
      </c>
      <c r="J180" s="25">
        <v>-9958.501953125</v>
      </c>
    </row>
    <row r="181" spans="2:10">
      <c r="D181" s="25">
        <v>0.875</v>
      </c>
      <c r="E181" s="25">
        <v>16094.013671875</v>
      </c>
      <c r="F181" s="25">
        <v>3993.87255859375</v>
      </c>
      <c r="G181" s="25">
        <v>0</v>
      </c>
      <c r="H181" s="25">
        <v>0</v>
      </c>
      <c r="I181" s="25">
        <v>0</v>
      </c>
      <c r="J181" s="25">
        <v>-6463.86279296875</v>
      </c>
    </row>
    <row r="182" spans="2:10">
      <c r="D182" s="25">
        <v>2.9600000381469727</v>
      </c>
      <c r="E182" s="25">
        <v>16094.013671875</v>
      </c>
      <c r="F182" s="25">
        <v>3993.87255859375</v>
      </c>
      <c r="G182" s="25">
        <v>0</v>
      </c>
      <c r="H182" s="25">
        <v>0</v>
      </c>
      <c r="I182" s="25">
        <v>0</v>
      </c>
      <c r="J182" s="25">
        <v>1863.361328125</v>
      </c>
    </row>
    <row r="183" spans="2:10">
      <c r="D183" s="25">
        <v>5.0450000762939453</v>
      </c>
      <c r="E183" s="25">
        <v>16094.013671875</v>
      </c>
      <c r="F183" s="25">
        <v>3993.87255859375</v>
      </c>
      <c r="G183" s="25">
        <v>0</v>
      </c>
      <c r="H183" s="25">
        <v>0</v>
      </c>
      <c r="I183" s="25">
        <v>0</v>
      </c>
      <c r="J183" s="25">
        <v>10190.5859375</v>
      </c>
    </row>
    <row r="184" spans="2:10">
      <c r="C184" s="25">
        <v>17</v>
      </c>
      <c r="D184" s="25">
        <v>5.9200000762939453</v>
      </c>
      <c r="E184" s="25">
        <v>16094.013671875</v>
      </c>
      <c r="F184" s="25">
        <v>3993.87255859375</v>
      </c>
      <c r="G184" s="25">
        <v>0</v>
      </c>
      <c r="H184" s="25">
        <v>0</v>
      </c>
      <c r="I184" s="25">
        <v>0</v>
      </c>
      <c r="J184" s="25">
        <v>13685.224609375</v>
      </c>
    </row>
    <row r="185" spans="2:10">
      <c r="B185" s="25">
        <v>17</v>
      </c>
      <c r="C185" s="25">
        <v>17</v>
      </c>
      <c r="D185" s="25">
        <v>0</v>
      </c>
      <c r="E185" s="25">
        <v>16094.013671875</v>
      </c>
      <c r="F185" s="25">
        <v>3993.87255859375</v>
      </c>
      <c r="G185" s="25">
        <v>0</v>
      </c>
      <c r="H185" s="25">
        <v>0</v>
      </c>
      <c r="I185" s="25">
        <v>0</v>
      </c>
      <c r="J185" s="25">
        <v>13685.224609375</v>
      </c>
    </row>
    <row r="186" spans="2:10">
      <c r="C186" s="25">
        <v>18</v>
      </c>
      <c r="D186" s="25">
        <v>0.27500000596046448</v>
      </c>
      <c r="E186" s="25">
        <v>16094.013671875</v>
      </c>
      <c r="F186" s="25">
        <v>3993.87255859375</v>
      </c>
      <c r="G186" s="25">
        <v>0</v>
      </c>
      <c r="H186" s="25">
        <v>0</v>
      </c>
      <c r="I186" s="25">
        <v>0</v>
      </c>
      <c r="J186" s="25">
        <v>14783.5390625</v>
      </c>
    </row>
    <row r="187" spans="2:10">
      <c r="B187" s="25">
        <v>18</v>
      </c>
      <c r="C187" s="25">
        <v>18</v>
      </c>
      <c r="D187" s="25">
        <v>0</v>
      </c>
      <c r="E187" s="25">
        <v>9064.89453125</v>
      </c>
      <c r="F187" s="25">
        <v>7961.728515625</v>
      </c>
      <c r="G187" s="25">
        <v>0</v>
      </c>
      <c r="H187" s="25">
        <v>0</v>
      </c>
      <c r="I187" s="25">
        <v>0</v>
      </c>
      <c r="J187" s="25">
        <v>-14819.013671875</v>
      </c>
    </row>
    <row r="188" spans="2:10">
      <c r="C188" s="25">
        <v>19</v>
      </c>
      <c r="D188" s="25">
        <v>0.27500000596046448</v>
      </c>
      <c r="E188" s="25">
        <v>9064.89453125</v>
      </c>
      <c r="F188" s="25">
        <v>7961.728515625</v>
      </c>
      <c r="G188" s="25">
        <v>0</v>
      </c>
      <c r="H188" s="25">
        <v>0</v>
      </c>
      <c r="I188" s="25">
        <v>0</v>
      </c>
      <c r="J188" s="25">
        <v>-12629.5390625</v>
      </c>
    </row>
    <row r="189" spans="2:10">
      <c r="B189" s="25">
        <v>19</v>
      </c>
      <c r="C189" s="25">
        <v>19</v>
      </c>
      <c r="D189" s="25">
        <v>0</v>
      </c>
      <c r="E189" s="25">
        <v>9064.89453125</v>
      </c>
      <c r="F189" s="25">
        <v>7961.728515625</v>
      </c>
      <c r="G189" s="25">
        <v>0</v>
      </c>
      <c r="H189" s="25">
        <v>0</v>
      </c>
      <c r="I189" s="25">
        <v>0</v>
      </c>
      <c r="J189" s="25">
        <v>-12629.5390625</v>
      </c>
    </row>
    <row r="190" spans="2:10">
      <c r="D190" s="25">
        <v>0.875</v>
      </c>
      <c r="E190" s="25">
        <v>9064.89453125</v>
      </c>
      <c r="F190" s="25">
        <v>7961.728515625</v>
      </c>
      <c r="G190" s="25">
        <v>0</v>
      </c>
      <c r="H190" s="25">
        <v>0</v>
      </c>
      <c r="I190" s="25">
        <v>0</v>
      </c>
      <c r="J190" s="25">
        <v>-5663.0263671875</v>
      </c>
    </row>
    <row r="191" spans="2:10">
      <c r="D191" s="25">
        <v>2.9600000381469727</v>
      </c>
      <c r="E191" s="25">
        <v>9064.89453125</v>
      </c>
      <c r="F191" s="25">
        <v>7961.728515625</v>
      </c>
      <c r="G191" s="25">
        <v>0</v>
      </c>
      <c r="H191" s="25">
        <v>0</v>
      </c>
      <c r="I191" s="25">
        <v>0</v>
      </c>
      <c r="J191" s="25">
        <v>10937.177734375</v>
      </c>
    </row>
    <row r="192" spans="2:10">
      <c r="D192" s="25">
        <v>5.0450000762939453</v>
      </c>
      <c r="E192" s="25">
        <v>9064.89453125</v>
      </c>
      <c r="F192" s="25">
        <v>7961.728515625</v>
      </c>
      <c r="G192" s="25">
        <v>0</v>
      </c>
      <c r="H192" s="25">
        <v>0</v>
      </c>
      <c r="I192" s="25">
        <v>0</v>
      </c>
      <c r="J192" s="25">
        <v>27537.380859375</v>
      </c>
    </row>
    <row r="193" spans="2:10">
      <c r="C193" s="25">
        <v>20</v>
      </c>
      <c r="D193" s="25">
        <v>5.9200000762939453</v>
      </c>
      <c r="E193" s="25">
        <v>9064.89453125</v>
      </c>
      <c r="F193" s="25">
        <v>7961.728515625</v>
      </c>
      <c r="G193" s="25">
        <v>0</v>
      </c>
      <c r="H193" s="25">
        <v>0</v>
      </c>
      <c r="I193" s="25">
        <v>0</v>
      </c>
      <c r="J193" s="25">
        <v>34503.89453125</v>
      </c>
    </row>
    <row r="194" spans="2:10">
      <c r="B194" s="25">
        <v>20</v>
      </c>
      <c r="C194" s="25">
        <v>20</v>
      </c>
      <c r="D194" s="25">
        <v>0</v>
      </c>
      <c r="E194" s="25">
        <v>9064.89453125</v>
      </c>
      <c r="F194" s="25">
        <v>7961.728515625</v>
      </c>
      <c r="G194" s="25">
        <v>0</v>
      </c>
      <c r="H194" s="25">
        <v>0</v>
      </c>
      <c r="I194" s="25">
        <v>0</v>
      </c>
      <c r="J194" s="25">
        <v>34503.89453125</v>
      </c>
    </row>
    <row r="195" spans="2:10">
      <c r="C195" s="25">
        <v>21</v>
      </c>
      <c r="D195" s="25">
        <v>0.27500000596046448</v>
      </c>
      <c r="E195" s="25">
        <v>9064.89453125</v>
      </c>
      <c r="F195" s="25">
        <v>7961.728515625</v>
      </c>
      <c r="G195" s="25">
        <v>0</v>
      </c>
      <c r="H195" s="25">
        <v>0</v>
      </c>
      <c r="I195" s="25">
        <v>0</v>
      </c>
      <c r="J195" s="25">
        <v>36693.37109375</v>
      </c>
    </row>
    <row r="196" spans="2:10">
      <c r="B196" s="25">
        <v>21</v>
      </c>
      <c r="C196" s="25">
        <v>21</v>
      </c>
      <c r="D196" s="25">
        <v>0</v>
      </c>
      <c r="E196" s="25">
        <v>-2.9802322387695313E-8</v>
      </c>
      <c r="F196" s="25">
        <v>4.76837158203125E-7</v>
      </c>
      <c r="G196" s="25">
        <v>0</v>
      </c>
      <c r="H196" s="25">
        <v>0</v>
      </c>
      <c r="I196" s="25">
        <v>0</v>
      </c>
      <c r="J196" s="25">
        <v>5.9604644775390625E-8</v>
      </c>
    </row>
    <row r="197" spans="2:10">
      <c r="C197" s="25">
        <v>22</v>
      </c>
      <c r="D197" s="25">
        <v>0.27500000596046448</v>
      </c>
      <c r="E197" s="25">
        <v>-2.9802322387695313E-8</v>
      </c>
      <c r="F197" s="25">
        <v>4.76837158203125E-7</v>
      </c>
      <c r="G197" s="25">
        <v>0</v>
      </c>
      <c r="H197" s="25">
        <v>0</v>
      </c>
      <c r="I197" s="25">
        <v>0</v>
      </c>
      <c r="J197" s="25">
        <v>5.9604644775390625E-8</v>
      </c>
    </row>
    <row r="198" spans="2:10">
      <c r="B198" s="25">
        <v>22</v>
      </c>
      <c r="C198" s="25">
        <v>22</v>
      </c>
      <c r="D198" s="25">
        <v>0</v>
      </c>
      <c r="E198" s="25">
        <v>8.2945916801691055E-10</v>
      </c>
      <c r="F198" s="25">
        <v>0</v>
      </c>
      <c r="G198" s="25">
        <v>0</v>
      </c>
      <c r="H198" s="25">
        <v>0</v>
      </c>
      <c r="I198" s="25">
        <v>0</v>
      </c>
      <c r="J198" s="25">
        <v>5.8207660913467407E-11</v>
      </c>
    </row>
    <row r="199" spans="2:10">
      <c r="C199" s="25">
        <v>23</v>
      </c>
      <c r="D199" s="25">
        <v>1.565000057220459</v>
      </c>
      <c r="E199" s="25">
        <v>8.2945916801691055E-10</v>
      </c>
      <c r="F199" s="25">
        <v>0</v>
      </c>
      <c r="G199" s="25">
        <v>0</v>
      </c>
      <c r="H199" s="25">
        <v>0</v>
      </c>
      <c r="I199" s="25">
        <v>0</v>
      </c>
      <c r="J199" s="25">
        <v>0</v>
      </c>
    </row>
    <row r="200" spans="2:10">
      <c r="B200" s="25">
        <v>23</v>
      </c>
      <c r="C200" s="25">
        <v>3</v>
      </c>
      <c r="D200" s="25">
        <v>0</v>
      </c>
      <c r="E200" s="25">
        <v>7961.728515625</v>
      </c>
      <c r="F200" s="25">
        <v>9064.89453125</v>
      </c>
      <c r="G200" s="25">
        <v>0</v>
      </c>
      <c r="H200" s="25">
        <v>0</v>
      </c>
      <c r="I200" s="25">
        <v>0</v>
      </c>
      <c r="J200" s="25">
        <v>-36693.37109375</v>
      </c>
    </row>
    <row r="201" spans="2:10">
      <c r="C201" s="25">
        <v>24</v>
      </c>
      <c r="D201" s="25">
        <v>1.1749999523162842</v>
      </c>
      <c r="E201" s="25">
        <v>7961.728515625</v>
      </c>
      <c r="F201" s="25">
        <v>9064.89453125</v>
      </c>
      <c r="G201" s="25">
        <v>0</v>
      </c>
      <c r="H201" s="25">
        <v>0</v>
      </c>
      <c r="I201" s="25">
        <v>0</v>
      </c>
      <c r="J201" s="25">
        <v>-26042.119140625</v>
      </c>
    </row>
    <row r="202" spans="2:10">
      <c r="B202" s="25">
        <v>24</v>
      </c>
      <c r="C202" s="25">
        <v>6</v>
      </c>
      <c r="D202" s="25">
        <v>0</v>
      </c>
      <c r="E202" s="25">
        <v>-3967.85595703125</v>
      </c>
      <c r="F202" s="25">
        <v>7029.11962890625</v>
      </c>
      <c r="G202" s="25">
        <v>0</v>
      </c>
      <c r="H202" s="25">
        <v>0</v>
      </c>
      <c r="I202" s="25">
        <v>0</v>
      </c>
      <c r="J202" s="25">
        <v>-29602.552734375</v>
      </c>
    </row>
    <row r="203" spans="2:10">
      <c r="C203" s="25">
        <v>25</v>
      </c>
      <c r="D203" s="25">
        <v>1.1749999523162842</v>
      </c>
      <c r="E203" s="25">
        <v>-3967.85595703125</v>
      </c>
      <c r="F203" s="25">
        <v>7029.11962890625</v>
      </c>
      <c r="G203" s="25">
        <v>0</v>
      </c>
      <c r="H203" s="25">
        <v>0</v>
      </c>
      <c r="I203" s="25">
        <v>0</v>
      </c>
      <c r="J203" s="25">
        <v>-21343.337890625</v>
      </c>
    </row>
    <row r="204" spans="2:10">
      <c r="B204" s="25">
        <v>25</v>
      </c>
      <c r="C204" s="25">
        <v>9</v>
      </c>
      <c r="D204" s="25">
        <v>0</v>
      </c>
      <c r="E204" s="25">
        <v>-2895.91943359375</v>
      </c>
      <c r="F204" s="25">
        <v>3563.765380859375</v>
      </c>
      <c r="G204" s="25">
        <v>0</v>
      </c>
      <c r="H204" s="25">
        <v>0</v>
      </c>
      <c r="I204" s="25">
        <v>0</v>
      </c>
      <c r="J204" s="25">
        <v>-15109.4248046875</v>
      </c>
    </row>
    <row r="205" spans="2:10">
      <c r="C205" s="25">
        <v>26</v>
      </c>
      <c r="D205" s="25">
        <v>1.1749999523162842</v>
      </c>
      <c r="E205" s="25">
        <v>-2895.91943359375</v>
      </c>
      <c r="F205" s="25">
        <v>3563.765380859375</v>
      </c>
      <c r="G205" s="25">
        <v>0</v>
      </c>
      <c r="H205" s="25">
        <v>0</v>
      </c>
      <c r="I205" s="25">
        <v>0</v>
      </c>
      <c r="J205" s="25">
        <v>-10922</v>
      </c>
    </row>
    <row r="206" spans="2:10">
      <c r="B206" s="25">
        <v>26</v>
      </c>
      <c r="C206" s="25">
        <v>12</v>
      </c>
      <c r="D206" s="25">
        <v>0</v>
      </c>
      <c r="E206" s="25">
        <v>-2195.906494140625</v>
      </c>
      <c r="F206" s="25">
        <v>-1.0975043096550507E-8</v>
      </c>
      <c r="G206" s="25">
        <v>0</v>
      </c>
      <c r="H206" s="25">
        <v>0</v>
      </c>
      <c r="I206" s="25">
        <v>0</v>
      </c>
      <c r="J206" s="25">
        <v>4.454205893011931E-8</v>
      </c>
    </row>
    <row r="207" spans="2:10">
      <c r="C207" s="25">
        <v>27</v>
      </c>
      <c r="D207" s="25">
        <v>1.1749999523162842</v>
      </c>
      <c r="E207" s="25">
        <v>-2195.906494140625</v>
      </c>
      <c r="F207" s="25">
        <v>-1.0975043096550507E-8</v>
      </c>
      <c r="G207" s="25">
        <v>0</v>
      </c>
      <c r="H207" s="25">
        <v>0</v>
      </c>
      <c r="I207" s="25">
        <v>0</v>
      </c>
      <c r="J207" s="25">
        <v>3.1646383291672464E-8</v>
      </c>
    </row>
    <row r="208" spans="2:10">
      <c r="B208" s="25">
        <v>27</v>
      </c>
      <c r="C208" s="25">
        <v>15</v>
      </c>
      <c r="D208" s="25">
        <v>0</v>
      </c>
      <c r="E208" s="25">
        <v>-2895.91943359375</v>
      </c>
      <c r="F208" s="25">
        <v>-3563.765380859375</v>
      </c>
      <c r="G208" s="25">
        <v>0</v>
      </c>
      <c r="H208" s="25">
        <v>0</v>
      </c>
      <c r="I208" s="25">
        <v>0</v>
      </c>
      <c r="J208" s="25">
        <v>15109.4248046875</v>
      </c>
    </row>
    <row r="209" spans="2:10">
      <c r="C209" s="25">
        <v>28</v>
      </c>
      <c r="D209" s="25">
        <v>1.1749999523162842</v>
      </c>
      <c r="E209" s="25">
        <v>-2895.91943359375</v>
      </c>
      <c r="F209" s="25">
        <v>-3563.765380859375</v>
      </c>
      <c r="G209" s="25">
        <v>0</v>
      </c>
      <c r="H209" s="25">
        <v>0</v>
      </c>
      <c r="I209" s="25">
        <v>0</v>
      </c>
      <c r="J209" s="25">
        <v>10922</v>
      </c>
    </row>
    <row r="210" spans="2:10">
      <c r="B210" s="25">
        <v>28</v>
      </c>
      <c r="C210" s="25">
        <v>18</v>
      </c>
      <c r="D210" s="25">
        <v>0</v>
      </c>
      <c r="E210" s="25">
        <v>-3967.85595703125</v>
      </c>
      <c r="F210" s="25">
        <v>-7029.11962890625</v>
      </c>
      <c r="G210" s="25">
        <v>0</v>
      </c>
      <c r="H210" s="25">
        <v>0</v>
      </c>
      <c r="I210" s="25">
        <v>0</v>
      </c>
      <c r="J210" s="25">
        <v>29602.552734375</v>
      </c>
    </row>
    <row r="211" spans="2:10">
      <c r="C211" s="25">
        <v>29</v>
      </c>
      <c r="D211" s="25">
        <v>1.1749999523162842</v>
      </c>
      <c r="E211" s="25">
        <v>-3967.85595703125</v>
      </c>
      <c r="F211" s="25">
        <v>-7029.11962890625</v>
      </c>
      <c r="G211" s="25">
        <v>0</v>
      </c>
      <c r="H211" s="25">
        <v>0</v>
      </c>
      <c r="I211" s="25">
        <v>0</v>
      </c>
      <c r="J211" s="25">
        <v>21343.337890625</v>
      </c>
    </row>
    <row r="212" spans="2:10">
      <c r="B212" s="25">
        <v>29</v>
      </c>
      <c r="C212" s="25">
        <v>21</v>
      </c>
      <c r="D212" s="25">
        <v>0</v>
      </c>
      <c r="E212" s="25">
        <v>7961.728515625</v>
      </c>
      <c r="F212" s="25">
        <v>-9064.89453125</v>
      </c>
      <c r="G212" s="25">
        <v>0</v>
      </c>
      <c r="H212" s="25">
        <v>0</v>
      </c>
      <c r="I212" s="25">
        <v>0</v>
      </c>
      <c r="J212" s="25">
        <v>36693.37109375</v>
      </c>
    </row>
    <row r="213" spans="2:10">
      <c r="C213" s="25">
        <v>30</v>
      </c>
      <c r="D213" s="25">
        <v>1.1749999523162842</v>
      </c>
      <c r="E213" s="25">
        <v>7961.728515625</v>
      </c>
      <c r="F213" s="25">
        <v>-9064.89453125</v>
      </c>
      <c r="G213" s="25">
        <v>0</v>
      </c>
      <c r="H213" s="25">
        <v>0</v>
      </c>
      <c r="I213" s="25">
        <v>0</v>
      </c>
      <c r="J213" s="25">
        <v>26042.119140625</v>
      </c>
    </row>
    <row r="214" spans="2:10">
      <c r="B214" s="25">
        <v>30</v>
      </c>
      <c r="C214" s="25">
        <v>24</v>
      </c>
      <c r="D214" s="25">
        <v>0</v>
      </c>
      <c r="E214" s="25">
        <v>7961.728515625</v>
      </c>
      <c r="F214" s="25">
        <v>9064.89453125</v>
      </c>
      <c r="G214" s="25">
        <v>0</v>
      </c>
      <c r="H214" s="25">
        <v>0</v>
      </c>
      <c r="I214" s="25">
        <v>0</v>
      </c>
      <c r="J214" s="25">
        <v>-26042.119140625</v>
      </c>
    </row>
    <row r="215" spans="2:10">
      <c r="D215" s="25">
        <v>0.57499998807907104</v>
      </c>
      <c r="E215" s="25">
        <v>7961.728515625</v>
      </c>
      <c r="F215" s="25">
        <v>9064.89453125</v>
      </c>
      <c r="G215" s="25">
        <v>0</v>
      </c>
      <c r="H215" s="25">
        <v>0</v>
      </c>
      <c r="I215" s="25">
        <v>0</v>
      </c>
      <c r="J215" s="25">
        <v>-20829.8046875</v>
      </c>
    </row>
    <row r="216" spans="2:10">
      <c r="C216" s="25">
        <v>31</v>
      </c>
      <c r="D216" s="25">
        <v>6.1750001907348633</v>
      </c>
      <c r="E216" s="25">
        <v>7961.728515625</v>
      </c>
      <c r="F216" s="25">
        <v>9064.89453125</v>
      </c>
      <c r="G216" s="25">
        <v>0</v>
      </c>
      <c r="H216" s="25">
        <v>0</v>
      </c>
      <c r="I216" s="25">
        <v>0</v>
      </c>
      <c r="J216" s="25">
        <v>29933.603515625</v>
      </c>
    </row>
    <row r="217" spans="2:10">
      <c r="B217" s="25">
        <v>31</v>
      </c>
      <c r="C217" s="25">
        <v>25</v>
      </c>
      <c r="D217" s="25">
        <v>0</v>
      </c>
      <c r="E217" s="25">
        <v>-3967.85595703125</v>
      </c>
      <c r="F217" s="25">
        <v>7029.11962890625</v>
      </c>
      <c r="G217" s="25">
        <v>0</v>
      </c>
      <c r="H217" s="25">
        <v>0</v>
      </c>
      <c r="I217" s="25">
        <v>0</v>
      </c>
      <c r="J217" s="25">
        <v>-21343.337890625</v>
      </c>
    </row>
    <row r="218" spans="2:10">
      <c r="D218" s="25">
        <v>0.57499998807907104</v>
      </c>
      <c r="E218" s="25">
        <v>-3967.85595703125</v>
      </c>
      <c r="F218" s="25">
        <v>7029.11962890625</v>
      </c>
      <c r="G218" s="25">
        <v>0</v>
      </c>
      <c r="H218" s="25">
        <v>0</v>
      </c>
      <c r="I218" s="25">
        <v>0</v>
      </c>
      <c r="J218" s="25">
        <v>-17301.59375</v>
      </c>
    </row>
    <row r="219" spans="2:10">
      <c r="C219" s="25">
        <v>32</v>
      </c>
      <c r="D219" s="25">
        <v>6.1750001907348633</v>
      </c>
      <c r="E219" s="25">
        <v>-3967.85595703125</v>
      </c>
      <c r="F219" s="25">
        <v>7029.11962890625</v>
      </c>
      <c r="G219" s="25">
        <v>0</v>
      </c>
      <c r="H219" s="25">
        <v>0</v>
      </c>
      <c r="I219" s="25">
        <v>0</v>
      </c>
      <c r="J219" s="25">
        <v>22061.4765625</v>
      </c>
    </row>
    <row r="220" spans="2:10">
      <c r="B220" s="25">
        <v>32</v>
      </c>
      <c r="C220" s="25">
        <v>26</v>
      </c>
      <c r="D220" s="25">
        <v>0</v>
      </c>
      <c r="E220" s="25">
        <v>-2895.91943359375</v>
      </c>
      <c r="F220" s="25">
        <v>3563.765380859375</v>
      </c>
      <c r="G220" s="25">
        <v>0</v>
      </c>
      <c r="H220" s="25">
        <v>0</v>
      </c>
      <c r="I220" s="25">
        <v>0</v>
      </c>
      <c r="J220" s="25">
        <v>-10922</v>
      </c>
    </row>
    <row r="221" spans="2:10">
      <c r="D221" s="25">
        <v>0.57499998807907104</v>
      </c>
      <c r="E221" s="25">
        <v>-2895.91943359375</v>
      </c>
      <c r="F221" s="25">
        <v>3563.765380859375</v>
      </c>
      <c r="G221" s="25">
        <v>0</v>
      </c>
      <c r="H221" s="25">
        <v>0</v>
      </c>
      <c r="I221" s="25">
        <v>0</v>
      </c>
      <c r="J221" s="25">
        <v>-8872.8349609375</v>
      </c>
    </row>
    <row r="222" spans="2:10">
      <c r="C222" s="25">
        <v>33</v>
      </c>
      <c r="D222" s="25">
        <v>6.1750001907348633</v>
      </c>
      <c r="E222" s="25">
        <v>-2895.91943359375</v>
      </c>
      <c r="F222" s="25">
        <v>3563.765380859375</v>
      </c>
      <c r="G222" s="25">
        <v>0</v>
      </c>
      <c r="H222" s="25">
        <v>0</v>
      </c>
      <c r="I222" s="25">
        <v>0</v>
      </c>
      <c r="J222" s="25">
        <v>11084.2509765625</v>
      </c>
    </row>
    <row r="223" spans="2:10">
      <c r="B223" s="25">
        <v>33</v>
      </c>
      <c r="C223" s="25">
        <v>27</v>
      </c>
      <c r="D223" s="25">
        <v>0</v>
      </c>
      <c r="E223" s="25">
        <v>-2195.906494140625</v>
      </c>
      <c r="F223" s="25">
        <v>-1.0107305215001361E-8</v>
      </c>
      <c r="G223" s="25">
        <v>0</v>
      </c>
      <c r="H223" s="25">
        <v>0</v>
      </c>
      <c r="I223" s="25">
        <v>0</v>
      </c>
      <c r="J223" s="25">
        <v>3.2069340960561021E-8</v>
      </c>
    </row>
    <row r="224" spans="2:10">
      <c r="D224" s="25">
        <v>0.57499998807907104</v>
      </c>
      <c r="E224" s="25">
        <v>-2195.906494140625</v>
      </c>
      <c r="F224" s="25">
        <v>-1.0107305215001361E-8</v>
      </c>
      <c r="G224" s="25">
        <v>0</v>
      </c>
      <c r="H224" s="25">
        <v>0</v>
      </c>
      <c r="I224" s="25">
        <v>0</v>
      </c>
      <c r="J224" s="25">
        <v>2.625764139452258E-8</v>
      </c>
    </row>
    <row r="225" spans="2:10">
      <c r="C225" s="25">
        <v>34</v>
      </c>
      <c r="D225" s="25">
        <v>6.1750001907348633</v>
      </c>
      <c r="E225" s="25">
        <v>-2195.906494140625</v>
      </c>
      <c r="F225" s="25">
        <v>-1.0150482232518243E-8</v>
      </c>
      <c r="G225" s="25">
        <v>0</v>
      </c>
      <c r="H225" s="25">
        <v>0</v>
      </c>
      <c r="I225" s="25">
        <v>0</v>
      </c>
      <c r="J225" s="25">
        <v>-3.0589518473789212E-8</v>
      </c>
    </row>
    <row r="226" spans="2:10">
      <c r="B226" s="25">
        <v>34</v>
      </c>
      <c r="C226" s="25">
        <v>28</v>
      </c>
      <c r="D226" s="25">
        <v>0</v>
      </c>
      <c r="E226" s="25">
        <v>-2895.91943359375</v>
      </c>
      <c r="F226" s="25">
        <v>-3563.765380859375</v>
      </c>
      <c r="G226" s="25">
        <v>0</v>
      </c>
      <c r="H226" s="25">
        <v>0</v>
      </c>
      <c r="I226" s="25">
        <v>0</v>
      </c>
      <c r="J226" s="25">
        <v>10922</v>
      </c>
    </row>
    <row r="227" spans="2:10">
      <c r="D227" s="25">
        <v>0.57499998807907104</v>
      </c>
      <c r="E227" s="25">
        <v>-2895.91943359375</v>
      </c>
      <c r="F227" s="25">
        <v>-3563.765380859375</v>
      </c>
      <c r="G227" s="25">
        <v>0</v>
      </c>
      <c r="H227" s="25">
        <v>0</v>
      </c>
      <c r="I227" s="25">
        <v>0</v>
      </c>
      <c r="J227" s="25">
        <v>8872.8349609375</v>
      </c>
    </row>
    <row r="228" spans="2:10">
      <c r="C228" s="25">
        <v>35</v>
      </c>
      <c r="D228" s="25">
        <v>6.1750001907348633</v>
      </c>
      <c r="E228" s="25">
        <v>-2895.91943359375</v>
      </c>
      <c r="F228" s="25">
        <v>-3563.765380859375</v>
      </c>
      <c r="G228" s="25">
        <v>0</v>
      </c>
      <c r="H228" s="25">
        <v>0</v>
      </c>
      <c r="I228" s="25">
        <v>0</v>
      </c>
      <c r="J228" s="25">
        <v>-11084.2509765625</v>
      </c>
    </row>
    <row r="229" spans="2:10">
      <c r="B229" s="25">
        <v>35</v>
      </c>
      <c r="C229" s="25">
        <v>29</v>
      </c>
      <c r="D229" s="25">
        <v>0</v>
      </c>
      <c r="E229" s="25">
        <v>-3967.85595703125</v>
      </c>
      <c r="F229" s="25">
        <v>-7029.11962890625</v>
      </c>
      <c r="G229" s="25">
        <v>0</v>
      </c>
      <c r="H229" s="25">
        <v>0</v>
      </c>
      <c r="I229" s="25">
        <v>0</v>
      </c>
      <c r="J229" s="25">
        <v>21343.337890625</v>
      </c>
    </row>
    <row r="230" spans="2:10">
      <c r="D230" s="25">
        <v>0.57499998807907104</v>
      </c>
      <c r="E230" s="25">
        <v>-3967.85595703125</v>
      </c>
      <c r="F230" s="25">
        <v>-7029.11962890625</v>
      </c>
      <c r="G230" s="25">
        <v>0</v>
      </c>
      <c r="H230" s="25">
        <v>0</v>
      </c>
      <c r="I230" s="25">
        <v>0</v>
      </c>
      <c r="J230" s="25">
        <v>17301.59375</v>
      </c>
    </row>
    <row r="231" spans="2:10">
      <c r="C231" s="25">
        <v>36</v>
      </c>
      <c r="D231" s="25">
        <v>6.1750001907348633</v>
      </c>
      <c r="E231" s="25">
        <v>-3967.85595703125</v>
      </c>
      <c r="F231" s="25">
        <v>-7029.11962890625</v>
      </c>
      <c r="G231" s="25">
        <v>0</v>
      </c>
      <c r="H231" s="25">
        <v>0</v>
      </c>
      <c r="I231" s="25">
        <v>0</v>
      </c>
      <c r="J231" s="25">
        <v>-22061.4765625</v>
      </c>
    </row>
    <row r="232" spans="2:10">
      <c r="B232" s="25">
        <v>36</v>
      </c>
      <c r="C232" s="25">
        <v>30</v>
      </c>
      <c r="D232" s="25">
        <v>0</v>
      </c>
      <c r="E232" s="25">
        <v>7961.728515625</v>
      </c>
      <c r="F232" s="25">
        <v>-9064.89453125</v>
      </c>
      <c r="G232" s="25">
        <v>0</v>
      </c>
      <c r="H232" s="25">
        <v>0</v>
      </c>
      <c r="I232" s="25">
        <v>0</v>
      </c>
      <c r="J232" s="25">
        <v>26042.119140625</v>
      </c>
    </row>
    <row r="233" spans="2:10">
      <c r="D233" s="25">
        <v>0.57499998807907104</v>
      </c>
      <c r="E233" s="25">
        <v>7961.728515625</v>
      </c>
      <c r="F233" s="25">
        <v>-9064.89453125</v>
      </c>
      <c r="G233" s="25">
        <v>0</v>
      </c>
      <c r="H233" s="25">
        <v>0</v>
      </c>
      <c r="I233" s="25">
        <v>0</v>
      </c>
      <c r="J233" s="25">
        <v>20829.8046875</v>
      </c>
    </row>
    <row r="234" spans="2:10">
      <c r="C234" s="25">
        <v>37</v>
      </c>
      <c r="D234" s="25">
        <v>6.1750001907348633</v>
      </c>
      <c r="E234" s="25">
        <v>7961.728515625</v>
      </c>
      <c r="F234" s="25">
        <v>-9064.89453125</v>
      </c>
      <c r="G234" s="25">
        <v>0</v>
      </c>
      <c r="H234" s="25">
        <v>0</v>
      </c>
      <c r="I234" s="25">
        <v>0</v>
      </c>
      <c r="J234" s="25">
        <v>-29933.603515625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J2" sqref="J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213" t="s">
        <v>39</v>
      </c>
      <c r="C4" s="214"/>
      <c r="D4" s="90" t="s">
        <v>75</v>
      </c>
      <c r="F4" s="218"/>
      <c r="G4" s="219"/>
      <c r="H4" s="219"/>
      <c r="I4" s="219"/>
      <c r="J4" s="219"/>
      <c r="K4" s="220"/>
    </row>
    <row r="5" spans="2:11" ht="16.5" customHeight="1">
      <c r="B5" s="78"/>
      <c r="C5" s="79" t="s">
        <v>40</v>
      </c>
      <c r="D5" s="90" t="s">
        <v>139</v>
      </c>
      <c r="F5" s="221"/>
      <c r="G5" s="215"/>
      <c r="H5" s="215"/>
      <c r="I5" s="215"/>
      <c r="J5" s="215"/>
      <c r="K5" s="222"/>
    </row>
    <row r="6" spans="2:11" ht="16.5" customHeight="1">
      <c r="B6" s="80"/>
      <c r="C6" s="81" t="s">
        <v>41</v>
      </c>
      <c r="D6" s="91">
        <v>1</v>
      </c>
      <c r="F6" s="221"/>
      <c r="G6" s="215"/>
      <c r="H6" s="215"/>
      <c r="I6" s="215"/>
      <c r="J6" s="215"/>
      <c r="K6" s="222"/>
    </row>
    <row r="7" spans="2:11" ht="16.5" customHeight="1">
      <c r="B7" s="213" t="s">
        <v>42</v>
      </c>
      <c r="C7" s="214"/>
      <c r="D7" s="90" t="s">
        <v>75</v>
      </c>
      <c r="F7" s="221"/>
      <c r="G7" s="215"/>
      <c r="H7" s="215"/>
      <c r="I7" s="215"/>
      <c r="J7" s="215"/>
      <c r="K7" s="222"/>
    </row>
    <row r="8" spans="2:11" ht="16.5" customHeight="1">
      <c r="B8" s="78"/>
      <c r="C8" s="79" t="s">
        <v>40</v>
      </c>
      <c r="D8" s="90" t="s">
        <v>76</v>
      </c>
      <c r="F8" s="221"/>
      <c r="G8" s="215"/>
      <c r="H8" s="215"/>
      <c r="I8" s="215"/>
      <c r="J8" s="215"/>
      <c r="K8" s="222"/>
    </row>
    <row r="9" spans="2:11" ht="16.5" customHeight="1">
      <c r="B9" s="80"/>
      <c r="C9" s="81" t="s">
        <v>41</v>
      </c>
      <c r="D9" s="92">
        <v>1</v>
      </c>
      <c r="F9" s="221"/>
      <c r="G9" s="215"/>
      <c r="H9" s="215"/>
      <c r="I9" s="215"/>
      <c r="J9" s="215"/>
      <c r="K9" s="222"/>
    </row>
    <row r="10" spans="2:11" ht="16.5" customHeight="1">
      <c r="B10" s="213" t="s">
        <v>82</v>
      </c>
      <c r="C10" s="214"/>
      <c r="D10" s="90" t="s">
        <v>83</v>
      </c>
      <c r="F10" s="221"/>
      <c r="G10" s="215"/>
      <c r="H10" s="215"/>
      <c r="I10" s="215"/>
      <c r="J10" s="215"/>
      <c r="K10" s="222"/>
    </row>
    <row r="11" spans="2:11" ht="16.5" customHeight="1">
      <c r="B11" s="80"/>
      <c r="C11" s="82" t="s">
        <v>43</v>
      </c>
      <c r="D11" s="93">
        <v>20</v>
      </c>
      <c r="F11" s="221"/>
      <c r="G11" s="215"/>
      <c r="H11" s="215"/>
      <c r="I11" s="215"/>
      <c r="J11" s="215"/>
      <c r="K11" s="222"/>
    </row>
    <row r="12" spans="2:11" ht="16.5" customHeight="1">
      <c r="D12" s="83"/>
      <c r="F12" s="221"/>
      <c r="G12" s="215"/>
      <c r="H12" s="215"/>
      <c r="I12" s="215"/>
      <c r="J12" s="215"/>
      <c r="K12" s="222"/>
    </row>
    <row r="13" spans="2:11" ht="16.5" customHeight="1">
      <c r="B13" s="84" t="s">
        <v>44</v>
      </c>
      <c r="C13" s="85"/>
      <c r="D13" s="86"/>
      <c r="F13" s="221"/>
      <c r="G13" s="215"/>
      <c r="H13" s="215"/>
      <c r="I13" s="215"/>
      <c r="J13" s="215"/>
      <c r="K13" s="222"/>
    </row>
    <row r="14" spans="2:11" ht="16.5" customHeight="1">
      <c r="B14" s="87"/>
      <c r="C14" s="88" t="s">
        <v>45</v>
      </c>
      <c r="D14" s="90">
        <v>180</v>
      </c>
      <c r="F14" s="221"/>
      <c r="G14" s="215"/>
      <c r="H14" s="215"/>
      <c r="I14" s="215"/>
      <c r="J14" s="215"/>
      <c r="K14" s="222"/>
    </row>
    <row r="15" spans="2:11" ht="16.5" customHeight="1">
      <c r="B15" s="87"/>
      <c r="C15" s="88" t="s">
        <v>46</v>
      </c>
      <c r="D15" s="90">
        <v>0</v>
      </c>
      <c r="F15" s="221"/>
      <c r="G15" s="215"/>
      <c r="H15" s="215"/>
      <c r="I15" s="215"/>
      <c r="J15" s="215"/>
      <c r="K15" s="222"/>
    </row>
    <row r="16" spans="2:11" ht="16.5" customHeight="1">
      <c r="B16" s="89"/>
      <c r="C16" s="88" t="s">
        <v>47</v>
      </c>
      <c r="D16" s="90">
        <v>0</v>
      </c>
      <c r="F16" s="221"/>
      <c r="G16" s="215"/>
      <c r="H16" s="215"/>
      <c r="I16" s="215"/>
      <c r="J16" s="215"/>
      <c r="K16" s="222"/>
    </row>
    <row r="17" spans="3:11" ht="16.5" customHeight="1">
      <c r="F17" s="221"/>
      <c r="G17" s="215"/>
      <c r="H17" s="215"/>
      <c r="I17" s="215"/>
      <c r="J17" s="215"/>
      <c r="K17" s="222"/>
    </row>
    <row r="18" spans="3:11" ht="16.5" customHeight="1">
      <c r="F18" s="221"/>
      <c r="G18" s="215"/>
      <c r="H18" s="215"/>
      <c r="I18" s="215"/>
      <c r="J18" s="215"/>
      <c r="K18" s="222"/>
    </row>
    <row r="19" spans="3:11" ht="16.5" customHeight="1">
      <c r="F19" s="221"/>
      <c r="G19" s="215"/>
      <c r="H19" s="215"/>
      <c r="I19" s="215"/>
      <c r="J19" s="215"/>
      <c r="K19" s="222"/>
    </row>
    <row r="20" spans="3:11" ht="16.5" customHeight="1">
      <c r="F20" s="221"/>
      <c r="G20" s="215"/>
      <c r="H20" s="215"/>
      <c r="I20" s="215"/>
      <c r="J20" s="215"/>
      <c r="K20" s="222"/>
    </row>
    <row r="21" spans="3:11" ht="16.5" customHeight="1">
      <c r="F21" s="221"/>
      <c r="G21" s="215"/>
      <c r="H21" s="215"/>
      <c r="I21" s="215"/>
      <c r="J21" s="215"/>
      <c r="K21" s="222"/>
    </row>
    <row r="22" spans="3:11" ht="16.5" customHeight="1">
      <c r="F22" s="221"/>
      <c r="G22" s="215"/>
      <c r="H22" s="215"/>
      <c r="I22" s="215"/>
      <c r="J22" s="215"/>
      <c r="K22" s="222"/>
    </row>
    <row r="23" spans="3:11" ht="16.5" customHeight="1">
      <c r="F23" s="221"/>
      <c r="G23" s="215"/>
      <c r="H23" s="215"/>
      <c r="I23" s="215"/>
      <c r="J23" s="215"/>
      <c r="K23" s="222"/>
    </row>
    <row r="24" spans="3:11" ht="16.5" customHeight="1">
      <c r="F24" s="221"/>
      <c r="G24" s="215"/>
      <c r="H24" s="215"/>
      <c r="I24" s="215"/>
      <c r="J24" s="215"/>
      <c r="K24" s="222"/>
    </row>
    <row r="25" spans="3:11" ht="16.5" customHeight="1">
      <c r="C25" s="88" t="s">
        <v>59</v>
      </c>
      <c r="D25" s="90">
        <v>1</v>
      </c>
      <c r="F25" s="221"/>
      <c r="G25" s="215"/>
      <c r="H25" s="215"/>
      <c r="I25" s="215"/>
      <c r="J25" s="215"/>
      <c r="K25" s="222"/>
    </row>
    <row r="26" spans="3:11" ht="16.5" customHeight="1">
      <c r="F26" s="221"/>
      <c r="G26" s="215"/>
      <c r="H26" s="215"/>
      <c r="I26" s="215"/>
      <c r="J26" s="215"/>
      <c r="K26" s="222"/>
    </row>
    <row r="27" spans="3:11" ht="16.5" customHeight="1">
      <c r="F27" s="223"/>
      <c r="G27" s="224"/>
      <c r="H27" s="224"/>
      <c r="I27" s="224"/>
      <c r="J27" s="224"/>
      <c r="K27" s="225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178</vt:i4>
      </vt:variant>
    </vt:vector>
  </HeadingPairs>
  <TitlesOfParts>
    <vt:vector size="196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計算・出力!header_回転Y1</vt:lpstr>
      <vt:lpstr>計算・出力!header_回転Z1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計算・出力!header_節点Y1</vt:lpstr>
      <vt:lpstr>計算・出力!header_節点Z1</vt:lpstr>
      <vt:lpstr>計算・出力!header_断面力FX1</vt:lpstr>
      <vt:lpstr>計算・出力!header_断面力FY1</vt:lpstr>
      <vt:lpstr>計算・出力!header_断面力FZ1</vt:lpstr>
      <vt:lpstr>計算・出力!header_断面力MX1</vt:lpstr>
      <vt:lpstr>計算・出力!header_断面力MY1</vt:lpstr>
      <vt:lpstr>計算・出力!header_断面力MZ1</vt:lpstr>
      <vt:lpstr>計算・出力!header_断面力節点1</vt:lpstr>
      <vt:lpstr>計算・出力!header_着目点1</vt:lpstr>
      <vt:lpstr>計算・出力!header_反力MX1</vt:lpstr>
      <vt:lpstr>計算・出力!header_反力MY1</vt:lpstr>
      <vt:lpstr>計算・出力!header_反力MZ1</vt:lpstr>
      <vt:lpstr>計算・出力!header_反力RX1</vt:lpstr>
      <vt:lpstr>計算・出力!header_反力RY1</vt:lpstr>
      <vt:lpstr>計算・出力!header_反力RZ1</vt:lpstr>
      <vt:lpstr>荷重強度!header_部材1</vt:lpstr>
      <vt:lpstr>荷重強度!header_部材2</vt:lpstr>
      <vt:lpstr>計算・出力!header_変位X1</vt:lpstr>
      <vt:lpstr>計算・出力!header_変位Y1</vt:lpstr>
      <vt:lpstr>計算・出力!header_変位Z1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荷重名称!割増係数_header</vt:lpstr>
      <vt:lpstr>計算・出力!割増係数1</vt:lpstr>
      <vt:lpstr>荷重名称!記号_header</vt:lpstr>
      <vt:lpstr>計算・出力!記号1</vt:lpstr>
      <vt:lpstr>荷重名称!結合_header</vt:lpstr>
      <vt:lpstr>荷重名称!支点_header</vt:lpstr>
      <vt:lpstr>計算・出力!節点数1</vt:lpstr>
      <vt:lpstr>荷重名称!断面_header</vt:lpstr>
      <vt:lpstr>荷重名称!名称_header</vt:lpstr>
      <vt:lpstr>計算・出力!名称1</vt:lpstr>
      <vt:lpstr>計算・出力!要素数1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2018-06-06T01:31:45Z</cp:lastPrinted>
  <dcterms:created xsi:type="dcterms:W3CDTF">2014-11-11T12:34:56Z</dcterms:created>
  <dcterms:modified xsi:type="dcterms:W3CDTF">2018-06-06T03:31:32Z</dcterms:modified>
</cp:coreProperties>
</file>