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firstSheet="5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荷重図!$I$9:$AK$32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計算・出力!$F$34</definedName>
    <definedName name="header_回転X10" localSheetId="14">計算・出力!$CR$34</definedName>
    <definedName name="header_回転X11" localSheetId="14">計算・出力!$DB$34</definedName>
    <definedName name="header_回転X12" localSheetId="14">計算・出力!$DL$34</definedName>
    <definedName name="header_回転X13" localSheetId="14">計算・出力!$DV$34</definedName>
    <definedName name="header_回転X14" localSheetId="14">計算・出力!$EF$34</definedName>
    <definedName name="header_回転X15" localSheetId="14">計算・出力!$EP$34</definedName>
    <definedName name="header_回転X16" localSheetId="14">計算・出力!$EZ$34</definedName>
    <definedName name="header_回転X17" localSheetId="14">計算・出力!$FJ$34</definedName>
    <definedName name="header_回転X18" localSheetId="14">計算・出力!$FT$34</definedName>
    <definedName name="header_回転X19" localSheetId="14">計算・出力!$GD$34</definedName>
    <definedName name="header_回転X2" localSheetId="14">計算・出力!$P$34</definedName>
    <definedName name="header_回転X20" localSheetId="14">計算・出力!$GN$34</definedName>
    <definedName name="header_回転X21" localSheetId="14">計算・出力!$GX$34</definedName>
    <definedName name="header_回転X3" localSheetId="14">計算・出力!$Z$34</definedName>
    <definedName name="header_回転X4" localSheetId="14">計算・出力!$AJ$34</definedName>
    <definedName name="header_回転X5" localSheetId="14">計算・出力!$AT$34</definedName>
    <definedName name="header_回転X6" localSheetId="14">計算・出力!$BD$34</definedName>
    <definedName name="header_回転X7" localSheetId="14">計算・出力!$BN$34</definedName>
    <definedName name="header_回転X8" localSheetId="14">計算・出力!$BX$34</definedName>
    <definedName name="header_回転X9" localSheetId="14">計算・出力!$CH$34</definedName>
    <definedName name="header_回転Y1" localSheetId="14">計算・出力!$G$34</definedName>
    <definedName name="header_回転Y10" localSheetId="14">計算・出力!$CS$34</definedName>
    <definedName name="header_回転Y11" localSheetId="14">計算・出力!$DC$34</definedName>
    <definedName name="header_回転Y12" localSheetId="14">計算・出力!$DM$34</definedName>
    <definedName name="header_回転Y13" localSheetId="14">計算・出力!$DW$34</definedName>
    <definedName name="header_回転Y14" localSheetId="14">計算・出力!$EG$34</definedName>
    <definedName name="header_回転Y15" localSheetId="14">計算・出力!$EQ$34</definedName>
    <definedName name="header_回転Y16" localSheetId="14">計算・出力!$FA$34</definedName>
    <definedName name="header_回転Y17" localSheetId="14">計算・出力!$FK$34</definedName>
    <definedName name="header_回転Y18" localSheetId="14">計算・出力!$FU$34</definedName>
    <definedName name="header_回転Y19" localSheetId="14">計算・出力!$GE$34</definedName>
    <definedName name="header_回転Y2" localSheetId="14">計算・出力!$Q$34</definedName>
    <definedName name="header_回転Y20" localSheetId="14">計算・出力!$GO$34</definedName>
    <definedName name="header_回転Y21" localSheetId="14">計算・出力!$GY$34</definedName>
    <definedName name="header_回転Y3" localSheetId="14">計算・出力!$AA$34</definedName>
    <definedName name="header_回転Y4" localSheetId="14">計算・出力!$AK$34</definedName>
    <definedName name="header_回転Y5" localSheetId="14">計算・出力!$AU$34</definedName>
    <definedName name="header_回転Y6" localSheetId="14">計算・出力!$BE$34</definedName>
    <definedName name="header_回転Y7" localSheetId="14">計算・出力!$BO$34</definedName>
    <definedName name="header_回転Y8" localSheetId="14">計算・出力!$BY$34</definedName>
    <definedName name="header_回転Y9" localSheetId="14">計算・出力!$CI$34</definedName>
    <definedName name="header_回転Z1" localSheetId="14">計算・出力!$H$34</definedName>
    <definedName name="header_回転Z10" localSheetId="14">計算・出力!$CT$34</definedName>
    <definedName name="header_回転Z11" localSheetId="14">計算・出力!$DD$34</definedName>
    <definedName name="header_回転Z12" localSheetId="14">計算・出力!$DN$34</definedName>
    <definedName name="header_回転Z13" localSheetId="14">計算・出力!$DX$34</definedName>
    <definedName name="header_回転Z14" localSheetId="14">計算・出力!$EH$34</definedName>
    <definedName name="header_回転Z15" localSheetId="14">計算・出力!$ER$34</definedName>
    <definedName name="header_回転Z16" localSheetId="14">計算・出力!$FB$34</definedName>
    <definedName name="header_回転Z17" localSheetId="14">計算・出力!$FL$34</definedName>
    <definedName name="header_回転Z18" localSheetId="14">計算・出力!$FV$34</definedName>
    <definedName name="header_回転Z19" localSheetId="14">計算・出力!$GF$34</definedName>
    <definedName name="header_回転Z2" localSheetId="14">計算・出力!$R$34</definedName>
    <definedName name="header_回転Z20" localSheetId="14">計算・出力!$GP$34</definedName>
    <definedName name="header_回転Z21" localSheetId="14">計算・出力!$GZ$34</definedName>
    <definedName name="header_回転Z3" localSheetId="14">計算・出力!$AB$34</definedName>
    <definedName name="header_回転Z4" localSheetId="14">計算・出力!$AL$34</definedName>
    <definedName name="header_回転Z5" localSheetId="14">計算・出力!$AV$34</definedName>
    <definedName name="header_回転Z6" localSheetId="14">計算・出力!$BF$34</definedName>
    <definedName name="header_回転Z7" localSheetId="14">計算・出力!$BP$34</definedName>
    <definedName name="header_回転Z8" localSheetId="14">計算・出力!$BZ$34</definedName>
    <definedName name="header_回転Z9" localSheetId="14">計算・出力!$CJ$34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10" localSheetId="14">計算・出力!$CO$12</definedName>
    <definedName name="header_節点X11" localSheetId="14">計算・出力!$CY$12</definedName>
    <definedName name="header_節点X12" localSheetId="14">計算・出力!$DI$12</definedName>
    <definedName name="header_節点X13" localSheetId="14">計算・出力!$DS$12</definedName>
    <definedName name="header_節点X14" localSheetId="14">計算・出力!$EC$12</definedName>
    <definedName name="header_節点X15" localSheetId="14">計算・出力!$EM$12</definedName>
    <definedName name="header_節点X16" localSheetId="14">計算・出力!$EW$12</definedName>
    <definedName name="header_節点X17" localSheetId="14">計算・出力!$FG$12</definedName>
    <definedName name="header_節点X18" localSheetId="14">計算・出力!$FQ$12</definedName>
    <definedName name="header_節点X19" localSheetId="14">計算・出力!$GA$12</definedName>
    <definedName name="header_節点X2" localSheetId="14">計算・出力!$M$12</definedName>
    <definedName name="header_節点X20" localSheetId="14">計算・出力!$GK$12</definedName>
    <definedName name="header_節点X21" localSheetId="14">計算・出力!$GU$12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X8" localSheetId="14">計算・出力!$BU$12</definedName>
    <definedName name="header_節点X9" localSheetId="14">計算・出力!$CE$12</definedName>
    <definedName name="header_節点Y1" localSheetId="14">計算・出力!$D$12</definedName>
    <definedName name="header_節点Y10" localSheetId="14">計算・出力!$CP$12</definedName>
    <definedName name="header_節点Y11" localSheetId="14">計算・出力!$CZ$12</definedName>
    <definedName name="header_節点Y12" localSheetId="14">計算・出力!$DJ$12</definedName>
    <definedName name="header_節点Y13" localSheetId="14">計算・出力!$DT$12</definedName>
    <definedName name="header_節点Y14" localSheetId="14">計算・出力!$ED$12</definedName>
    <definedName name="header_節点Y15" localSheetId="14">計算・出力!$EN$12</definedName>
    <definedName name="header_節点Y16" localSheetId="14">計算・出力!$EX$12</definedName>
    <definedName name="header_節点Y17" localSheetId="14">計算・出力!$FH$12</definedName>
    <definedName name="header_節点Y18" localSheetId="14">計算・出力!$FR$12</definedName>
    <definedName name="header_節点Y19" localSheetId="14">計算・出力!$GB$12</definedName>
    <definedName name="header_節点Y2" localSheetId="14">計算・出力!$N$12</definedName>
    <definedName name="header_節点Y20" localSheetId="14">計算・出力!$GL$12</definedName>
    <definedName name="header_節点Y21" localSheetId="14">計算・出力!$GV$12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Y8" localSheetId="14">計算・出力!$BV$12</definedName>
    <definedName name="header_節点Y9" localSheetId="14">計算・出力!$CF$12</definedName>
    <definedName name="header_節点Z1" localSheetId="14">計算・出力!$E$12</definedName>
    <definedName name="header_節点Z10" localSheetId="14">計算・出力!$CQ$12</definedName>
    <definedName name="header_節点Z11" localSheetId="14">計算・出力!$DA$12</definedName>
    <definedName name="header_節点Z12" localSheetId="14">計算・出力!$DK$12</definedName>
    <definedName name="header_節点Z13" localSheetId="14">計算・出力!$DU$12</definedName>
    <definedName name="header_節点Z14" localSheetId="14">計算・出力!$EE$12</definedName>
    <definedName name="header_節点Z15" localSheetId="14">計算・出力!$EO$12</definedName>
    <definedName name="header_節点Z16" localSheetId="14">計算・出力!$EY$12</definedName>
    <definedName name="header_節点Z17" localSheetId="14">計算・出力!$FI$12</definedName>
    <definedName name="header_節点Z18" localSheetId="14">計算・出力!$FS$12</definedName>
    <definedName name="header_節点Z19" localSheetId="14">計算・出力!$GC$12</definedName>
    <definedName name="header_節点Z2" localSheetId="14">計算・出力!$O$12</definedName>
    <definedName name="header_節点Z20" localSheetId="14">計算・出力!$GM$12</definedName>
    <definedName name="header_節点Z21" localSheetId="14">計算・出力!$GW$12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節点Z8" localSheetId="14">計算・出力!$BW$12</definedName>
    <definedName name="header_節点Z9" localSheetId="14">計算・出力!$CG$12</definedName>
    <definedName name="header_断面力FX1" localSheetId="14">計算・出力!$E$80</definedName>
    <definedName name="header_断面力FX10" localSheetId="14">計算・出力!$CQ$80</definedName>
    <definedName name="header_断面力FX11" localSheetId="14">計算・出力!$DA$80</definedName>
    <definedName name="header_断面力FX12" localSheetId="14">計算・出力!$DK$80</definedName>
    <definedName name="header_断面力FX13" localSheetId="14">計算・出力!$DU$80</definedName>
    <definedName name="header_断面力FX14" localSheetId="14">計算・出力!$EE$80</definedName>
    <definedName name="header_断面力FX15" localSheetId="14">計算・出力!$EO$80</definedName>
    <definedName name="header_断面力FX16" localSheetId="14">計算・出力!$EY$80</definedName>
    <definedName name="header_断面力FX17" localSheetId="14">計算・出力!$FI$80</definedName>
    <definedName name="header_断面力FX18" localSheetId="14">計算・出力!$FS$80</definedName>
    <definedName name="header_断面力FX19" localSheetId="14">計算・出力!$GC$80</definedName>
    <definedName name="header_断面力FX2" localSheetId="14">計算・出力!$O$80</definedName>
    <definedName name="header_断面力FX20" localSheetId="14">計算・出力!$GM$80</definedName>
    <definedName name="header_断面力FX21" localSheetId="14">計算・出力!$GW$80</definedName>
    <definedName name="header_断面力FX3" localSheetId="14">計算・出力!$Y$80</definedName>
    <definedName name="header_断面力FX4" localSheetId="14">計算・出力!$AI$80</definedName>
    <definedName name="header_断面力FX5" localSheetId="14">計算・出力!$AS$80</definedName>
    <definedName name="header_断面力FX6" localSheetId="14">計算・出力!$BC$80</definedName>
    <definedName name="header_断面力FX7" localSheetId="14">計算・出力!$BM$80</definedName>
    <definedName name="header_断面力FX8" localSheetId="14">計算・出力!$BW$80</definedName>
    <definedName name="header_断面力FX9" localSheetId="14">計算・出力!$CG$80</definedName>
    <definedName name="header_断面力FY1" localSheetId="14">計算・出力!$F$80</definedName>
    <definedName name="header_断面力FY10" localSheetId="14">計算・出力!$CR$80</definedName>
    <definedName name="header_断面力FY11" localSheetId="14">計算・出力!$DB$80</definedName>
    <definedName name="header_断面力FY12" localSheetId="14">計算・出力!$DL$80</definedName>
    <definedName name="header_断面力FY13" localSheetId="14">計算・出力!$DV$80</definedName>
    <definedName name="header_断面力FY14" localSheetId="14">計算・出力!$EF$80</definedName>
    <definedName name="header_断面力FY15" localSheetId="14">計算・出力!$EP$80</definedName>
    <definedName name="header_断面力FY16" localSheetId="14">計算・出力!$EZ$80</definedName>
    <definedName name="header_断面力FY17" localSheetId="14">計算・出力!$FJ$80</definedName>
    <definedName name="header_断面力FY18" localSheetId="14">計算・出力!$FT$80</definedName>
    <definedName name="header_断面力FY19" localSheetId="14">計算・出力!$GD$80</definedName>
    <definedName name="header_断面力FY2" localSheetId="14">計算・出力!$P$80</definedName>
    <definedName name="header_断面力FY20" localSheetId="14">計算・出力!$GN$80</definedName>
    <definedName name="header_断面力FY21" localSheetId="14">計算・出力!$GX$80</definedName>
    <definedName name="header_断面力FY3" localSheetId="14">計算・出力!$Z$80</definedName>
    <definedName name="header_断面力FY4" localSheetId="14">計算・出力!$AJ$80</definedName>
    <definedName name="header_断面力FY5" localSheetId="14">計算・出力!$AT$80</definedName>
    <definedName name="header_断面力FY6" localSheetId="14">計算・出力!$BD$80</definedName>
    <definedName name="header_断面力FY7" localSheetId="14">計算・出力!$BN$80</definedName>
    <definedName name="header_断面力FY8" localSheetId="14">計算・出力!$BX$80</definedName>
    <definedName name="header_断面力FY9" localSheetId="14">計算・出力!$CH$80</definedName>
    <definedName name="header_断面力FZ1" localSheetId="14">計算・出力!$G$80</definedName>
    <definedName name="header_断面力FZ10" localSheetId="14">計算・出力!$CS$80</definedName>
    <definedName name="header_断面力FZ11" localSheetId="14">計算・出力!$DC$80</definedName>
    <definedName name="header_断面力FZ12" localSheetId="14">計算・出力!$DM$80</definedName>
    <definedName name="header_断面力FZ13" localSheetId="14">計算・出力!$DW$80</definedName>
    <definedName name="header_断面力FZ14" localSheetId="14">計算・出力!$EG$80</definedName>
    <definedName name="header_断面力FZ15" localSheetId="14">計算・出力!$EQ$80</definedName>
    <definedName name="header_断面力FZ16" localSheetId="14">計算・出力!$FA$80</definedName>
    <definedName name="header_断面力FZ17" localSheetId="14">計算・出力!$FK$80</definedName>
    <definedName name="header_断面力FZ18" localSheetId="14">計算・出力!$FU$80</definedName>
    <definedName name="header_断面力FZ19" localSheetId="14">計算・出力!$GE$80</definedName>
    <definedName name="header_断面力FZ2" localSheetId="14">計算・出力!$Q$80</definedName>
    <definedName name="header_断面力FZ20" localSheetId="14">計算・出力!$GO$80</definedName>
    <definedName name="header_断面力FZ21" localSheetId="14">計算・出力!$GY$80</definedName>
    <definedName name="header_断面力FZ3" localSheetId="14">計算・出力!$AA$80</definedName>
    <definedName name="header_断面力FZ4" localSheetId="14">計算・出力!$AK$80</definedName>
    <definedName name="header_断面力FZ5" localSheetId="14">計算・出力!$AU$80</definedName>
    <definedName name="header_断面力FZ6" localSheetId="14">計算・出力!$BE$80</definedName>
    <definedName name="header_断面力FZ7" localSheetId="14">計算・出力!$BO$80</definedName>
    <definedName name="header_断面力FZ8" localSheetId="14">計算・出力!$BY$80</definedName>
    <definedName name="header_断面力FZ9" localSheetId="14">計算・出力!$CI$80</definedName>
    <definedName name="header_断面力MX1" localSheetId="14">計算・出力!$H$80</definedName>
    <definedName name="header_断面力MX10" localSheetId="14">計算・出力!$CT$80</definedName>
    <definedName name="header_断面力MX11" localSheetId="14">計算・出力!$DD$80</definedName>
    <definedName name="header_断面力MX12" localSheetId="14">計算・出力!$DN$80</definedName>
    <definedName name="header_断面力MX13" localSheetId="14">計算・出力!$DX$80</definedName>
    <definedName name="header_断面力MX14" localSheetId="14">計算・出力!$EH$80</definedName>
    <definedName name="header_断面力MX15" localSheetId="14">計算・出力!$ER$80</definedName>
    <definedName name="header_断面力MX16" localSheetId="14">計算・出力!$FB$80</definedName>
    <definedName name="header_断面力MX17" localSheetId="14">計算・出力!$FL$80</definedName>
    <definedName name="header_断面力MX18" localSheetId="14">計算・出力!$FV$80</definedName>
    <definedName name="header_断面力MX19" localSheetId="14">計算・出力!$GF$80</definedName>
    <definedName name="header_断面力MX2" localSheetId="14">計算・出力!$R$80</definedName>
    <definedName name="header_断面力MX20" localSheetId="14">計算・出力!$GP$80</definedName>
    <definedName name="header_断面力MX21" localSheetId="14">計算・出力!$GZ$80</definedName>
    <definedName name="header_断面力MX3" localSheetId="14">計算・出力!$AB$80</definedName>
    <definedName name="header_断面力MX4" localSheetId="14">計算・出力!$AL$80</definedName>
    <definedName name="header_断面力MX5" localSheetId="14">計算・出力!$AV$80</definedName>
    <definedName name="header_断面力MX6" localSheetId="14">計算・出力!$BF$80</definedName>
    <definedName name="header_断面力MX7" localSheetId="14">計算・出力!$BP$80</definedName>
    <definedName name="header_断面力MX8" localSheetId="14">計算・出力!$BZ$80</definedName>
    <definedName name="header_断面力MX9" localSheetId="14">計算・出力!$CJ$80</definedName>
    <definedName name="header_断面力MY1" localSheetId="14">計算・出力!$I$80</definedName>
    <definedName name="header_断面力MY10" localSheetId="14">計算・出力!$CU$80</definedName>
    <definedName name="header_断面力MY11" localSheetId="14">計算・出力!$DE$80</definedName>
    <definedName name="header_断面力MY12" localSheetId="14">計算・出力!$DO$80</definedName>
    <definedName name="header_断面力MY13" localSheetId="14">計算・出力!$DY$80</definedName>
    <definedName name="header_断面力MY14" localSheetId="14">計算・出力!$EI$80</definedName>
    <definedName name="header_断面力MY15" localSheetId="14">計算・出力!$ES$80</definedName>
    <definedName name="header_断面力MY16" localSheetId="14">計算・出力!$FC$80</definedName>
    <definedName name="header_断面力MY17" localSheetId="14">計算・出力!$FM$80</definedName>
    <definedName name="header_断面力MY18" localSheetId="14">計算・出力!$FW$80</definedName>
    <definedName name="header_断面力MY19" localSheetId="14">計算・出力!$GG$80</definedName>
    <definedName name="header_断面力MY2" localSheetId="14">計算・出力!$S$80</definedName>
    <definedName name="header_断面力MY20" localSheetId="14">計算・出力!$GQ$80</definedName>
    <definedName name="header_断面力MY21" localSheetId="14">計算・出力!$HA$80</definedName>
    <definedName name="header_断面力MY3" localSheetId="14">計算・出力!$AC$80</definedName>
    <definedName name="header_断面力MY4" localSheetId="14">計算・出力!$AM$80</definedName>
    <definedName name="header_断面力MY5" localSheetId="14">計算・出力!$AW$80</definedName>
    <definedName name="header_断面力MY6" localSheetId="14">計算・出力!$BG$80</definedName>
    <definedName name="header_断面力MY7" localSheetId="14">計算・出力!$BQ$80</definedName>
    <definedName name="header_断面力MY8" localSheetId="14">計算・出力!$CA$80</definedName>
    <definedName name="header_断面力MY9" localSheetId="14">計算・出力!$CK$80</definedName>
    <definedName name="header_断面力MZ1" localSheetId="14">計算・出力!$J$80</definedName>
    <definedName name="header_断面力MZ10" localSheetId="14">計算・出力!$CV$80</definedName>
    <definedName name="header_断面力MZ11" localSheetId="14">計算・出力!$DF$80</definedName>
    <definedName name="header_断面力MZ12" localSheetId="14">計算・出力!$DP$80</definedName>
    <definedName name="header_断面力MZ13" localSheetId="14">計算・出力!$DZ$80</definedName>
    <definedName name="header_断面力MZ14" localSheetId="14">計算・出力!$EJ$80</definedName>
    <definedName name="header_断面力MZ15" localSheetId="14">計算・出力!$ET$80</definedName>
    <definedName name="header_断面力MZ16" localSheetId="14">計算・出力!$FD$80</definedName>
    <definedName name="header_断面力MZ17" localSheetId="14">計算・出力!$FN$80</definedName>
    <definedName name="header_断面力MZ18" localSheetId="14">計算・出力!$FX$80</definedName>
    <definedName name="header_断面力MZ19" localSheetId="14">計算・出力!$GH$80</definedName>
    <definedName name="header_断面力MZ2" localSheetId="14">計算・出力!$T$80</definedName>
    <definedName name="header_断面力MZ20" localSheetId="14">計算・出力!$GR$80</definedName>
    <definedName name="header_断面力MZ21" localSheetId="14">計算・出力!$HB$80</definedName>
    <definedName name="header_断面力MZ3" localSheetId="14">計算・出力!$AD$80</definedName>
    <definedName name="header_断面力MZ4" localSheetId="14">計算・出力!$AN$80</definedName>
    <definedName name="header_断面力MZ5" localSheetId="14">計算・出力!$AX$80</definedName>
    <definedName name="header_断面力MZ6" localSheetId="14">計算・出力!$BH$80</definedName>
    <definedName name="header_断面力MZ7" localSheetId="14">計算・出力!$BR$80</definedName>
    <definedName name="header_断面力MZ8" localSheetId="14">計算・出力!$CB$80</definedName>
    <definedName name="header_断面力MZ9" localSheetId="14">計算・出力!$CL$80</definedName>
    <definedName name="header_断面力節点1" localSheetId="14">計算・出力!$C$80</definedName>
    <definedName name="header_断面力節点10" localSheetId="14">計算・出力!$CO$80</definedName>
    <definedName name="header_断面力節点11" localSheetId="14">計算・出力!$CY$80</definedName>
    <definedName name="header_断面力節点12" localSheetId="14">計算・出力!$DI$80</definedName>
    <definedName name="header_断面力節点13" localSheetId="14">計算・出力!$DS$80</definedName>
    <definedName name="header_断面力節点14" localSheetId="14">計算・出力!$EC$80</definedName>
    <definedName name="header_断面力節点15" localSheetId="14">計算・出力!$EM$80</definedName>
    <definedName name="header_断面力節点16" localSheetId="14">計算・出力!$EW$80</definedName>
    <definedName name="header_断面力節点17" localSheetId="14">計算・出力!$FG$80</definedName>
    <definedName name="header_断面力節点18" localSheetId="14">計算・出力!$FQ$80</definedName>
    <definedName name="header_断面力節点19" localSheetId="14">計算・出力!$GA$80</definedName>
    <definedName name="header_断面力節点2" localSheetId="14">計算・出力!$M$80</definedName>
    <definedName name="header_断面力節点20" localSheetId="14">計算・出力!$GK$80</definedName>
    <definedName name="header_断面力節点21" localSheetId="14">計算・出力!$GU$80</definedName>
    <definedName name="header_断面力節点3" localSheetId="14">計算・出力!$W$80</definedName>
    <definedName name="header_断面力節点4" localSheetId="14">計算・出力!$AG$80</definedName>
    <definedName name="header_断面力節点5" localSheetId="14">計算・出力!$AQ$80</definedName>
    <definedName name="header_断面力節点6" localSheetId="14">計算・出力!$BA$80</definedName>
    <definedName name="header_断面力節点7" localSheetId="14">計算・出力!$BK$80</definedName>
    <definedName name="header_断面力節点8" localSheetId="14">計算・出力!$BU$80</definedName>
    <definedName name="header_断面力節点9" localSheetId="14">計算・出力!$CE$80</definedName>
    <definedName name="header_着目点1" localSheetId="14">計算・出力!$D$80</definedName>
    <definedName name="header_着目点10" localSheetId="14">計算・出力!$CP$80</definedName>
    <definedName name="header_着目点11" localSheetId="14">計算・出力!$CZ$80</definedName>
    <definedName name="header_着目点12" localSheetId="14">計算・出力!$DJ$80</definedName>
    <definedName name="header_着目点13" localSheetId="14">計算・出力!$DT$80</definedName>
    <definedName name="header_着目点14" localSheetId="14">計算・出力!$ED$80</definedName>
    <definedName name="header_着目点15" localSheetId="14">計算・出力!$EN$80</definedName>
    <definedName name="header_着目点16" localSheetId="14">計算・出力!$EX$80</definedName>
    <definedName name="header_着目点17" localSheetId="14">計算・出力!$FH$80</definedName>
    <definedName name="header_着目点18" localSheetId="14">計算・出力!$FR$80</definedName>
    <definedName name="header_着目点19" localSheetId="14">計算・出力!$GB$80</definedName>
    <definedName name="header_着目点2" localSheetId="14">計算・出力!$N$80</definedName>
    <definedName name="header_着目点20" localSheetId="14">計算・出力!$GL$80</definedName>
    <definedName name="header_着目点21" localSheetId="14">計算・出力!$GV$80</definedName>
    <definedName name="header_着目点3" localSheetId="14">計算・出力!$X$80</definedName>
    <definedName name="header_着目点4" localSheetId="14">計算・出力!$AH$80</definedName>
    <definedName name="header_着目点5" localSheetId="14">計算・出力!$AR$80</definedName>
    <definedName name="header_着目点6" localSheetId="14">計算・出力!$BB$80</definedName>
    <definedName name="header_着目点7" localSheetId="14">計算・出力!$BL$80</definedName>
    <definedName name="header_着目点8" localSheetId="14">計算・出力!$BV$80</definedName>
    <definedName name="header_着目点9" localSheetId="14">計算・出力!$CF$80</definedName>
    <definedName name="header_反力MX1" localSheetId="14">計算・出力!$F$56</definedName>
    <definedName name="header_反力MX10" localSheetId="14">計算・出力!$CR$56</definedName>
    <definedName name="header_反力MX11" localSheetId="14">計算・出力!$DB$56</definedName>
    <definedName name="header_反力MX12" localSheetId="14">計算・出力!$DL$56</definedName>
    <definedName name="header_反力MX13" localSheetId="14">計算・出力!$DV$56</definedName>
    <definedName name="header_反力MX14" localSheetId="14">計算・出力!$EF$56</definedName>
    <definedName name="header_反力MX15" localSheetId="14">計算・出力!$EP$56</definedName>
    <definedName name="header_反力MX16" localSheetId="14">計算・出力!$EZ$56</definedName>
    <definedName name="header_反力MX17" localSheetId="14">計算・出力!$FJ$56</definedName>
    <definedName name="header_反力MX18" localSheetId="14">計算・出力!$FT$56</definedName>
    <definedName name="header_反力MX19" localSheetId="14">計算・出力!$GD$56</definedName>
    <definedName name="header_反力MX2" localSheetId="14">計算・出力!$P$56</definedName>
    <definedName name="header_反力MX20" localSheetId="14">計算・出力!$GN$56</definedName>
    <definedName name="header_反力MX21" localSheetId="14">計算・出力!$GX$56</definedName>
    <definedName name="header_反力MX3" localSheetId="14">計算・出力!$Z$56</definedName>
    <definedName name="header_反力MX4" localSheetId="14">計算・出力!$AJ$56</definedName>
    <definedName name="header_反力MX5" localSheetId="14">計算・出力!$AT$56</definedName>
    <definedName name="header_反力MX6" localSheetId="14">計算・出力!$BD$56</definedName>
    <definedName name="header_反力MX7" localSheetId="14">計算・出力!$BN$56</definedName>
    <definedName name="header_反力MX8" localSheetId="14">計算・出力!$BX$56</definedName>
    <definedName name="header_反力MX9" localSheetId="14">計算・出力!$CH$56</definedName>
    <definedName name="header_反力MY1" localSheetId="14">計算・出力!$G$56</definedName>
    <definedName name="header_反力MY10" localSheetId="14">計算・出力!$CS$56</definedName>
    <definedName name="header_反力MY11" localSheetId="14">計算・出力!$DC$56</definedName>
    <definedName name="header_反力MY12" localSheetId="14">計算・出力!$DM$56</definedName>
    <definedName name="header_反力MY13" localSheetId="14">計算・出力!$DW$56</definedName>
    <definedName name="header_反力MY14" localSheetId="14">計算・出力!$EG$56</definedName>
    <definedName name="header_反力MY15" localSheetId="14">計算・出力!$EQ$56</definedName>
    <definedName name="header_反力MY16" localSheetId="14">計算・出力!$FA$56</definedName>
    <definedName name="header_反力MY17" localSheetId="14">計算・出力!$FK$56</definedName>
    <definedName name="header_反力MY18" localSheetId="14">計算・出力!$FU$56</definedName>
    <definedName name="header_反力MY19" localSheetId="14">計算・出力!$GE$56</definedName>
    <definedName name="header_反力MY2" localSheetId="14">計算・出力!$Q$56</definedName>
    <definedName name="header_反力MY20" localSheetId="14">計算・出力!$GO$56</definedName>
    <definedName name="header_反力MY21" localSheetId="14">計算・出力!$GY$56</definedName>
    <definedName name="header_反力MY3" localSheetId="14">計算・出力!$AA$56</definedName>
    <definedName name="header_反力MY4" localSheetId="14">計算・出力!$AK$56</definedName>
    <definedName name="header_反力MY5" localSheetId="14">計算・出力!$AU$56</definedName>
    <definedName name="header_反力MY6" localSheetId="14">計算・出力!$BE$56</definedName>
    <definedName name="header_反力MY7" localSheetId="14">計算・出力!$BO$56</definedName>
    <definedName name="header_反力MY8" localSheetId="14">計算・出力!$BY$56</definedName>
    <definedName name="header_反力MY9" localSheetId="14">計算・出力!$CI$56</definedName>
    <definedName name="header_反力MZ1" localSheetId="14">計算・出力!$H$56</definedName>
    <definedName name="header_反力MZ10" localSheetId="14">計算・出力!$CT$56</definedName>
    <definedName name="header_反力MZ11" localSheetId="14">計算・出力!$DD$56</definedName>
    <definedName name="header_反力MZ12" localSheetId="14">計算・出力!$DN$56</definedName>
    <definedName name="header_反力MZ13" localSheetId="14">計算・出力!$DX$56</definedName>
    <definedName name="header_反力MZ14" localSheetId="14">計算・出力!$EH$56</definedName>
    <definedName name="header_反力MZ15" localSheetId="14">計算・出力!$ER$56</definedName>
    <definedName name="header_反力MZ16" localSheetId="14">計算・出力!$FB$56</definedName>
    <definedName name="header_反力MZ17" localSheetId="14">計算・出力!$FL$56</definedName>
    <definedName name="header_反力MZ18" localSheetId="14">計算・出力!$FV$56</definedName>
    <definedName name="header_反力MZ19" localSheetId="14">計算・出力!$GF$56</definedName>
    <definedName name="header_反力MZ2" localSheetId="14">計算・出力!$R$56</definedName>
    <definedName name="header_反力MZ20" localSheetId="14">計算・出力!$GP$56</definedName>
    <definedName name="header_反力MZ21" localSheetId="14">計算・出力!$GZ$56</definedName>
    <definedName name="header_反力MZ3" localSheetId="14">計算・出力!$AB$56</definedName>
    <definedName name="header_反力MZ4" localSheetId="14">計算・出力!$AL$56</definedName>
    <definedName name="header_反力MZ5" localSheetId="14">計算・出力!$AV$56</definedName>
    <definedName name="header_反力MZ6" localSheetId="14">計算・出力!$BF$56</definedName>
    <definedName name="header_反力MZ7" localSheetId="14">計算・出力!$BP$56</definedName>
    <definedName name="header_反力MZ8" localSheetId="14">計算・出力!$BZ$56</definedName>
    <definedName name="header_反力MZ9" localSheetId="14">計算・出力!$CJ$56</definedName>
    <definedName name="header_反力RX1" localSheetId="14">計算・出力!$C$56</definedName>
    <definedName name="header_反力RX10" localSheetId="14">計算・出力!$CO$56</definedName>
    <definedName name="header_反力RX11" localSheetId="14">計算・出力!$CY$56</definedName>
    <definedName name="header_反力RX12" localSheetId="14">計算・出力!$DI$56</definedName>
    <definedName name="header_反力RX13" localSheetId="14">計算・出力!$DS$56</definedName>
    <definedName name="header_反力RX14" localSheetId="14">計算・出力!$EC$56</definedName>
    <definedName name="header_反力RX15" localSheetId="14">計算・出力!$EM$56</definedName>
    <definedName name="header_反力RX16" localSheetId="14">計算・出力!$EW$56</definedName>
    <definedName name="header_反力RX17" localSheetId="14">計算・出力!$FG$56</definedName>
    <definedName name="header_反力RX18" localSheetId="14">計算・出力!$FQ$56</definedName>
    <definedName name="header_反力RX19" localSheetId="14">計算・出力!$GA$56</definedName>
    <definedName name="header_反力RX2" localSheetId="14">計算・出力!$M$56</definedName>
    <definedName name="header_反力RX20" localSheetId="14">計算・出力!$GK$56</definedName>
    <definedName name="header_反力RX21" localSheetId="14">計算・出力!$GU$56</definedName>
    <definedName name="header_反力RX3" localSheetId="14">計算・出力!$W$56</definedName>
    <definedName name="header_反力RX4" localSheetId="14">計算・出力!$AG$56</definedName>
    <definedName name="header_反力RX5" localSheetId="14">計算・出力!$AQ$56</definedName>
    <definedName name="header_反力RX6" localSheetId="14">計算・出力!$BA$56</definedName>
    <definedName name="header_反力RX7" localSheetId="14">計算・出力!$BK$56</definedName>
    <definedName name="header_反力RX8" localSheetId="14">計算・出力!$BU$56</definedName>
    <definedName name="header_反力RX9" localSheetId="14">計算・出力!$CE$56</definedName>
    <definedName name="header_反力RY1" localSheetId="14">計算・出力!$D$56</definedName>
    <definedName name="header_反力RY10" localSheetId="14">計算・出力!$CP$56</definedName>
    <definedName name="header_反力RY11" localSheetId="14">計算・出力!$CZ$56</definedName>
    <definedName name="header_反力RY12" localSheetId="14">計算・出力!$DJ$56</definedName>
    <definedName name="header_反力RY13" localSheetId="14">計算・出力!$DT$56</definedName>
    <definedName name="header_反力RY14" localSheetId="14">計算・出力!$ED$56</definedName>
    <definedName name="header_反力RY15" localSheetId="14">計算・出力!$EN$56</definedName>
    <definedName name="header_反力RY16" localSheetId="14">計算・出力!$EX$56</definedName>
    <definedName name="header_反力RY17" localSheetId="14">計算・出力!$FH$56</definedName>
    <definedName name="header_反力RY18" localSheetId="14">計算・出力!$FR$56</definedName>
    <definedName name="header_反力RY19" localSheetId="14">計算・出力!$GB$56</definedName>
    <definedName name="header_反力RY2" localSheetId="14">計算・出力!$N$56</definedName>
    <definedName name="header_反力RY20" localSheetId="14">計算・出力!$GL$56</definedName>
    <definedName name="header_反力RY21" localSheetId="14">計算・出力!$GV$56</definedName>
    <definedName name="header_反力RY3" localSheetId="14">計算・出力!$X$56</definedName>
    <definedName name="header_反力RY4" localSheetId="14">計算・出力!$AH$56</definedName>
    <definedName name="header_反力RY5" localSheetId="14">計算・出力!$AR$56</definedName>
    <definedName name="header_反力RY6" localSheetId="14">計算・出力!$BB$56</definedName>
    <definedName name="header_反力RY7" localSheetId="14">計算・出力!$BL$56</definedName>
    <definedName name="header_反力RY8" localSheetId="14">計算・出力!$BV$56</definedName>
    <definedName name="header_反力RY9" localSheetId="14">計算・出力!$CF$56</definedName>
    <definedName name="header_反力RZ1" localSheetId="14">計算・出力!$E$56</definedName>
    <definedName name="header_反力RZ10" localSheetId="14">計算・出力!$CQ$56</definedName>
    <definedName name="header_反力RZ11" localSheetId="14">計算・出力!$DA$56</definedName>
    <definedName name="header_反力RZ12" localSheetId="14">計算・出力!$DK$56</definedName>
    <definedName name="header_反力RZ13" localSheetId="14">計算・出力!$DU$56</definedName>
    <definedName name="header_反力RZ14" localSheetId="14">計算・出力!$EE$56</definedName>
    <definedName name="header_反力RZ15" localSheetId="14">計算・出力!$EO$56</definedName>
    <definedName name="header_反力RZ16" localSheetId="14">計算・出力!$EY$56</definedName>
    <definedName name="header_反力RZ17" localSheetId="14">計算・出力!$FI$56</definedName>
    <definedName name="header_反力RZ18" localSheetId="14">計算・出力!$FS$56</definedName>
    <definedName name="header_反力RZ19" localSheetId="14">計算・出力!$GC$56</definedName>
    <definedName name="header_反力RZ2" localSheetId="14">計算・出力!$O$56</definedName>
    <definedName name="header_反力RZ20" localSheetId="14">計算・出力!$GM$56</definedName>
    <definedName name="header_反力RZ21" localSheetId="14">計算・出力!$GW$56</definedName>
    <definedName name="header_反力RZ3" localSheetId="14">計算・出力!$Y$56</definedName>
    <definedName name="header_反力RZ4" localSheetId="14">計算・出力!$AI$56</definedName>
    <definedName name="header_反力RZ5" localSheetId="14">計算・出力!$AS$56</definedName>
    <definedName name="header_反力RZ6" localSheetId="14">計算・出力!$BC$56</definedName>
    <definedName name="header_反力RZ7" localSheetId="14">計算・出力!$BM$56</definedName>
    <definedName name="header_反力RZ8" localSheetId="14">計算・出力!$BW$56</definedName>
    <definedName name="header_反力RZ9" localSheetId="14">計算・出力!$CG$56</definedName>
    <definedName name="header_部材1" localSheetId="9">荷重強度!$B$5:$B$6</definedName>
    <definedName name="header_部材2" localSheetId="9">荷重強度!$C$5:$C$6</definedName>
    <definedName name="header_変位X1" localSheetId="14">計算・出力!$C$34</definedName>
    <definedName name="header_変位X10" localSheetId="14">計算・出力!$CO$34</definedName>
    <definedName name="header_変位X11" localSheetId="14">計算・出力!$CY$34</definedName>
    <definedName name="header_変位X12" localSheetId="14">計算・出力!$DI$34</definedName>
    <definedName name="header_変位X13" localSheetId="14">計算・出力!$DS$34</definedName>
    <definedName name="header_変位X14" localSheetId="14">計算・出力!$EC$34</definedName>
    <definedName name="header_変位X15" localSheetId="14">計算・出力!$EM$34</definedName>
    <definedName name="header_変位X16" localSheetId="14">計算・出力!$EW$34</definedName>
    <definedName name="header_変位X17" localSheetId="14">計算・出力!$FG$34</definedName>
    <definedName name="header_変位X18" localSheetId="14">計算・出力!$FQ$34</definedName>
    <definedName name="header_変位X19" localSheetId="14">計算・出力!$GA$34</definedName>
    <definedName name="header_変位X2" localSheetId="14">計算・出力!$M$34</definedName>
    <definedName name="header_変位X20" localSheetId="14">計算・出力!$GK$34</definedName>
    <definedName name="header_変位X21" localSheetId="14">計算・出力!$GU$34</definedName>
    <definedName name="header_変位X3" localSheetId="14">計算・出力!$W$34</definedName>
    <definedName name="header_変位X4" localSheetId="14">計算・出力!$AG$34</definedName>
    <definedName name="header_変位X5" localSheetId="14">計算・出力!$AQ$34</definedName>
    <definedName name="header_変位X6" localSheetId="14">計算・出力!$BA$34</definedName>
    <definedName name="header_変位X7" localSheetId="14">計算・出力!$BK$34</definedName>
    <definedName name="header_変位X8" localSheetId="14">計算・出力!$BU$34</definedName>
    <definedName name="header_変位X9" localSheetId="14">計算・出力!$CE$34</definedName>
    <definedName name="header_変位Y1" localSheetId="14">計算・出力!$D$34</definedName>
    <definedName name="header_変位Y10" localSheetId="14">計算・出力!$CP$34</definedName>
    <definedName name="header_変位Y11" localSheetId="14">計算・出力!$CZ$34</definedName>
    <definedName name="header_変位Y12" localSheetId="14">計算・出力!$DJ$34</definedName>
    <definedName name="header_変位Y13" localSheetId="14">計算・出力!$DT$34</definedName>
    <definedName name="header_変位Y14" localSheetId="14">計算・出力!$ED$34</definedName>
    <definedName name="header_変位Y15" localSheetId="14">計算・出力!$EN$34</definedName>
    <definedName name="header_変位Y16" localSheetId="14">計算・出力!$EX$34</definedName>
    <definedName name="header_変位Y17" localSheetId="14">計算・出力!$FH$34</definedName>
    <definedName name="header_変位Y18" localSheetId="14">計算・出力!$FR$34</definedName>
    <definedName name="header_変位Y19" localSheetId="14">計算・出力!$GB$34</definedName>
    <definedName name="header_変位Y2" localSheetId="14">計算・出力!$N$34</definedName>
    <definedName name="header_変位Y20" localSheetId="14">計算・出力!$GL$34</definedName>
    <definedName name="header_変位Y21" localSheetId="14">計算・出力!$GV$34</definedName>
    <definedName name="header_変位Y3" localSheetId="14">計算・出力!$X$34</definedName>
    <definedName name="header_変位Y4" localSheetId="14">計算・出力!$AH$34</definedName>
    <definedName name="header_変位Y5" localSheetId="14">計算・出力!$AR$34</definedName>
    <definedName name="header_変位Y6" localSheetId="14">計算・出力!$BB$34</definedName>
    <definedName name="header_変位Y7" localSheetId="14">計算・出力!$BL$34</definedName>
    <definedName name="header_変位Y8" localSheetId="14">計算・出力!$BV$34</definedName>
    <definedName name="header_変位Y9" localSheetId="14">計算・出力!$CF$34</definedName>
    <definedName name="header_変位Z1" localSheetId="14">計算・出力!$E$34</definedName>
    <definedName name="header_変位Z10" localSheetId="14">計算・出力!$CQ$34</definedName>
    <definedName name="header_変位Z11" localSheetId="14">計算・出力!$DA$34</definedName>
    <definedName name="header_変位Z12" localSheetId="14">計算・出力!$DK$34</definedName>
    <definedName name="header_変位Z13" localSheetId="14">計算・出力!$DU$34</definedName>
    <definedName name="header_変位Z14" localSheetId="14">計算・出力!$EE$34</definedName>
    <definedName name="header_変位Z15" localSheetId="14">計算・出力!$EO$34</definedName>
    <definedName name="header_変位Z16" localSheetId="14">計算・出力!$EY$34</definedName>
    <definedName name="header_変位Z17" localSheetId="14">計算・出力!$FI$34</definedName>
    <definedName name="header_変位Z18" localSheetId="14">計算・出力!$FS$34</definedName>
    <definedName name="header_変位Z19" localSheetId="14">計算・出力!$GC$34</definedName>
    <definedName name="header_変位Z2" localSheetId="14">計算・出力!$O$34</definedName>
    <definedName name="header_変位Z20" localSheetId="14">計算・出力!$GM$34</definedName>
    <definedName name="header_変位Z21" localSheetId="14">計算・出力!$GW$34</definedName>
    <definedName name="header_変位Z3" localSheetId="14">計算・出力!$Y$34</definedName>
    <definedName name="header_変位Z4" localSheetId="14">計算・出力!$AI$34</definedName>
    <definedName name="header_変位Z5" localSheetId="14">計算・出力!$AS$34</definedName>
    <definedName name="header_変位Z6" localSheetId="14">計算・出力!$BC$34</definedName>
    <definedName name="header_変位Z7" localSheetId="14">計算・出力!$BM$34</definedName>
    <definedName name="header_変位Z8" localSheetId="14">計算・出力!$BW$34</definedName>
    <definedName name="header_変位Z9" localSheetId="14">計算・出力!$CG$34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10" localSheetId="14">計算・出力!$CO$7</definedName>
    <definedName name="荷重No11" localSheetId="14">計算・出力!$CY$7</definedName>
    <definedName name="荷重No12" localSheetId="14">計算・出力!$DI$7</definedName>
    <definedName name="荷重No13" localSheetId="14">計算・出力!$DS$7</definedName>
    <definedName name="荷重No14" localSheetId="14">計算・出力!$EC$7</definedName>
    <definedName name="荷重No15" localSheetId="14">計算・出力!$EM$7</definedName>
    <definedName name="荷重No16" localSheetId="14">計算・出力!$EW$7</definedName>
    <definedName name="荷重No17" localSheetId="14">計算・出力!$FG$7</definedName>
    <definedName name="荷重No18" localSheetId="14">計算・出力!$FQ$7</definedName>
    <definedName name="荷重No19" localSheetId="14">計算・出力!$GA$7</definedName>
    <definedName name="荷重No2" localSheetId="14">計算・出力!$M$7</definedName>
    <definedName name="荷重No20" localSheetId="14">計算・出力!$GK$7</definedName>
    <definedName name="荷重No21" localSheetId="14">計算・出力!$GU$7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荷重No8" localSheetId="14">計算・出力!$BU$7</definedName>
    <definedName name="荷重No9" localSheetId="14">計算・出力!$CE$7</definedName>
    <definedName name="割増係数_header" localSheetId="8">荷重名称!$A$4:$A$5</definedName>
    <definedName name="割増係数1" localSheetId="14">計算・出力!$B$7</definedName>
    <definedName name="割増係数10" localSheetId="14">計算・出力!$CN$7</definedName>
    <definedName name="割増係数11" localSheetId="14">計算・出力!$CX$7</definedName>
    <definedName name="割増係数12" localSheetId="14">計算・出力!$DH$7</definedName>
    <definedName name="割増係数13" localSheetId="14">計算・出力!$DR$7</definedName>
    <definedName name="割増係数14" localSheetId="14">計算・出力!$EB$7</definedName>
    <definedName name="割増係数15" localSheetId="14">計算・出力!$EL$7</definedName>
    <definedName name="割増係数16" localSheetId="14">計算・出力!$EV$7</definedName>
    <definedName name="割増係数17" localSheetId="14">計算・出力!$FF$7</definedName>
    <definedName name="割増係数18" localSheetId="14">計算・出力!$FP$7</definedName>
    <definedName name="割増係数19" localSheetId="14">計算・出力!$FZ$7</definedName>
    <definedName name="割増係数2" localSheetId="14">計算・出力!$L$7</definedName>
    <definedName name="割増係数20" localSheetId="14">計算・出力!$GJ$7</definedName>
    <definedName name="割増係数21" localSheetId="14">計算・出力!$GT$7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割増係数8" localSheetId="14">計算・出力!$BT$7</definedName>
    <definedName name="割増係数9" localSheetId="14">計算・出力!$CD$7</definedName>
    <definedName name="記号_header" localSheetId="8">荷重名称!$C$4:$C$5</definedName>
    <definedName name="記号1" localSheetId="14">計算・出力!$D$7</definedName>
    <definedName name="記号10" localSheetId="14">計算・出力!$CP$7</definedName>
    <definedName name="記号11" localSheetId="14">計算・出力!$CZ$7</definedName>
    <definedName name="記号12" localSheetId="14">計算・出力!$DJ$7</definedName>
    <definedName name="記号13" localSheetId="14">計算・出力!$DT$7</definedName>
    <definedName name="記号14" localSheetId="14">計算・出力!$ED$7</definedName>
    <definedName name="記号15" localSheetId="14">計算・出力!$EN$7</definedName>
    <definedName name="記号16" localSheetId="14">計算・出力!$EX$7</definedName>
    <definedName name="記号17" localSheetId="14">計算・出力!$FH$7</definedName>
    <definedName name="記号18" localSheetId="14">計算・出力!$FR$7</definedName>
    <definedName name="記号19" localSheetId="14">計算・出力!$GB$7</definedName>
    <definedName name="記号2" localSheetId="14">計算・出力!$N$7</definedName>
    <definedName name="記号20" localSheetId="14">計算・出力!$GL$7</definedName>
    <definedName name="記号21" localSheetId="14">計算・出力!$GV$7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記号8" localSheetId="14">計算・出力!$BV$7</definedName>
    <definedName name="記号9" localSheetId="14">計算・出力!$CF$7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10" localSheetId="14">計算・出力!$CO$9</definedName>
    <definedName name="節点数11" localSheetId="14">計算・出力!$CY$9</definedName>
    <definedName name="節点数12" localSheetId="14">計算・出力!$DI$9</definedName>
    <definedName name="節点数13" localSheetId="14">計算・出力!$DS$9</definedName>
    <definedName name="節点数14" localSheetId="14">計算・出力!$EC$9</definedName>
    <definedName name="節点数15" localSheetId="14">計算・出力!$EM$9</definedName>
    <definedName name="節点数16" localSheetId="14">計算・出力!$EW$9</definedName>
    <definedName name="節点数17" localSheetId="14">計算・出力!$FG$9</definedName>
    <definedName name="節点数18" localSheetId="14">計算・出力!$FQ$9</definedName>
    <definedName name="節点数19" localSheetId="14">計算・出力!$GA$9</definedName>
    <definedName name="節点数2" localSheetId="14">計算・出力!$M$9</definedName>
    <definedName name="節点数20" localSheetId="14">計算・出力!$GK$9</definedName>
    <definedName name="節点数21" localSheetId="14">計算・出力!$GU$9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節点数8" localSheetId="14">計算・出力!$BU$9</definedName>
    <definedName name="節点数9" localSheetId="14">計算・出力!$CE$9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10" localSheetId="14">計算・出力!$CQ$7</definedName>
    <definedName name="名称11" localSheetId="14">計算・出力!$DA$7</definedName>
    <definedName name="名称12" localSheetId="14">計算・出力!$DK$7</definedName>
    <definedName name="名称13" localSheetId="14">計算・出力!$DU$7</definedName>
    <definedName name="名称14" localSheetId="14">計算・出力!$EE$7</definedName>
    <definedName name="名称15" localSheetId="14">計算・出力!$EO$7</definedName>
    <definedName name="名称16" localSheetId="14">計算・出力!$EY$7</definedName>
    <definedName name="名称17" localSheetId="14">計算・出力!$FI$7</definedName>
    <definedName name="名称18" localSheetId="14">計算・出力!$FS$7</definedName>
    <definedName name="名称19" localSheetId="14">計算・出力!$GC$7</definedName>
    <definedName name="名称2" localSheetId="14">計算・出力!$O$7</definedName>
    <definedName name="名称20" localSheetId="14">計算・出力!$GM$7</definedName>
    <definedName name="名称21" localSheetId="14">計算・出力!$GW$7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名称8" localSheetId="14">計算・出力!$BW$7</definedName>
    <definedName name="名称9" localSheetId="14">計算・出力!$CG$7</definedName>
    <definedName name="要素数1" localSheetId="14">計算・出力!$C$77</definedName>
    <definedName name="要素数10" localSheetId="14">計算・出力!$CO$77</definedName>
    <definedName name="要素数11" localSheetId="14">計算・出力!$CY$77</definedName>
    <definedName name="要素数12" localSheetId="14">計算・出力!$DI$77</definedName>
    <definedName name="要素数13" localSheetId="14">計算・出力!$DS$77</definedName>
    <definedName name="要素数14" localSheetId="14">計算・出力!$EC$77</definedName>
    <definedName name="要素数15" localSheetId="14">計算・出力!$EM$77</definedName>
    <definedName name="要素数16" localSheetId="14">計算・出力!$EW$77</definedName>
    <definedName name="要素数17" localSheetId="14">計算・出力!$FG$77</definedName>
    <definedName name="要素数18" localSheetId="14">計算・出力!$FQ$77</definedName>
    <definedName name="要素数19" localSheetId="14">計算・出力!$GA$77</definedName>
    <definedName name="要素数2" localSheetId="14">計算・出力!$M$77</definedName>
    <definedName name="要素数20" localSheetId="14">計算・出力!$GK$77</definedName>
    <definedName name="要素数21" localSheetId="14">計算・出力!$GU$77</definedName>
    <definedName name="要素数3" localSheetId="14">計算・出力!$W$77</definedName>
    <definedName name="要素数4" localSheetId="14">計算・出力!$AG$77</definedName>
    <definedName name="要素数5" localSheetId="14">計算・出力!$AQ$77</definedName>
    <definedName name="要素数6" localSheetId="14">計算・出力!$BA$77</definedName>
    <definedName name="要素数7" localSheetId="14">計算・出力!$BK$77</definedName>
    <definedName name="要素数8" localSheetId="14">計算・出力!$BU$77</definedName>
    <definedName name="要素数9" localSheetId="14">計算・出力!$CE$77</definedName>
  </definedNames>
  <calcPr calcId="152511"/>
</workbook>
</file>

<file path=xl/calcChain.xml><?xml version="1.0" encoding="utf-8"?>
<calcChain xmlns="http://schemas.openxmlformats.org/spreadsheetml/2006/main">
  <c r="F19" i="23" l="1"/>
  <c r="G18" i="23"/>
  <c r="F18" i="23"/>
  <c r="C18" i="23"/>
  <c r="B18" i="23"/>
  <c r="B19" i="23" s="1"/>
  <c r="G17" i="23"/>
  <c r="F17" i="23"/>
  <c r="C17" i="23"/>
  <c r="B17" i="23"/>
  <c r="G16" i="23"/>
  <c r="F16" i="23"/>
  <c r="C16" i="23"/>
  <c r="B16" i="23"/>
  <c r="G15" i="23"/>
  <c r="F15" i="23"/>
  <c r="C15" i="23"/>
  <c r="B15" i="23"/>
  <c r="G12" i="23"/>
  <c r="F12" i="23"/>
  <c r="F13" i="23" s="1"/>
  <c r="C12" i="23"/>
  <c r="B12" i="23"/>
  <c r="B13" i="23" s="1"/>
  <c r="G11" i="23"/>
  <c r="F11" i="23"/>
  <c r="C11" i="23"/>
  <c r="B11" i="23"/>
  <c r="G10" i="23"/>
  <c r="F10" i="23"/>
  <c r="C10" i="23"/>
  <c r="B10" i="23"/>
  <c r="G9" i="23"/>
  <c r="F9" i="23"/>
  <c r="C9" i="23"/>
  <c r="B9" i="23"/>
  <c r="H8" i="21"/>
  <c r="E8" i="21"/>
  <c r="I8" i="19"/>
  <c r="I9" i="19" s="1"/>
  <c r="C8" i="19"/>
  <c r="C9" i="19" s="1"/>
  <c r="B13" i="18"/>
  <c r="B15" i="18" s="1"/>
  <c r="B17" i="18" s="1"/>
  <c r="B19" i="18" s="1"/>
  <c r="B21" i="18" s="1"/>
  <c r="B23" i="18" s="1"/>
  <c r="C12" i="18"/>
  <c r="C14" i="18" s="1"/>
  <c r="B12" i="18"/>
  <c r="B14" i="18" s="1"/>
  <c r="B16" i="18" s="1"/>
  <c r="B18" i="18" s="1"/>
  <c r="B20" i="18" s="1"/>
  <c r="B22" i="18" s="1"/>
  <c r="C11" i="18"/>
  <c r="B11" i="18"/>
  <c r="C9" i="18"/>
  <c r="C8" i="18"/>
  <c r="C7" i="18"/>
  <c r="C6" i="18"/>
  <c r="C15" i="18" l="1"/>
  <c r="C16" i="18"/>
  <c r="C13" i="18"/>
  <c r="C18" i="18" l="1"/>
  <c r="C17" i="18"/>
  <c r="C19" i="18" l="1"/>
  <c r="C22" i="18"/>
  <c r="C23" i="18" l="1"/>
  <c r="C21" i="18" s="1"/>
  <c r="C20" i="18"/>
</calcChain>
</file>

<file path=xl/sharedStrings.xml><?xml version="1.0" encoding="utf-8"?>
<sst xmlns="http://schemas.openxmlformats.org/spreadsheetml/2006/main" count="2767" uniqueCount="248">
  <si>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</si>
  <si>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</si>
  <si>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</si>
  <si>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</si>
  <si>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</si>
  <si>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</si>
  <si>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</si>
  <si>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</si>
  <si>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</si>
  <si>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</si>
  <si>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</si>
  <si>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</si>
  <si>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</si>
  <si>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</si>
  <si>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</si>
  <si>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</si>
  <si>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</si>
  <si>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</si>
  <si>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</si>
  <si>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</si>
  <si>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</si>
  <si>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</si>
  <si>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</si>
  <si>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</si>
  <si>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</si>
  <si>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</si>
  <si>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</si>
  <si>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</si>
  <si>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</si>
  <si>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</si>
  <si>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</si>
  <si>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</si>
  <si>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</si>
  <si>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</si>
  <si>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</si>
  <si>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</si>
  <si>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</si>
  <si>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</si>
  <si>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</si>
  <si>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</si>
  <si>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</si>
  <si>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</si>
  <si>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</si>
  <si>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</si>
  <si>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</si>
  <si>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</si>
  <si>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</si>
  <si>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</si>
  <si>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</si>
  <si>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</si>
  <si>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</si>
  <si>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</si>
  <si>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</si>
  <si>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</si>
  <si>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</si>
  <si>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</si>
  <si>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</si>
  <si>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</si>
  <si>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</si>
  <si>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</si>
  <si>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</si>
  <si>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</si>
  <si>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</si>
  <si>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</si>
  <si>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</si>
  <si>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</si>
  <si>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</si>
  <si>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</si>
  <si>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</si>
  <si>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</si>
  <si>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</si>
  <si>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</si>
  <si>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</si>
  <si>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</si>
  <si>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</si>
  <si>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</si>
  <si>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</si>
  <si>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</si>
  <si>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</si>
  <si>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</si>
  <si>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</si>
  <si>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</si>
  <si>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</si>
  <si>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</si>
  <si>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</si>
  <si>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</si>
  <si>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</si>
  <si>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</si>
  <si>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</si>
  <si>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</si>
  <si>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</si>
  <si>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</si>
  <si>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</si>
  <si>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</si>
  <si>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</si>
  <si>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</si>
  <si>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</si>
  <si>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</si>
  <si>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</si>
  <si>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</si>
  <si>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</si>
  <si>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</si>
  <si>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</si>
  <si>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</si>
  <si>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</si>
  <si>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</si>
  <si>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</si>
  <si>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</si>
  <si>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</si>
  <si>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</si>
  <si>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</si>
  <si>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</si>
  <si>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</si>
  <si>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</si>
  <si>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</si>
  <si>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</si>
  <si>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</si>
  <si>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</si>
  <si>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</si>
  <si>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</si>
  <si>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</si>
  <si>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</si>
  <si>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</si>
  <si>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</si>
  <si>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</si>
  <si>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</si>
  <si>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</si>
  <si>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</si>
  <si>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</si>
  <si>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</si>
  <si>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</si>
  <si>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</si>
  <si>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</si>
  <si>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</si>
  <si>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</si>
  <si>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</si>
  <si>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</si>
  <si>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</si>
  <si>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</si>
  <si>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</si>
  <si>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</si>
  <si>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</si>
  <si>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</si>
  <si>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</si>
  <si>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</si>
  <si>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D1</t>
  </si>
  <si>
    <t>D2</t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</si>
  <si>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</si>
  <si>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</si>
  <si>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</si>
  <si>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</si>
  <si>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</si>
  <si>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</si>
  <si>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</si>
  <si>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</si>
  <si>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</si>
  <si>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</si>
  <si>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</si>
  <si>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</si>
  <si>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</si>
  <si>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</si>
  <si>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</si>
  <si>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</si>
  <si>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</si>
  <si>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</si>
  <si>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</si>
  <si>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</si>
  <si>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</si>
  <si>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</si>
  <si>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</si>
  <si>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固定死荷重</t>
    <rPh sb="0" eb="2">
      <t>コテイ</t>
    </rPh>
    <rPh sb="2" eb="5">
      <t>シカジュウ</t>
    </rPh>
    <phoneticPr fontId="2"/>
  </si>
  <si>
    <t>付加死荷重</t>
    <rPh sb="0" eb="2">
      <t>フカ</t>
    </rPh>
    <rPh sb="2" eb="5">
      <t>シカジュウ</t>
    </rPh>
    <phoneticPr fontId="2"/>
  </si>
  <si>
    <t>WpM</t>
  </si>
  <si>
    <t>浮力[平水位]</t>
    <rPh sb="0" eb="2">
      <t>フリョク</t>
    </rPh>
    <rPh sb="3" eb="4">
      <t>ヘイ</t>
    </rPh>
    <rPh sb="4" eb="6">
      <t>スイイ</t>
    </rPh>
    <phoneticPr fontId="2"/>
  </si>
  <si>
    <t>WpH</t>
  </si>
  <si>
    <t>浮力[高水位]</t>
    <rPh sb="0" eb="2">
      <t>フリョク</t>
    </rPh>
    <rPh sb="3" eb="4">
      <t>タカ</t>
    </rPh>
    <rPh sb="4" eb="6">
      <t>スイイ</t>
    </rPh>
    <phoneticPr fontId="2"/>
  </si>
  <si>
    <t>L</t>
  </si>
  <si>
    <t>列車荷重</t>
    <rPh sb="0" eb="2">
      <t>レッシャ</t>
    </rPh>
    <rPh sb="2" eb="4">
      <t>カジュウ</t>
    </rPh>
    <phoneticPr fontId="2"/>
  </si>
  <si>
    <t>L+I(1)</t>
  </si>
  <si>
    <t>列車荷重＋衝撃[使用性]</t>
    <rPh sb="0" eb="2">
      <t>レッシャ</t>
    </rPh>
    <rPh sb="2" eb="4">
      <t>カジュウ</t>
    </rPh>
    <rPh sb="5" eb="7">
      <t>ショウゲキ</t>
    </rPh>
    <rPh sb="8" eb="10">
      <t>シヨウ</t>
    </rPh>
    <rPh sb="10" eb="11">
      <t>セイ</t>
    </rPh>
    <phoneticPr fontId="2"/>
  </si>
  <si>
    <t>L+I(2)</t>
  </si>
  <si>
    <t>列車荷重＋衝撃[低水位]</t>
    <rPh sb="0" eb="2">
      <t>レッシャ</t>
    </rPh>
    <rPh sb="2" eb="4">
      <t>カジュウ</t>
    </rPh>
    <rPh sb="5" eb="7">
      <t>ショウゲキ</t>
    </rPh>
    <rPh sb="8" eb="11">
      <t>テイスイイ</t>
    </rPh>
    <phoneticPr fontId="2"/>
  </si>
  <si>
    <t>L+I(3)</t>
  </si>
  <si>
    <t>列車荷重＋衝撃[平水位]</t>
    <rPh sb="0" eb="2">
      <t>レッシャ</t>
    </rPh>
    <rPh sb="2" eb="4">
      <t>カジュウ</t>
    </rPh>
    <rPh sb="5" eb="7">
      <t>ショウゲキ</t>
    </rPh>
    <rPh sb="8" eb="9">
      <t>ヘイ</t>
    </rPh>
    <rPh sb="9" eb="11">
      <t>スイイ</t>
    </rPh>
    <phoneticPr fontId="2"/>
  </si>
  <si>
    <t>L+I(4)</t>
  </si>
  <si>
    <t>列車荷重＋衝撃[高水位]</t>
    <rPh sb="0" eb="2">
      <t>レッシャ</t>
    </rPh>
    <rPh sb="2" eb="4">
      <t>カジュウ</t>
    </rPh>
    <rPh sb="5" eb="7">
      <t>ショウゲキ</t>
    </rPh>
    <rPh sb="8" eb="11">
      <t>コウスイイ</t>
    </rPh>
    <phoneticPr fontId="2"/>
  </si>
  <si>
    <t>0.8 LR</t>
  </si>
  <si>
    <t>ロングレール縦荷重 [使用性]</t>
  </si>
  <si>
    <t>1.0 LR</t>
  </si>
  <si>
    <t>1.0 B</t>
  </si>
  <si>
    <t>制動荷重 [終局限界]</t>
  </si>
  <si>
    <t>1.1 B</t>
  </si>
  <si>
    <t>LR+B(1)</t>
  </si>
  <si>
    <t>ﾛﾝｸﾞﾚｰﾙ縦荷重＋制動荷重</t>
  </si>
  <si>
    <t>LR+B(2)</t>
  </si>
  <si>
    <t>LR+B(3)</t>
  </si>
  <si>
    <t>LR+B(4)</t>
  </si>
  <si>
    <t>ﾛﾝｸﾞﾚｰﾙ縦荷重＋制動荷重[復旧性]</t>
    <rPh sb="16" eb="19">
      <t>フッキュウセイ</t>
    </rPh>
    <phoneticPr fontId="2"/>
  </si>
  <si>
    <t>ED(1)</t>
  </si>
  <si>
    <t>永久土圧[低水位]</t>
    <rPh sb="0" eb="2">
      <t>エイキュウ</t>
    </rPh>
    <rPh sb="2" eb="4">
      <t>ドアツ</t>
    </rPh>
    <rPh sb="5" eb="6">
      <t>テイ</t>
    </rPh>
    <rPh sb="6" eb="8">
      <t>スイイ</t>
    </rPh>
    <phoneticPr fontId="2"/>
  </si>
  <si>
    <t>ED(2)</t>
  </si>
  <si>
    <t>永久土圧[平水位]</t>
    <rPh sb="0" eb="2">
      <t>エイキュウ</t>
    </rPh>
    <rPh sb="2" eb="4">
      <t>ドアツ</t>
    </rPh>
    <rPh sb="5" eb="6">
      <t>ヘイ</t>
    </rPh>
    <rPh sb="6" eb="8">
      <t>スイイ</t>
    </rPh>
    <phoneticPr fontId="2"/>
  </si>
  <si>
    <t>ED(3)</t>
  </si>
  <si>
    <t>永久土圧[高水位]</t>
    <rPh sb="0" eb="2">
      <t>エイキュウ</t>
    </rPh>
    <rPh sb="2" eb="4">
      <t>ドアツ</t>
    </rPh>
    <rPh sb="5" eb="8">
      <t>コウスイイ</t>
    </rPh>
    <phoneticPr fontId="2"/>
  </si>
  <si>
    <t>EL</t>
  </si>
  <si>
    <t>変動荷重による土圧</t>
    <rPh sb="0" eb="2">
      <t>ヘンドウ</t>
    </rPh>
    <rPh sb="2" eb="4">
      <t>カジュウ</t>
    </rPh>
    <rPh sb="7" eb="9">
      <t>ドアツ</t>
    </rPh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</si>
  <si>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</si>
  <si>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</si>
  <si>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</si>
  <si>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</si>
  <si>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</si>
  <si>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</si>
  <si>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Comb
No</t>
    <phoneticPr fontId="2"/>
  </si>
  <si>
    <t>PickUpNo</t>
    <phoneticPr fontId="71"/>
  </si>
  <si>
    <t>固定死荷重</t>
  </si>
  <si>
    <t>付加死荷重</t>
  </si>
  <si>
    <t>浮力[平水位]</t>
  </si>
  <si>
    <t>浮力[高水位]</t>
  </si>
  <si>
    <t>列車荷重</t>
  </si>
  <si>
    <t>列車荷重＋衝撃[使用性]</t>
  </si>
  <si>
    <t>列車荷重＋衝撃[低水位]</t>
  </si>
  <si>
    <t>列車荷重＋衝撃[平水位]</t>
  </si>
  <si>
    <t>列車荷重＋衝撃[高水位]</t>
  </si>
  <si>
    <t>ﾛﾝｸﾞﾚｰﾙ縦荷重＋制動荷重[復旧性]</t>
  </si>
  <si>
    <t>永久土圧[低水位]</t>
  </si>
  <si>
    <t>永久土圧[平水位]</t>
  </si>
  <si>
    <t>永久土圧[高水位]</t>
  </si>
  <si>
    <t>変動荷重による土圧</t>
  </si>
  <si>
    <t>DEFINEケース</t>
    <phoneticPr fontId="71"/>
  </si>
  <si>
    <t>E:\Documents\Visual Studio 2017\Projects\username</t>
    <phoneticPr fontId="2"/>
  </si>
  <si>
    <t>E:\Documents\Visual Studio 2017\Projects\password</t>
    <phoneticPr fontId="2"/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</si>
  <si>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</si>
  <si>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</si>
  <si>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</si>
  <si>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</si>
  <si>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</si>
  <si>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</si>
  <si>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</si>
  <si>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</si>
  <si>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</si>
  <si>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</si>
  <si>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</si>
  <si>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</si>
  <si>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M</t>
  </si>
  <si>
    <t>ITAN</t>
  </si>
  <si>
    <t>JTAN</t>
  </si>
  <si>
    <t>S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</si>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</sst>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08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0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183" fontId="43" fillId="0" borderId="14" xfId="374" applyNumberFormat="1" applyFont="1" applyFill="1" applyBorder="1" applyProtection="1">
      <alignment vertical="center"/>
      <protection locked="0"/>
    </xf>
    <xf numFmtId="183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Border="1" applyAlignment="1">
      <alignment horizontal="center" vertical="center" shrinkToFit="1"/>
    </xf>
    <xf numFmtId="2" fontId="53" fillId="0" borderId="14" xfId="0" applyNumberFormat="1" applyFont="1" applyFill="1" applyBorder="1" applyAlignment="1">
      <alignment horizontal="center" vertical="center"/>
    </xf>
    <xf numFmtId="2" fontId="53" fillId="0" borderId="14" xfId="0" applyNumberFormat="1" applyFont="1" applyBorder="1" applyAlignment="1">
      <alignment horizontal="center" vertical="center"/>
    </xf>
    <xf numFmtId="2" fontId="53" fillId="29" borderId="14" xfId="0" applyNumberFormat="1" applyFont="1" applyFill="1" applyBorder="1" applyAlignment="1">
      <alignment horizontal="center" vertical="center"/>
    </xf>
    <xf numFmtId="184" fontId="53" fillId="29" borderId="14" xfId="0" applyNumberFormat="1" applyFont="1" applyFill="1" applyBorder="1" applyAlignment="1">
      <alignment horizontal="right" vertical="center"/>
    </xf>
    <xf numFmtId="2" fontId="53" fillId="29" borderId="14" xfId="0" applyNumberFormat="1" applyFont="1" applyFill="1" applyBorder="1" applyAlignment="1">
      <alignment horizontal="center" vertical="center" shrinkToFit="1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217488</xdr:colOff>
      <xdr:row>8</xdr:row>
      <xdr:rowOff>101600</xdr:rowOff>
    </xdr:from>
    <xdr:to>
      <xdr:col>23</xdr:col>
      <xdr:colOff>49213</xdr:colOff>
      <xdr:row>8</xdr:row>
      <xdr:rowOff>152400</xdr:rowOff>
    </xdr:to>
    <xdr:sp macro="" textlink="">
      <xdr:nvSpPr>
        <xdr:cNvPr id="26" name="円/楕円 25"/>
        <xdr:cNvSpPr/>
      </xdr:nvSpPr>
      <xdr:spPr bwMode="auto">
        <a:xfrm>
          <a:off x="6827838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9</xdr:row>
      <xdr:rowOff>98425</xdr:rowOff>
    </xdr:from>
    <xdr:to>
      <xdr:col>20</xdr:col>
      <xdr:colOff>173038</xdr:colOff>
      <xdr:row>9</xdr:row>
      <xdr:rowOff>149225</xdr:rowOff>
    </xdr:to>
    <xdr:sp macro="" textlink="">
      <xdr:nvSpPr>
        <xdr:cNvPr id="27" name="円/楕円 26"/>
        <xdr:cNvSpPr/>
      </xdr:nvSpPr>
      <xdr:spPr bwMode="auto">
        <a:xfrm>
          <a:off x="62944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217488</xdr:colOff>
      <xdr:row>9</xdr:row>
      <xdr:rowOff>98425</xdr:rowOff>
    </xdr:from>
    <xdr:to>
      <xdr:col>23</xdr:col>
      <xdr:colOff>49213</xdr:colOff>
      <xdr:row>9</xdr:row>
      <xdr:rowOff>149225</xdr:rowOff>
    </xdr:to>
    <xdr:sp macro="" textlink="">
      <xdr:nvSpPr>
        <xdr:cNvPr id="28" name="円/楕円 27"/>
        <xdr:cNvSpPr/>
      </xdr:nvSpPr>
      <xdr:spPr bwMode="auto">
        <a:xfrm>
          <a:off x="68278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9</xdr:row>
      <xdr:rowOff>98425</xdr:rowOff>
    </xdr:from>
    <xdr:to>
      <xdr:col>24</xdr:col>
      <xdr:colOff>96838</xdr:colOff>
      <xdr:row>9</xdr:row>
      <xdr:rowOff>149225</xdr:rowOff>
    </xdr:to>
    <xdr:sp macro="" textlink="">
      <xdr:nvSpPr>
        <xdr:cNvPr id="29" name="円/楕円 28"/>
        <xdr:cNvSpPr/>
      </xdr:nvSpPr>
      <xdr:spPr bwMode="auto">
        <a:xfrm>
          <a:off x="70945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10</xdr:row>
      <xdr:rowOff>95250</xdr:rowOff>
    </xdr:from>
    <xdr:to>
      <xdr:col>20</xdr:col>
      <xdr:colOff>173038</xdr:colOff>
      <xdr:row>10</xdr:row>
      <xdr:rowOff>146050</xdr:rowOff>
    </xdr:to>
    <xdr:sp macro="" textlink="">
      <xdr:nvSpPr>
        <xdr:cNvPr id="30" name="円/楕円 29"/>
        <xdr:cNvSpPr/>
      </xdr:nvSpPr>
      <xdr:spPr bwMode="auto">
        <a:xfrm>
          <a:off x="6294438" y="19050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10</xdr:row>
      <xdr:rowOff>95250</xdr:rowOff>
    </xdr:from>
    <xdr:to>
      <xdr:col>24</xdr:col>
      <xdr:colOff>96838</xdr:colOff>
      <xdr:row>10</xdr:row>
      <xdr:rowOff>146050</xdr:rowOff>
    </xdr:to>
    <xdr:sp macro="" textlink="">
      <xdr:nvSpPr>
        <xdr:cNvPr id="31" name="円/楕円 30"/>
        <xdr:cNvSpPr/>
      </xdr:nvSpPr>
      <xdr:spPr bwMode="auto">
        <a:xfrm>
          <a:off x="7094538" y="19050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12</xdr:row>
      <xdr:rowOff>131572</xdr:rowOff>
    </xdr:from>
    <xdr:to>
      <xdr:col>20</xdr:col>
      <xdr:colOff>173038</xdr:colOff>
      <xdr:row>13</xdr:row>
      <xdr:rowOff>1397</xdr:rowOff>
    </xdr:to>
    <xdr:sp macro="" textlink="">
      <xdr:nvSpPr>
        <xdr:cNvPr id="67680" name="円/楕円 67679"/>
        <xdr:cNvSpPr/>
      </xdr:nvSpPr>
      <xdr:spPr bwMode="auto">
        <a:xfrm>
          <a:off x="6294438" y="23032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12</xdr:row>
      <xdr:rowOff>131572</xdr:rowOff>
    </xdr:from>
    <xdr:to>
      <xdr:col>24</xdr:col>
      <xdr:colOff>96838</xdr:colOff>
      <xdr:row>13</xdr:row>
      <xdr:rowOff>1397</xdr:rowOff>
    </xdr:to>
    <xdr:sp macro="" textlink="">
      <xdr:nvSpPr>
        <xdr:cNvPr id="67681" name="円/楕円 67680"/>
        <xdr:cNvSpPr/>
      </xdr:nvSpPr>
      <xdr:spPr bwMode="auto">
        <a:xfrm>
          <a:off x="7094538" y="23032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16</xdr:row>
      <xdr:rowOff>47752</xdr:rowOff>
    </xdr:from>
    <xdr:to>
      <xdr:col>20</xdr:col>
      <xdr:colOff>173038</xdr:colOff>
      <xdr:row>16</xdr:row>
      <xdr:rowOff>98552</xdr:rowOff>
    </xdr:to>
    <xdr:sp macro="" textlink="">
      <xdr:nvSpPr>
        <xdr:cNvPr id="67682" name="円/楕円 67681"/>
        <xdr:cNvSpPr/>
      </xdr:nvSpPr>
      <xdr:spPr bwMode="auto">
        <a:xfrm>
          <a:off x="6294438" y="29433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16</xdr:row>
      <xdr:rowOff>47752</xdr:rowOff>
    </xdr:from>
    <xdr:to>
      <xdr:col>24</xdr:col>
      <xdr:colOff>96838</xdr:colOff>
      <xdr:row>16</xdr:row>
      <xdr:rowOff>98552</xdr:rowOff>
    </xdr:to>
    <xdr:sp macro="" textlink="">
      <xdr:nvSpPr>
        <xdr:cNvPr id="67683" name="円/楕円 67682"/>
        <xdr:cNvSpPr/>
      </xdr:nvSpPr>
      <xdr:spPr bwMode="auto">
        <a:xfrm>
          <a:off x="7094538" y="29433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18</xdr:row>
      <xdr:rowOff>165862</xdr:rowOff>
    </xdr:from>
    <xdr:to>
      <xdr:col>20</xdr:col>
      <xdr:colOff>173038</xdr:colOff>
      <xdr:row>19</xdr:row>
      <xdr:rowOff>35687</xdr:rowOff>
    </xdr:to>
    <xdr:sp macro="" textlink="">
      <xdr:nvSpPr>
        <xdr:cNvPr id="67684" name="円/楕円 67683"/>
        <xdr:cNvSpPr/>
      </xdr:nvSpPr>
      <xdr:spPr bwMode="auto">
        <a:xfrm>
          <a:off x="6294438" y="342341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18</xdr:row>
      <xdr:rowOff>165862</xdr:rowOff>
    </xdr:from>
    <xdr:to>
      <xdr:col>24</xdr:col>
      <xdr:colOff>96838</xdr:colOff>
      <xdr:row>19</xdr:row>
      <xdr:rowOff>35687</xdr:rowOff>
    </xdr:to>
    <xdr:sp macro="" textlink="">
      <xdr:nvSpPr>
        <xdr:cNvPr id="67685" name="円/楕円 67684"/>
        <xdr:cNvSpPr/>
      </xdr:nvSpPr>
      <xdr:spPr bwMode="auto">
        <a:xfrm>
          <a:off x="7094538" y="342341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21</xdr:row>
      <xdr:rowOff>120777</xdr:rowOff>
    </xdr:from>
    <xdr:to>
      <xdr:col>20</xdr:col>
      <xdr:colOff>173038</xdr:colOff>
      <xdr:row>21</xdr:row>
      <xdr:rowOff>171577</xdr:rowOff>
    </xdr:to>
    <xdr:sp macro="" textlink="">
      <xdr:nvSpPr>
        <xdr:cNvPr id="67686" name="円/楕円 67685"/>
        <xdr:cNvSpPr/>
      </xdr:nvSpPr>
      <xdr:spPr bwMode="auto">
        <a:xfrm>
          <a:off x="6294438" y="39212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21</xdr:row>
      <xdr:rowOff>120777</xdr:rowOff>
    </xdr:from>
    <xdr:to>
      <xdr:col>24</xdr:col>
      <xdr:colOff>96838</xdr:colOff>
      <xdr:row>21</xdr:row>
      <xdr:rowOff>171577</xdr:rowOff>
    </xdr:to>
    <xdr:sp macro="" textlink="">
      <xdr:nvSpPr>
        <xdr:cNvPr id="67687" name="円/楕円 67686"/>
        <xdr:cNvSpPr/>
      </xdr:nvSpPr>
      <xdr:spPr bwMode="auto">
        <a:xfrm>
          <a:off x="7094538" y="39212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29</xdr:row>
      <xdr:rowOff>123825</xdr:rowOff>
    </xdr:from>
    <xdr:to>
      <xdr:col>20</xdr:col>
      <xdr:colOff>173038</xdr:colOff>
      <xdr:row>29</xdr:row>
      <xdr:rowOff>174625</xdr:rowOff>
    </xdr:to>
    <xdr:sp macro="" textlink="">
      <xdr:nvSpPr>
        <xdr:cNvPr id="67688" name="円/楕円 67687"/>
        <xdr:cNvSpPr/>
      </xdr:nvSpPr>
      <xdr:spPr bwMode="auto">
        <a:xfrm>
          <a:off x="6294438" y="5372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29</xdr:row>
      <xdr:rowOff>123825</xdr:rowOff>
    </xdr:from>
    <xdr:to>
      <xdr:col>24</xdr:col>
      <xdr:colOff>96838</xdr:colOff>
      <xdr:row>29</xdr:row>
      <xdr:rowOff>174625</xdr:rowOff>
    </xdr:to>
    <xdr:sp macro="" textlink="">
      <xdr:nvSpPr>
        <xdr:cNvPr id="67689" name="円/楕円 67688"/>
        <xdr:cNvSpPr/>
      </xdr:nvSpPr>
      <xdr:spPr bwMode="auto">
        <a:xfrm>
          <a:off x="7094538" y="5372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31</xdr:row>
      <xdr:rowOff>28575</xdr:rowOff>
    </xdr:from>
    <xdr:to>
      <xdr:col>20</xdr:col>
      <xdr:colOff>173038</xdr:colOff>
      <xdr:row>31</xdr:row>
      <xdr:rowOff>79375</xdr:rowOff>
    </xdr:to>
    <xdr:sp macro="" textlink="">
      <xdr:nvSpPr>
        <xdr:cNvPr id="67690" name="円/楕円 67689"/>
        <xdr:cNvSpPr/>
      </xdr:nvSpPr>
      <xdr:spPr bwMode="auto">
        <a:xfrm>
          <a:off x="6294438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31</xdr:row>
      <xdr:rowOff>28575</xdr:rowOff>
    </xdr:from>
    <xdr:to>
      <xdr:col>24</xdr:col>
      <xdr:colOff>96838</xdr:colOff>
      <xdr:row>31</xdr:row>
      <xdr:rowOff>79375</xdr:rowOff>
    </xdr:to>
    <xdr:sp macro="" textlink="">
      <xdr:nvSpPr>
        <xdr:cNvPr id="67691" name="円/楕円 67690"/>
        <xdr:cNvSpPr/>
      </xdr:nvSpPr>
      <xdr:spPr bwMode="auto">
        <a:xfrm>
          <a:off x="7094538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23813</xdr:colOff>
      <xdr:row>8</xdr:row>
      <xdr:rowOff>127000</xdr:rowOff>
    </xdr:from>
    <xdr:to>
      <xdr:col>23</xdr:col>
      <xdr:colOff>23813</xdr:colOff>
      <xdr:row>9</xdr:row>
      <xdr:rowOff>123825</xdr:rowOff>
    </xdr:to>
    <xdr:cxnSp macro="">
      <xdr:nvCxnSpPr>
        <xdr:cNvPr id="67692" name="直線コネクタ 67691"/>
        <xdr:cNvCxnSpPr/>
      </xdr:nvCxnSpPr>
      <xdr:spPr bwMode="auto">
        <a:xfrm>
          <a:off x="6853238" y="15748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9</xdr:row>
      <xdr:rowOff>123825</xdr:rowOff>
    </xdr:from>
    <xdr:to>
      <xdr:col>23</xdr:col>
      <xdr:colOff>23813</xdr:colOff>
      <xdr:row>9</xdr:row>
      <xdr:rowOff>123825</xdr:rowOff>
    </xdr:to>
    <xdr:cxnSp macro="">
      <xdr:nvCxnSpPr>
        <xdr:cNvPr id="67693" name="直線コネクタ 67692"/>
        <xdr:cNvCxnSpPr/>
      </xdr:nvCxnSpPr>
      <xdr:spPr bwMode="auto">
        <a:xfrm>
          <a:off x="6319838" y="1752600"/>
          <a:ext cx="5334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23813</xdr:colOff>
      <xdr:row>9</xdr:row>
      <xdr:rowOff>123825</xdr:rowOff>
    </xdr:from>
    <xdr:to>
      <xdr:col>24</xdr:col>
      <xdr:colOff>71438</xdr:colOff>
      <xdr:row>9</xdr:row>
      <xdr:rowOff>123825</xdr:rowOff>
    </xdr:to>
    <xdr:cxnSp macro="">
      <xdr:nvCxnSpPr>
        <xdr:cNvPr id="67694" name="直線コネクタ 67693"/>
        <xdr:cNvCxnSpPr/>
      </xdr:nvCxnSpPr>
      <xdr:spPr bwMode="auto">
        <a:xfrm>
          <a:off x="6853238" y="175260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9</xdr:row>
      <xdr:rowOff>123825</xdr:rowOff>
    </xdr:from>
    <xdr:to>
      <xdr:col>20</xdr:col>
      <xdr:colOff>147638</xdr:colOff>
      <xdr:row>10</xdr:row>
      <xdr:rowOff>120650</xdr:rowOff>
    </xdr:to>
    <xdr:cxnSp macro="">
      <xdr:nvCxnSpPr>
        <xdr:cNvPr id="67695" name="直線コネクタ 67694"/>
        <xdr:cNvCxnSpPr/>
      </xdr:nvCxnSpPr>
      <xdr:spPr bwMode="auto">
        <a:xfrm>
          <a:off x="6319838" y="17526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10</xdr:row>
      <xdr:rowOff>120650</xdr:rowOff>
    </xdr:from>
    <xdr:to>
      <xdr:col>20</xdr:col>
      <xdr:colOff>147638</xdr:colOff>
      <xdr:row>12</xdr:row>
      <xdr:rowOff>156972</xdr:rowOff>
    </xdr:to>
    <xdr:cxnSp macro="">
      <xdr:nvCxnSpPr>
        <xdr:cNvPr id="67696" name="直線コネクタ 67695"/>
        <xdr:cNvCxnSpPr/>
      </xdr:nvCxnSpPr>
      <xdr:spPr bwMode="auto">
        <a:xfrm>
          <a:off x="6319838" y="1930400"/>
          <a:ext cx="0" cy="3982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12</xdr:row>
      <xdr:rowOff>156972</xdr:rowOff>
    </xdr:from>
    <xdr:to>
      <xdr:col>20</xdr:col>
      <xdr:colOff>147638</xdr:colOff>
      <xdr:row>16</xdr:row>
      <xdr:rowOff>73152</xdr:rowOff>
    </xdr:to>
    <xdr:cxnSp macro="">
      <xdr:nvCxnSpPr>
        <xdr:cNvPr id="67697" name="直線コネクタ 67696"/>
        <xdr:cNvCxnSpPr/>
      </xdr:nvCxnSpPr>
      <xdr:spPr bwMode="auto">
        <a:xfrm>
          <a:off x="6319838" y="2328672"/>
          <a:ext cx="0" cy="6400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16</xdr:row>
      <xdr:rowOff>73152</xdr:rowOff>
    </xdr:from>
    <xdr:to>
      <xdr:col>20</xdr:col>
      <xdr:colOff>147638</xdr:colOff>
      <xdr:row>19</xdr:row>
      <xdr:rowOff>10287</xdr:rowOff>
    </xdr:to>
    <xdr:cxnSp macro="">
      <xdr:nvCxnSpPr>
        <xdr:cNvPr id="67698" name="直線コネクタ 67697"/>
        <xdr:cNvCxnSpPr/>
      </xdr:nvCxnSpPr>
      <xdr:spPr bwMode="auto">
        <a:xfrm>
          <a:off x="6319838" y="2968752"/>
          <a:ext cx="0" cy="4800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19</xdr:row>
      <xdr:rowOff>10287</xdr:rowOff>
    </xdr:from>
    <xdr:to>
      <xdr:col>20</xdr:col>
      <xdr:colOff>147638</xdr:colOff>
      <xdr:row>21</xdr:row>
      <xdr:rowOff>146177</xdr:rowOff>
    </xdr:to>
    <xdr:cxnSp macro="">
      <xdr:nvCxnSpPr>
        <xdr:cNvPr id="67699" name="直線コネクタ 67698"/>
        <xdr:cNvCxnSpPr/>
      </xdr:nvCxnSpPr>
      <xdr:spPr bwMode="auto">
        <a:xfrm>
          <a:off x="6319838" y="3448812"/>
          <a:ext cx="0" cy="4978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21</xdr:row>
      <xdr:rowOff>146177</xdr:rowOff>
    </xdr:from>
    <xdr:to>
      <xdr:col>20</xdr:col>
      <xdr:colOff>147638</xdr:colOff>
      <xdr:row>29</xdr:row>
      <xdr:rowOff>149225</xdr:rowOff>
    </xdr:to>
    <xdr:cxnSp macro="">
      <xdr:nvCxnSpPr>
        <xdr:cNvPr id="67700" name="直線コネクタ 67699"/>
        <xdr:cNvCxnSpPr/>
      </xdr:nvCxnSpPr>
      <xdr:spPr bwMode="auto">
        <a:xfrm>
          <a:off x="6319838" y="3946652"/>
          <a:ext cx="0" cy="14508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29</xdr:row>
      <xdr:rowOff>149225</xdr:rowOff>
    </xdr:from>
    <xdr:to>
      <xdr:col>20</xdr:col>
      <xdr:colOff>147638</xdr:colOff>
      <xdr:row>31</xdr:row>
      <xdr:rowOff>53975</xdr:rowOff>
    </xdr:to>
    <xdr:cxnSp macro="">
      <xdr:nvCxnSpPr>
        <xdr:cNvPr id="67701" name="直線コネクタ 67700"/>
        <xdr:cNvCxnSpPr/>
      </xdr:nvCxnSpPr>
      <xdr:spPr bwMode="auto">
        <a:xfrm>
          <a:off x="6319838" y="5397500"/>
          <a:ext cx="0" cy="2667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9</xdr:row>
      <xdr:rowOff>123825</xdr:rowOff>
    </xdr:from>
    <xdr:to>
      <xdr:col>24</xdr:col>
      <xdr:colOff>71438</xdr:colOff>
      <xdr:row>10</xdr:row>
      <xdr:rowOff>120650</xdr:rowOff>
    </xdr:to>
    <xdr:cxnSp macro="">
      <xdr:nvCxnSpPr>
        <xdr:cNvPr id="67704" name="直線コネクタ 67703"/>
        <xdr:cNvCxnSpPr/>
      </xdr:nvCxnSpPr>
      <xdr:spPr bwMode="auto">
        <a:xfrm>
          <a:off x="7119938" y="17526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10</xdr:row>
      <xdr:rowOff>120650</xdr:rowOff>
    </xdr:from>
    <xdr:to>
      <xdr:col>24</xdr:col>
      <xdr:colOff>71438</xdr:colOff>
      <xdr:row>12</xdr:row>
      <xdr:rowOff>156972</xdr:rowOff>
    </xdr:to>
    <xdr:cxnSp macro="">
      <xdr:nvCxnSpPr>
        <xdr:cNvPr id="67705" name="直線コネクタ 67704"/>
        <xdr:cNvCxnSpPr/>
      </xdr:nvCxnSpPr>
      <xdr:spPr bwMode="auto">
        <a:xfrm>
          <a:off x="7119938" y="1930400"/>
          <a:ext cx="0" cy="3982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12</xdr:row>
      <xdr:rowOff>156972</xdr:rowOff>
    </xdr:from>
    <xdr:to>
      <xdr:col>24</xdr:col>
      <xdr:colOff>71438</xdr:colOff>
      <xdr:row>16</xdr:row>
      <xdr:rowOff>73152</xdr:rowOff>
    </xdr:to>
    <xdr:cxnSp macro="">
      <xdr:nvCxnSpPr>
        <xdr:cNvPr id="67706" name="直線コネクタ 67705"/>
        <xdr:cNvCxnSpPr/>
      </xdr:nvCxnSpPr>
      <xdr:spPr bwMode="auto">
        <a:xfrm>
          <a:off x="7119938" y="2328672"/>
          <a:ext cx="0" cy="6400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16</xdr:row>
      <xdr:rowOff>73152</xdr:rowOff>
    </xdr:from>
    <xdr:to>
      <xdr:col>24</xdr:col>
      <xdr:colOff>71438</xdr:colOff>
      <xdr:row>19</xdr:row>
      <xdr:rowOff>10287</xdr:rowOff>
    </xdr:to>
    <xdr:cxnSp macro="">
      <xdr:nvCxnSpPr>
        <xdr:cNvPr id="67707" name="直線コネクタ 67706"/>
        <xdr:cNvCxnSpPr/>
      </xdr:nvCxnSpPr>
      <xdr:spPr bwMode="auto">
        <a:xfrm>
          <a:off x="7119938" y="2968752"/>
          <a:ext cx="0" cy="4800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19</xdr:row>
      <xdr:rowOff>10287</xdr:rowOff>
    </xdr:from>
    <xdr:to>
      <xdr:col>24</xdr:col>
      <xdr:colOff>71438</xdr:colOff>
      <xdr:row>21</xdr:row>
      <xdr:rowOff>146177</xdr:rowOff>
    </xdr:to>
    <xdr:cxnSp macro="">
      <xdr:nvCxnSpPr>
        <xdr:cNvPr id="67708" name="直線コネクタ 67707"/>
        <xdr:cNvCxnSpPr/>
      </xdr:nvCxnSpPr>
      <xdr:spPr bwMode="auto">
        <a:xfrm>
          <a:off x="7119938" y="3448812"/>
          <a:ext cx="0" cy="4978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21</xdr:row>
      <xdr:rowOff>146177</xdr:rowOff>
    </xdr:from>
    <xdr:to>
      <xdr:col>24</xdr:col>
      <xdr:colOff>71438</xdr:colOff>
      <xdr:row>29</xdr:row>
      <xdr:rowOff>149225</xdr:rowOff>
    </xdr:to>
    <xdr:cxnSp macro="">
      <xdr:nvCxnSpPr>
        <xdr:cNvPr id="67709" name="直線コネクタ 67708"/>
        <xdr:cNvCxnSpPr/>
      </xdr:nvCxnSpPr>
      <xdr:spPr bwMode="auto">
        <a:xfrm>
          <a:off x="7119938" y="3946652"/>
          <a:ext cx="0" cy="14508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29</xdr:row>
      <xdr:rowOff>149225</xdr:rowOff>
    </xdr:from>
    <xdr:to>
      <xdr:col>24</xdr:col>
      <xdr:colOff>71438</xdr:colOff>
      <xdr:row>31</xdr:row>
      <xdr:rowOff>53975</xdr:rowOff>
    </xdr:to>
    <xdr:cxnSp macro="">
      <xdr:nvCxnSpPr>
        <xdr:cNvPr id="67710" name="直線コネクタ 67709"/>
        <xdr:cNvCxnSpPr/>
      </xdr:nvCxnSpPr>
      <xdr:spPr bwMode="auto">
        <a:xfrm>
          <a:off x="7119938" y="5397500"/>
          <a:ext cx="0" cy="2667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23813</xdr:colOff>
      <xdr:row>7</xdr:row>
      <xdr:rowOff>105156</xdr:rowOff>
    </xdr:from>
    <xdr:to>
      <xdr:col>23</xdr:col>
      <xdr:colOff>23813</xdr:colOff>
      <xdr:row>9</xdr:row>
      <xdr:rowOff>123825</xdr:rowOff>
    </xdr:to>
    <xdr:cxnSp macro="">
      <xdr:nvCxnSpPr>
        <xdr:cNvPr id="67711" name="直線コネクタ 67710"/>
        <xdr:cNvCxnSpPr/>
      </xdr:nvCxnSpPr>
      <xdr:spPr bwMode="auto">
        <a:xfrm flipV="1">
          <a:off x="6853238" y="1371981"/>
          <a:ext cx="0" cy="3806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150095</xdr:colOff>
      <xdr:row>9</xdr:row>
      <xdr:rowOff>30960</xdr:rowOff>
    </xdr:from>
    <xdr:to>
      <xdr:col>23</xdr:col>
      <xdr:colOff>116685</xdr:colOff>
      <xdr:row>10</xdr:row>
      <xdr:rowOff>35683</xdr:rowOff>
    </xdr:to>
    <xdr:grpSp>
      <xdr:nvGrpSpPr>
        <xdr:cNvPr id="67759" name="グループ化 67758"/>
        <xdr:cNvGrpSpPr/>
      </xdr:nvGrpSpPr>
      <xdr:grpSpPr>
        <a:xfrm>
          <a:off x="6760445" y="1659735"/>
          <a:ext cx="185665" cy="185698"/>
          <a:chOff x="6760445" y="1659735"/>
          <a:chExt cx="185665" cy="185698"/>
        </a:xfrm>
      </xdr:grpSpPr>
      <xdr:cxnSp macro="">
        <xdr:nvCxnSpPr>
          <xdr:cNvPr id="67712" name="直線コネクタ 67711"/>
          <xdr:cNvCxnSpPr/>
        </xdr:nvCxnSpPr>
        <xdr:spPr bwMode="auto">
          <a:xfrm flipH="1">
            <a:off x="6945646" y="1752600"/>
            <a:ext cx="464" cy="927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3" name="直線コネクタ 67712"/>
          <xdr:cNvCxnSpPr/>
        </xdr:nvCxnSpPr>
        <xdr:spPr bwMode="auto">
          <a:xfrm flipH="1">
            <a:off x="6944259" y="1761872"/>
            <a:ext cx="1387" cy="917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4" name="直線コネクタ 67713"/>
          <xdr:cNvCxnSpPr/>
        </xdr:nvCxnSpPr>
        <xdr:spPr bwMode="auto">
          <a:xfrm flipH="1">
            <a:off x="6941962" y="1771051"/>
            <a:ext cx="2297" cy="899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5" name="直線コネクタ 67714"/>
          <xdr:cNvCxnSpPr/>
        </xdr:nvCxnSpPr>
        <xdr:spPr bwMode="auto">
          <a:xfrm flipH="1">
            <a:off x="6938779" y="1780046"/>
            <a:ext cx="3183" cy="872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6" name="直線コネクタ 67715"/>
          <xdr:cNvCxnSpPr/>
        </xdr:nvCxnSpPr>
        <xdr:spPr bwMode="auto">
          <a:xfrm flipH="1">
            <a:off x="6934741" y="1788766"/>
            <a:ext cx="4038" cy="836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7" name="直線コネクタ 67716"/>
          <xdr:cNvCxnSpPr/>
        </xdr:nvCxnSpPr>
        <xdr:spPr bwMode="auto">
          <a:xfrm flipH="1">
            <a:off x="6929889" y="1797126"/>
            <a:ext cx="4852" cy="791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8" name="直線コネクタ 67717"/>
          <xdr:cNvCxnSpPr/>
        </xdr:nvCxnSpPr>
        <xdr:spPr bwMode="auto">
          <a:xfrm flipH="1">
            <a:off x="6924270" y="1805040"/>
            <a:ext cx="5619" cy="739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9" name="直線コネクタ 67718"/>
          <xdr:cNvCxnSpPr/>
        </xdr:nvCxnSpPr>
        <xdr:spPr bwMode="auto">
          <a:xfrm flipH="1">
            <a:off x="6917943" y="1812430"/>
            <a:ext cx="6327" cy="679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0" name="直線コネクタ 67719"/>
          <xdr:cNvCxnSpPr/>
        </xdr:nvCxnSpPr>
        <xdr:spPr bwMode="auto">
          <a:xfrm flipH="1">
            <a:off x="6910968" y="1819223"/>
            <a:ext cx="6975" cy="6127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1" name="直線コネクタ 67720"/>
          <xdr:cNvCxnSpPr/>
        </xdr:nvCxnSpPr>
        <xdr:spPr bwMode="auto">
          <a:xfrm flipH="1">
            <a:off x="6903417" y="1825350"/>
            <a:ext cx="7551" cy="540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2" name="直線コネクタ 67721"/>
          <xdr:cNvCxnSpPr/>
        </xdr:nvCxnSpPr>
        <xdr:spPr bwMode="auto">
          <a:xfrm flipH="1">
            <a:off x="6895364" y="1830750"/>
            <a:ext cx="8053" cy="461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3" name="直線コネクタ 67722"/>
          <xdr:cNvCxnSpPr/>
        </xdr:nvCxnSpPr>
        <xdr:spPr bwMode="auto">
          <a:xfrm flipH="1">
            <a:off x="6886890" y="1835369"/>
            <a:ext cx="8474" cy="379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4" name="直線コネクタ 67723"/>
          <xdr:cNvCxnSpPr/>
        </xdr:nvCxnSpPr>
        <xdr:spPr bwMode="auto">
          <a:xfrm flipH="1">
            <a:off x="6878081" y="1839161"/>
            <a:ext cx="8809" cy="2927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5" name="直線コネクタ 67724"/>
          <xdr:cNvCxnSpPr/>
        </xdr:nvCxnSpPr>
        <xdr:spPr bwMode="auto">
          <a:xfrm flipH="1">
            <a:off x="6869023" y="1842088"/>
            <a:ext cx="9058" cy="203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6" name="直線コネクタ 67725"/>
          <xdr:cNvCxnSpPr/>
        </xdr:nvCxnSpPr>
        <xdr:spPr bwMode="auto">
          <a:xfrm flipH="1">
            <a:off x="6859807" y="1844121"/>
            <a:ext cx="9216" cy="111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7" name="直線コネクタ 67726"/>
          <xdr:cNvCxnSpPr/>
        </xdr:nvCxnSpPr>
        <xdr:spPr bwMode="auto">
          <a:xfrm flipH="1">
            <a:off x="6850525" y="1845240"/>
            <a:ext cx="9282" cy="19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8" name="直線コネクタ 67727"/>
          <xdr:cNvCxnSpPr/>
        </xdr:nvCxnSpPr>
        <xdr:spPr bwMode="auto">
          <a:xfrm flipH="1" flipV="1">
            <a:off x="6841272" y="1844699"/>
            <a:ext cx="9253" cy="73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9" name="直線コネクタ 67728"/>
          <xdr:cNvCxnSpPr/>
        </xdr:nvCxnSpPr>
        <xdr:spPr bwMode="auto">
          <a:xfrm flipH="1" flipV="1">
            <a:off x="6832136" y="1843044"/>
            <a:ext cx="9136" cy="165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0" name="直線コネクタ 67729"/>
          <xdr:cNvCxnSpPr/>
        </xdr:nvCxnSpPr>
        <xdr:spPr bwMode="auto">
          <a:xfrm flipH="1" flipV="1">
            <a:off x="6823213" y="1840485"/>
            <a:ext cx="8923" cy="255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1" name="直線コネクタ 67730"/>
          <xdr:cNvCxnSpPr/>
        </xdr:nvCxnSpPr>
        <xdr:spPr bwMode="auto">
          <a:xfrm flipH="1" flipV="1">
            <a:off x="6814589" y="1837049"/>
            <a:ext cx="8624" cy="3436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2" name="直線コネクタ 67731"/>
          <xdr:cNvCxnSpPr/>
        </xdr:nvCxnSpPr>
        <xdr:spPr bwMode="auto">
          <a:xfrm flipH="1" flipV="1">
            <a:off x="6806351" y="1832769"/>
            <a:ext cx="8238" cy="428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3" name="直線コネクタ 67732"/>
          <xdr:cNvCxnSpPr/>
        </xdr:nvCxnSpPr>
        <xdr:spPr bwMode="auto">
          <a:xfrm flipH="1" flipV="1">
            <a:off x="6798582" y="1827687"/>
            <a:ext cx="7769" cy="508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4" name="直線コネクタ 67733"/>
          <xdr:cNvCxnSpPr/>
        </xdr:nvCxnSpPr>
        <xdr:spPr bwMode="auto">
          <a:xfrm flipH="1" flipV="1">
            <a:off x="6791358" y="1821856"/>
            <a:ext cx="7224" cy="583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5" name="直線コネクタ 67734"/>
          <xdr:cNvCxnSpPr/>
        </xdr:nvCxnSpPr>
        <xdr:spPr bwMode="auto">
          <a:xfrm flipH="1" flipV="1">
            <a:off x="6784754" y="1815332"/>
            <a:ext cx="6604" cy="652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6" name="直線コネクタ 67735"/>
          <xdr:cNvCxnSpPr/>
        </xdr:nvCxnSpPr>
        <xdr:spPr bwMode="auto">
          <a:xfrm flipH="1" flipV="1">
            <a:off x="6778834" y="1808182"/>
            <a:ext cx="5920" cy="71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7" name="直線コネクタ 67736"/>
          <xdr:cNvCxnSpPr/>
        </xdr:nvCxnSpPr>
        <xdr:spPr bwMode="auto">
          <a:xfrm flipH="1" flipV="1">
            <a:off x="6773656" y="1800476"/>
            <a:ext cx="5178" cy="7706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8" name="直線コネクタ 67737"/>
          <xdr:cNvCxnSpPr/>
        </xdr:nvCxnSpPr>
        <xdr:spPr bwMode="auto">
          <a:xfrm flipH="1" flipV="1">
            <a:off x="6769274" y="1792292"/>
            <a:ext cx="4382" cy="818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9" name="直線コネクタ 67738"/>
          <xdr:cNvCxnSpPr/>
        </xdr:nvCxnSpPr>
        <xdr:spPr bwMode="auto">
          <a:xfrm flipH="1" flipV="1">
            <a:off x="6765730" y="1783711"/>
            <a:ext cx="3544" cy="858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0" name="直線コネクタ 67739"/>
          <xdr:cNvCxnSpPr/>
        </xdr:nvCxnSpPr>
        <xdr:spPr bwMode="auto">
          <a:xfrm flipH="1" flipV="1">
            <a:off x="6763062" y="1774820"/>
            <a:ext cx="2668" cy="889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1" name="直線コネクタ 67740"/>
          <xdr:cNvCxnSpPr/>
        </xdr:nvCxnSpPr>
        <xdr:spPr bwMode="auto">
          <a:xfrm flipH="1" flipV="1">
            <a:off x="6761294" y="1765706"/>
            <a:ext cx="1768" cy="911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2" name="直線コネクタ 67741"/>
          <xdr:cNvCxnSpPr/>
        </xdr:nvCxnSpPr>
        <xdr:spPr bwMode="auto">
          <a:xfrm flipH="1" flipV="1">
            <a:off x="6760445" y="1756462"/>
            <a:ext cx="849" cy="924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3" name="直線コネクタ 67742"/>
          <xdr:cNvCxnSpPr/>
        </xdr:nvCxnSpPr>
        <xdr:spPr bwMode="auto">
          <a:xfrm flipV="1">
            <a:off x="6760445" y="1747179"/>
            <a:ext cx="78" cy="928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4" name="直線コネクタ 67743"/>
          <xdr:cNvCxnSpPr/>
        </xdr:nvCxnSpPr>
        <xdr:spPr bwMode="auto">
          <a:xfrm flipV="1">
            <a:off x="6760523" y="1737950"/>
            <a:ext cx="1005" cy="922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5" name="直線コネクタ 67744"/>
          <xdr:cNvCxnSpPr/>
        </xdr:nvCxnSpPr>
        <xdr:spPr bwMode="auto">
          <a:xfrm flipV="1">
            <a:off x="6761528" y="1728867"/>
            <a:ext cx="1920" cy="908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6" name="直線コネクタ 67745"/>
          <xdr:cNvCxnSpPr/>
        </xdr:nvCxnSpPr>
        <xdr:spPr bwMode="auto">
          <a:xfrm flipV="1">
            <a:off x="6763448" y="1720022"/>
            <a:ext cx="2818" cy="884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7" name="直線コネクタ 67746"/>
          <xdr:cNvCxnSpPr/>
        </xdr:nvCxnSpPr>
        <xdr:spPr bwMode="auto">
          <a:xfrm flipV="1">
            <a:off x="6766266" y="1711502"/>
            <a:ext cx="3687" cy="852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8" name="直線コネクタ 67747"/>
          <xdr:cNvCxnSpPr/>
        </xdr:nvCxnSpPr>
        <xdr:spPr bwMode="auto">
          <a:xfrm flipV="1">
            <a:off x="6769953" y="1703393"/>
            <a:ext cx="4520" cy="810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9" name="直線コネクタ 67748"/>
          <xdr:cNvCxnSpPr/>
        </xdr:nvCxnSpPr>
        <xdr:spPr bwMode="auto">
          <a:xfrm flipV="1">
            <a:off x="6774473" y="1695775"/>
            <a:ext cx="5305" cy="761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0" name="直線コネクタ 67749"/>
          <xdr:cNvCxnSpPr/>
        </xdr:nvCxnSpPr>
        <xdr:spPr bwMode="auto">
          <a:xfrm flipV="1">
            <a:off x="6779778" y="1688725"/>
            <a:ext cx="6040" cy="70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1" name="直線コネクタ 67750"/>
          <xdr:cNvCxnSpPr/>
        </xdr:nvCxnSpPr>
        <xdr:spPr bwMode="auto">
          <a:xfrm flipV="1">
            <a:off x="6785818" y="1682314"/>
            <a:ext cx="6714" cy="641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2" name="直線コネクタ 67751"/>
          <xdr:cNvCxnSpPr/>
        </xdr:nvCxnSpPr>
        <xdr:spPr bwMode="auto">
          <a:xfrm flipV="1">
            <a:off x="6792532" y="1676604"/>
            <a:ext cx="7320" cy="571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3" name="直線コネクタ 67752"/>
          <xdr:cNvCxnSpPr/>
        </xdr:nvCxnSpPr>
        <xdr:spPr bwMode="auto">
          <a:xfrm flipV="1">
            <a:off x="6799852" y="1671654"/>
            <a:ext cx="7853" cy="49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4" name="直線コネクタ 67753"/>
          <xdr:cNvCxnSpPr/>
        </xdr:nvCxnSpPr>
        <xdr:spPr bwMode="auto">
          <a:xfrm flipV="1">
            <a:off x="6807705" y="1667513"/>
            <a:ext cx="8309" cy="414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5" name="直線コネクタ 67754"/>
          <xdr:cNvCxnSpPr/>
        </xdr:nvCxnSpPr>
        <xdr:spPr bwMode="auto">
          <a:xfrm flipV="1">
            <a:off x="6816014" y="1664222"/>
            <a:ext cx="8680" cy="329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6" name="直線コネクタ 67755"/>
          <xdr:cNvCxnSpPr/>
        </xdr:nvCxnSpPr>
        <xdr:spPr bwMode="auto">
          <a:xfrm flipV="1">
            <a:off x="6824694" y="1661814"/>
            <a:ext cx="8966" cy="240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7" name="直線コネクタ 67756"/>
          <xdr:cNvCxnSpPr/>
        </xdr:nvCxnSpPr>
        <xdr:spPr bwMode="auto">
          <a:xfrm flipV="1">
            <a:off x="6833660" y="1660313"/>
            <a:ext cx="9162" cy="150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8" name="直線コネクタ 67757"/>
          <xdr:cNvCxnSpPr/>
        </xdr:nvCxnSpPr>
        <xdr:spPr bwMode="auto">
          <a:xfrm flipV="1">
            <a:off x="6842822" y="1659735"/>
            <a:ext cx="9265" cy="57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7760" name="テキスト ボックス 67759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7761" name="直線コネクタ 67760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7762" name="テキスト ボックス 67761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7763" name="直線コネクタ 67762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167882</xdr:colOff>
      <xdr:row>3</xdr:row>
      <xdr:rowOff>101600</xdr:rowOff>
    </xdr:from>
    <xdr:to>
      <xdr:col>8</xdr:col>
      <xdr:colOff>218682</xdr:colOff>
      <xdr:row>3</xdr:row>
      <xdr:rowOff>152400</xdr:rowOff>
    </xdr:to>
    <xdr:sp macro="" textlink="">
      <xdr:nvSpPr>
        <xdr:cNvPr id="283374" name="円/楕円 283373"/>
        <xdr:cNvSpPr/>
      </xdr:nvSpPr>
      <xdr:spPr bwMode="auto">
        <a:xfrm>
          <a:off x="5625707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4</xdr:row>
      <xdr:rowOff>119440</xdr:rowOff>
    </xdr:from>
    <xdr:to>
      <xdr:col>7</xdr:col>
      <xdr:colOff>190046</xdr:colOff>
      <xdr:row>4</xdr:row>
      <xdr:rowOff>170240</xdr:rowOff>
    </xdr:to>
    <xdr:sp macro="" textlink="">
      <xdr:nvSpPr>
        <xdr:cNvPr id="283375" name="円/楕円 283374"/>
        <xdr:cNvSpPr/>
      </xdr:nvSpPr>
      <xdr:spPr bwMode="auto">
        <a:xfrm>
          <a:off x="4920796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167882</xdr:colOff>
      <xdr:row>4</xdr:row>
      <xdr:rowOff>119440</xdr:rowOff>
    </xdr:from>
    <xdr:to>
      <xdr:col>8</xdr:col>
      <xdr:colOff>218682</xdr:colOff>
      <xdr:row>4</xdr:row>
      <xdr:rowOff>170240</xdr:rowOff>
    </xdr:to>
    <xdr:sp macro="" textlink="">
      <xdr:nvSpPr>
        <xdr:cNvPr id="283376" name="円/楕円 283375"/>
        <xdr:cNvSpPr/>
      </xdr:nvSpPr>
      <xdr:spPr bwMode="auto">
        <a:xfrm>
          <a:off x="5625707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4</xdr:row>
      <xdr:rowOff>119440</xdr:rowOff>
    </xdr:from>
    <xdr:to>
      <xdr:col>8</xdr:col>
      <xdr:colOff>537028</xdr:colOff>
      <xdr:row>4</xdr:row>
      <xdr:rowOff>170240</xdr:rowOff>
    </xdr:to>
    <xdr:sp macro="" textlink="">
      <xdr:nvSpPr>
        <xdr:cNvPr id="283377" name="円/楕円 283376"/>
        <xdr:cNvSpPr/>
      </xdr:nvSpPr>
      <xdr:spPr bwMode="auto">
        <a:xfrm>
          <a:off x="5944053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5</xdr:row>
      <xdr:rowOff>137281</xdr:rowOff>
    </xdr:from>
    <xdr:to>
      <xdr:col>7</xdr:col>
      <xdr:colOff>190046</xdr:colOff>
      <xdr:row>5</xdr:row>
      <xdr:rowOff>188081</xdr:rowOff>
    </xdr:to>
    <xdr:sp macro="" textlink="">
      <xdr:nvSpPr>
        <xdr:cNvPr id="283378" name="円/楕円 283377"/>
        <xdr:cNvSpPr/>
      </xdr:nvSpPr>
      <xdr:spPr bwMode="auto">
        <a:xfrm>
          <a:off x="4920796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5</xdr:row>
      <xdr:rowOff>137281</xdr:rowOff>
    </xdr:from>
    <xdr:to>
      <xdr:col>8</xdr:col>
      <xdr:colOff>537028</xdr:colOff>
      <xdr:row>5</xdr:row>
      <xdr:rowOff>188081</xdr:rowOff>
    </xdr:to>
    <xdr:sp macro="" textlink="">
      <xdr:nvSpPr>
        <xdr:cNvPr id="283379" name="円/楕円 283378"/>
        <xdr:cNvSpPr/>
      </xdr:nvSpPr>
      <xdr:spPr bwMode="auto">
        <a:xfrm>
          <a:off x="5944053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8</xdr:row>
      <xdr:rowOff>17986</xdr:rowOff>
    </xdr:from>
    <xdr:to>
      <xdr:col>7</xdr:col>
      <xdr:colOff>190046</xdr:colOff>
      <xdr:row>8</xdr:row>
      <xdr:rowOff>68786</xdr:rowOff>
    </xdr:to>
    <xdr:sp macro="" textlink="">
      <xdr:nvSpPr>
        <xdr:cNvPr id="283380" name="円/楕円 283379"/>
        <xdr:cNvSpPr/>
      </xdr:nvSpPr>
      <xdr:spPr bwMode="auto">
        <a:xfrm>
          <a:off x="4920796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8</xdr:row>
      <xdr:rowOff>17986</xdr:rowOff>
    </xdr:from>
    <xdr:to>
      <xdr:col>8</xdr:col>
      <xdr:colOff>537028</xdr:colOff>
      <xdr:row>8</xdr:row>
      <xdr:rowOff>68786</xdr:rowOff>
    </xdr:to>
    <xdr:sp macro="" textlink="">
      <xdr:nvSpPr>
        <xdr:cNvPr id="283381" name="円/楕円 283380"/>
        <xdr:cNvSpPr/>
      </xdr:nvSpPr>
      <xdr:spPr bwMode="auto">
        <a:xfrm>
          <a:off x="5944053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11</xdr:row>
      <xdr:rowOff>207941</xdr:rowOff>
    </xdr:from>
    <xdr:to>
      <xdr:col>7</xdr:col>
      <xdr:colOff>190046</xdr:colOff>
      <xdr:row>12</xdr:row>
      <xdr:rowOff>49191</xdr:rowOff>
    </xdr:to>
    <xdr:sp macro="" textlink="">
      <xdr:nvSpPr>
        <xdr:cNvPr id="283382" name="円/楕円 283381"/>
        <xdr:cNvSpPr/>
      </xdr:nvSpPr>
      <xdr:spPr bwMode="auto">
        <a:xfrm>
          <a:off x="4920796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11</xdr:row>
      <xdr:rowOff>207941</xdr:rowOff>
    </xdr:from>
    <xdr:to>
      <xdr:col>8</xdr:col>
      <xdr:colOff>537028</xdr:colOff>
      <xdr:row>12</xdr:row>
      <xdr:rowOff>49191</xdr:rowOff>
    </xdr:to>
    <xdr:sp macro="" textlink="">
      <xdr:nvSpPr>
        <xdr:cNvPr id="283383" name="円/楕円 283382"/>
        <xdr:cNvSpPr/>
      </xdr:nvSpPr>
      <xdr:spPr bwMode="auto">
        <a:xfrm>
          <a:off x="5944053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14</xdr:row>
      <xdr:rowOff>193246</xdr:rowOff>
    </xdr:from>
    <xdr:to>
      <xdr:col>7</xdr:col>
      <xdr:colOff>190046</xdr:colOff>
      <xdr:row>15</xdr:row>
      <xdr:rowOff>34496</xdr:rowOff>
    </xdr:to>
    <xdr:sp macro="" textlink="">
      <xdr:nvSpPr>
        <xdr:cNvPr id="283384" name="円/楕円 283383"/>
        <xdr:cNvSpPr/>
      </xdr:nvSpPr>
      <xdr:spPr bwMode="auto">
        <a:xfrm>
          <a:off x="4920796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14</xdr:row>
      <xdr:rowOff>193246</xdr:rowOff>
    </xdr:from>
    <xdr:to>
      <xdr:col>8</xdr:col>
      <xdr:colOff>537028</xdr:colOff>
      <xdr:row>15</xdr:row>
      <xdr:rowOff>34496</xdr:rowOff>
    </xdr:to>
    <xdr:sp macro="" textlink="">
      <xdr:nvSpPr>
        <xdr:cNvPr id="283385" name="円/楕円 283384"/>
        <xdr:cNvSpPr/>
      </xdr:nvSpPr>
      <xdr:spPr bwMode="auto">
        <a:xfrm>
          <a:off x="5944053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17</xdr:row>
      <xdr:rowOff>201289</xdr:rowOff>
    </xdr:from>
    <xdr:to>
      <xdr:col>7</xdr:col>
      <xdr:colOff>190046</xdr:colOff>
      <xdr:row>18</xdr:row>
      <xdr:rowOff>42539</xdr:rowOff>
    </xdr:to>
    <xdr:sp macro="" textlink="">
      <xdr:nvSpPr>
        <xdr:cNvPr id="283386" name="円/楕円 283385"/>
        <xdr:cNvSpPr/>
      </xdr:nvSpPr>
      <xdr:spPr bwMode="auto">
        <a:xfrm>
          <a:off x="4920796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17</xdr:row>
      <xdr:rowOff>201289</xdr:rowOff>
    </xdr:from>
    <xdr:to>
      <xdr:col>8</xdr:col>
      <xdr:colOff>537028</xdr:colOff>
      <xdr:row>18</xdr:row>
      <xdr:rowOff>42539</xdr:rowOff>
    </xdr:to>
    <xdr:sp macro="" textlink="">
      <xdr:nvSpPr>
        <xdr:cNvPr id="283387" name="円/楕円 283386"/>
        <xdr:cNvSpPr/>
      </xdr:nvSpPr>
      <xdr:spPr bwMode="auto">
        <a:xfrm>
          <a:off x="5944053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24</xdr:row>
      <xdr:rowOff>135164</xdr:rowOff>
    </xdr:from>
    <xdr:to>
      <xdr:col>7</xdr:col>
      <xdr:colOff>190046</xdr:colOff>
      <xdr:row>24</xdr:row>
      <xdr:rowOff>185964</xdr:rowOff>
    </xdr:to>
    <xdr:sp macro="" textlink="">
      <xdr:nvSpPr>
        <xdr:cNvPr id="283388" name="円/楕円 283387"/>
        <xdr:cNvSpPr/>
      </xdr:nvSpPr>
      <xdr:spPr bwMode="auto">
        <a:xfrm>
          <a:off x="4920796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24</xdr:row>
      <xdr:rowOff>135164</xdr:rowOff>
    </xdr:from>
    <xdr:to>
      <xdr:col>8</xdr:col>
      <xdr:colOff>537028</xdr:colOff>
      <xdr:row>24</xdr:row>
      <xdr:rowOff>185964</xdr:rowOff>
    </xdr:to>
    <xdr:sp macro="" textlink="">
      <xdr:nvSpPr>
        <xdr:cNvPr id="283389" name="円/楕円 283388"/>
        <xdr:cNvSpPr/>
      </xdr:nvSpPr>
      <xdr:spPr bwMode="auto">
        <a:xfrm>
          <a:off x="5944053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26</xdr:row>
      <xdr:rowOff>57150</xdr:rowOff>
    </xdr:from>
    <xdr:to>
      <xdr:col>7</xdr:col>
      <xdr:colOff>190046</xdr:colOff>
      <xdr:row>26</xdr:row>
      <xdr:rowOff>107950</xdr:rowOff>
    </xdr:to>
    <xdr:sp macro="" textlink="">
      <xdr:nvSpPr>
        <xdr:cNvPr id="283390" name="円/楕円 283389"/>
        <xdr:cNvSpPr/>
      </xdr:nvSpPr>
      <xdr:spPr bwMode="auto">
        <a:xfrm>
          <a:off x="4920796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26</xdr:row>
      <xdr:rowOff>57150</xdr:rowOff>
    </xdr:from>
    <xdr:to>
      <xdr:col>8</xdr:col>
      <xdr:colOff>537028</xdr:colOff>
      <xdr:row>26</xdr:row>
      <xdr:rowOff>107950</xdr:rowOff>
    </xdr:to>
    <xdr:sp macro="" textlink="">
      <xdr:nvSpPr>
        <xdr:cNvPr id="283391" name="円/楕円 283390"/>
        <xdr:cNvSpPr/>
      </xdr:nvSpPr>
      <xdr:spPr bwMode="auto">
        <a:xfrm>
          <a:off x="5944053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193282</xdr:colOff>
      <xdr:row>3</xdr:row>
      <xdr:rowOff>127000</xdr:rowOff>
    </xdr:from>
    <xdr:ext cx="229550" cy="209032"/>
    <xdr:sp macro="" textlink="">
      <xdr:nvSpPr>
        <xdr:cNvPr id="283136" name="テキスト ボックス 283135"/>
        <xdr:cNvSpPr txBox="1"/>
      </xdr:nvSpPr>
      <xdr:spPr>
        <a:xfrm>
          <a:off x="5651107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4</xdr:row>
      <xdr:rowOff>144840</xdr:rowOff>
    </xdr:from>
    <xdr:ext cx="229550" cy="209032"/>
    <xdr:sp macro="" textlink="">
      <xdr:nvSpPr>
        <xdr:cNvPr id="283137" name="テキスト ボックス 283136"/>
        <xdr:cNvSpPr txBox="1"/>
      </xdr:nvSpPr>
      <xdr:spPr>
        <a:xfrm>
          <a:off x="4946196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193282</xdr:colOff>
      <xdr:row>4</xdr:row>
      <xdr:rowOff>144840</xdr:rowOff>
    </xdr:from>
    <xdr:ext cx="229550" cy="209032"/>
    <xdr:sp macro="" textlink="">
      <xdr:nvSpPr>
        <xdr:cNvPr id="283138" name="テキスト ボックス 283137"/>
        <xdr:cNvSpPr txBox="1"/>
      </xdr:nvSpPr>
      <xdr:spPr>
        <a:xfrm>
          <a:off x="5651107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4</xdr:row>
      <xdr:rowOff>144840</xdr:rowOff>
    </xdr:from>
    <xdr:ext cx="229550" cy="209032"/>
    <xdr:sp macro="" textlink="">
      <xdr:nvSpPr>
        <xdr:cNvPr id="283139" name="テキスト ボックス 283138"/>
        <xdr:cNvSpPr txBox="1"/>
      </xdr:nvSpPr>
      <xdr:spPr>
        <a:xfrm>
          <a:off x="5969453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5</xdr:row>
      <xdr:rowOff>162681</xdr:rowOff>
    </xdr:from>
    <xdr:ext cx="229550" cy="209032"/>
    <xdr:sp macro="" textlink="">
      <xdr:nvSpPr>
        <xdr:cNvPr id="283140" name="テキスト ボックス 283139"/>
        <xdr:cNvSpPr txBox="1"/>
      </xdr:nvSpPr>
      <xdr:spPr>
        <a:xfrm>
          <a:off x="4946196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5</xdr:row>
      <xdr:rowOff>162681</xdr:rowOff>
    </xdr:from>
    <xdr:ext cx="229550" cy="209032"/>
    <xdr:sp macro="" textlink="">
      <xdr:nvSpPr>
        <xdr:cNvPr id="283148" name="テキスト ボックス 283147"/>
        <xdr:cNvSpPr txBox="1"/>
      </xdr:nvSpPr>
      <xdr:spPr>
        <a:xfrm>
          <a:off x="5969453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8</xdr:row>
      <xdr:rowOff>43386</xdr:rowOff>
    </xdr:from>
    <xdr:ext cx="229550" cy="209032"/>
    <xdr:sp macro="" textlink="">
      <xdr:nvSpPr>
        <xdr:cNvPr id="283149" name="テキスト ボックス 283148"/>
        <xdr:cNvSpPr txBox="1"/>
      </xdr:nvSpPr>
      <xdr:spPr>
        <a:xfrm>
          <a:off x="4946196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8</xdr:row>
      <xdr:rowOff>43386</xdr:rowOff>
    </xdr:from>
    <xdr:ext cx="229550" cy="209032"/>
    <xdr:sp macro="" textlink="">
      <xdr:nvSpPr>
        <xdr:cNvPr id="283150" name="テキスト ボックス 283149"/>
        <xdr:cNvSpPr txBox="1"/>
      </xdr:nvSpPr>
      <xdr:spPr>
        <a:xfrm>
          <a:off x="5969453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12</xdr:row>
      <xdr:rowOff>23791</xdr:rowOff>
    </xdr:from>
    <xdr:ext cx="229550" cy="209032"/>
    <xdr:sp macro="" textlink="">
      <xdr:nvSpPr>
        <xdr:cNvPr id="283151" name="テキスト ボックス 283150"/>
        <xdr:cNvSpPr txBox="1"/>
      </xdr:nvSpPr>
      <xdr:spPr>
        <a:xfrm>
          <a:off x="4946196" y="253839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12</xdr:row>
      <xdr:rowOff>23791</xdr:rowOff>
    </xdr:from>
    <xdr:ext cx="274434" cy="209032"/>
    <xdr:sp macro="" textlink="">
      <xdr:nvSpPr>
        <xdr:cNvPr id="283152" name="テキスト ボックス 283151"/>
        <xdr:cNvSpPr txBox="1"/>
      </xdr:nvSpPr>
      <xdr:spPr>
        <a:xfrm>
          <a:off x="5969453" y="253839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15</xdr:row>
      <xdr:rowOff>9096</xdr:rowOff>
    </xdr:from>
    <xdr:ext cx="274434" cy="209032"/>
    <xdr:sp macro="" textlink="">
      <xdr:nvSpPr>
        <xdr:cNvPr id="283153" name="テキスト ボックス 283152"/>
        <xdr:cNvSpPr txBox="1"/>
      </xdr:nvSpPr>
      <xdr:spPr>
        <a:xfrm>
          <a:off x="4946196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15</xdr:row>
      <xdr:rowOff>9096</xdr:rowOff>
    </xdr:from>
    <xdr:ext cx="274434" cy="209032"/>
    <xdr:sp macro="" textlink="">
      <xdr:nvSpPr>
        <xdr:cNvPr id="283154" name="テキスト ボックス 283153"/>
        <xdr:cNvSpPr txBox="1"/>
      </xdr:nvSpPr>
      <xdr:spPr>
        <a:xfrm>
          <a:off x="5969453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18</xdr:row>
      <xdr:rowOff>17139</xdr:rowOff>
    </xdr:from>
    <xdr:ext cx="274434" cy="209032"/>
    <xdr:sp macro="" textlink="">
      <xdr:nvSpPr>
        <xdr:cNvPr id="283155" name="テキスト ボックス 283154"/>
        <xdr:cNvSpPr txBox="1"/>
      </xdr:nvSpPr>
      <xdr:spPr>
        <a:xfrm>
          <a:off x="4946196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18</xdr:row>
      <xdr:rowOff>17139</xdr:rowOff>
    </xdr:from>
    <xdr:ext cx="274434" cy="209032"/>
    <xdr:sp macro="" textlink="">
      <xdr:nvSpPr>
        <xdr:cNvPr id="283156" name="テキスト ボックス 283155"/>
        <xdr:cNvSpPr txBox="1"/>
      </xdr:nvSpPr>
      <xdr:spPr>
        <a:xfrm>
          <a:off x="5969453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24</xdr:row>
      <xdr:rowOff>160564</xdr:rowOff>
    </xdr:from>
    <xdr:ext cx="274434" cy="209032"/>
    <xdr:sp macro="" textlink="">
      <xdr:nvSpPr>
        <xdr:cNvPr id="283157" name="テキスト ボックス 283156"/>
        <xdr:cNvSpPr txBox="1"/>
      </xdr:nvSpPr>
      <xdr:spPr>
        <a:xfrm>
          <a:off x="4946196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24</xdr:row>
      <xdr:rowOff>160564</xdr:rowOff>
    </xdr:from>
    <xdr:ext cx="274434" cy="209032"/>
    <xdr:sp macro="" textlink="">
      <xdr:nvSpPr>
        <xdr:cNvPr id="283158" name="テキスト ボックス 283157"/>
        <xdr:cNvSpPr txBox="1"/>
      </xdr:nvSpPr>
      <xdr:spPr>
        <a:xfrm>
          <a:off x="5969453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26</xdr:row>
      <xdr:rowOff>82550</xdr:rowOff>
    </xdr:from>
    <xdr:ext cx="274434" cy="209032"/>
    <xdr:sp macro="" textlink="">
      <xdr:nvSpPr>
        <xdr:cNvPr id="283159" name="テキスト ボックス 283158"/>
        <xdr:cNvSpPr txBox="1"/>
      </xdr:nvSpPr>
      <xdr:spPr>
        <a:xfrm>
          <a:off x="4946196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26</xdr:row>
      <xdr:rowOff>82550</xdr:rowOff>
    </xdr:from>
    <xdr:ext cx="274434" cy="209032"/>
    <xdr:sp macro="" textlink="">
      <xdr:nvSpPr>
        <xdr:cNvPr id="283161" name="テキスト ボックス 283160"/>
        <xdr:cNvSpPr txBox="1"/>
      </xdr:nvSpPr>
      <xdr:spPr>
        <a:xfrm>
          <a:off x="5969453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193282</xdr:colOff>
      <xdr:row>3</xdr:row>
      <xdr:rowOff>127000</xdr:rowOff>
    </xdr:from>
    <xdr:to>
      <xdr:col>8</xdr:col>
      <xdr:colOff>193282</xdr:colOff>
      <xdr:row>4</xdr:row>
      <xdr:rowOff>144840</xdr:rowOff>
    </xdr:to>
    <xdr:cxnSp macro="">
      <xdr:nvCxnSpPr>
        <xdr:cNvPr id="283163" name="直線コネクタ 283162"/>
        <xdr:cNvCxnSpPr/>
      </xdr:nvCxnSpPr>
      <xdr:spPr bwMode="auto">
        <a:xfrm>
          <a:off x="5651107" y="755650"/>
          <a:ext cx="0" cy="2273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8</xdr:col>
      <xdr:colOff>193282</xdr:colOff>
      <xdr:row>4</xdr:row>
      <xdr:rowOff>144840</xdr:rowOff>
    </xdr:to>
    <xdr:cxnSp macro="">
      <xdr:nvCxnSpPr>
        <xdr:cNvPr id="278051" name="直線コネクタ 278050"/>
        <xdr:cNvCxnSpPr/>
      </xdr:nvCxnSpPr>
      <xdr:spPr bwMode="auto">
        <a:xfrm>
          <a:off x="4946196" y="983040"/>
          <a:ext cx="7049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193282</xdr:colOff>
      <xdr:row>4</xdr:row>
      <xdr:rowOff>144840</xdr:rowOff>
    </xdr:from>
    <xdr:to>
      <xdr:col>8</xdr:col>
      <xdr:colOff>511628</xdr:colOff>
      <xdr:row>4</xdr:row>
      <xdr:rowOff>144840</xdr:rowOff>
    </xdr:to>
    <xdr:cxnSp macro="">
      <xdr:nvCxnSpPr>
        <xdr:cNvPr id="278052" name="直線コネクタ 278051"/>
        <xdr:cNvCxnSpPr/>
      </xdr:nvCxnSpPr>
      <xdr:spPr bwMode="auto">
        <a:xfrm>
          <a:off x="5651107" y="983040"/>
          <a:ext cx="3183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7</xdr:col>
      <xdr:colOff>164646</xdr:colOff>
      <xdr:row>5</xdr:row>
      <xdr:rowOff>162681</xdr:rowOff>
    </xdr:to>
    <xdr:cxnSp macro="">
      <xdr:nvCxnSpPr>
        <xdr:cNvPr id="278053" name="直線コネクタ 278052"/>
        <xdr:cNvCxnSpPr/>
      </xdr:nvCxnSpPr>
      <xdr:spPr bwMode="auto">
        <a:xfrm>
          <a:off x="4946196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5</xdr:row>
      <xdr:rowOff>162681</xdr:rowOff>
    </xdr:from>
    <xdr:to>
      <xdr:col>7</xdr:col>
      <xdr:colOff>164646</xdr:colOff>
      <xdr:row>8</xdr:row>
      <xdr:rowOff>43386</xdr:rowOff>
    </xdr:to>
    <xdr:cxnSp macro="">
      <xdr:nvCxnSpPr>
        <xdr:cNvPr id="278054" name="直線コネクタ 278053"/>
        <xdr:cNvCxnSpPr/>
      </xdr:nvCxnSpPr>
      <xdr:spPr bwMode="auto">
        <a:xfrm>
          <a:off x="4946196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8</xdr:row>
      <xdr:rowOff>43386</xdr:rowOff>
    </xdr:from>
    <xdr:to>
      <xdr:col>7</xdr:col>
      <xdr:colOff>164646</xdr:colOff>
      <xdr:row>12</xdr:row>
      <xdr:rowOff>23791</xdr:rowOff>
    </xdr:to>
    <xdr:cxnSp macro="">
      <xdr:nvCxnSpPr>
        <xdr:cNvPr id="278055" name="直線コネクタ 278054"/>
        <xdr:cNvCxnSpPr/>
      </xdr:nvCxnSpPr>
      <xdr:spPr bwMode="auto">
        <a:xfrm>
          <a:off x="4946196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12</xdr:row>
      <xdr:rowOff>23791</xdr:rowOff>
    </xdr:from>
    <xdr:to>
      <xdr:col>7</xdr:col>
      <xdr:colOff>164646</xdr:colOff>
      <xdr:row>15</xdr:row>
      <xdr:rowOff>9096</xdr:rowOff>
    </xdr:to>
    <xdr:cxnSp macro="">
      <xdr:nvCxnSpPr>
        <xdr:cNvPr id="278056" name="直線コネクタ 278055"/>
        <xdr:cNvCxnSpPr/>
      </xdr:nvCxnSpPr>
      <xdr:spPr bwMode="auto">
        <a:xfrm>
          <a:off x="4946196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15</xdr:row>
      <xdr:rowOff>9096</xdr:rowOff>
    </xdr:from>
    <xdr:to>
      <xdr:col>7</xdr:col>
      <xdr:colOff>164646</xdr:colOff>
      <xdr:row>18</xdr:row>
      <xdr:rowOff>17139</xdr:rowOff>
    </xdr:to>
    <xdr:cxnSp macro="">
      <xdr:nvCxnSpPr>
        <xdr:cNvPr id="278057" name="直線コネクタ 278056"/>
        <xdr:cNvCxnSpPr/>
      </xdr:nvCxnSpPr>
      <xdr:spPr bwMode="auto">
        <a:xfrm>
          <a:off x="4946196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18</xdr:row>
      <xdr:rowOff>17139</xdr:rowOff>
    </xdr:from>
    <xdr:to>
      <xdr:col>7</xdr:col>
      <xdr:colOff>164646</xdr:colOff>
      <xdr:row>24</xdr:row>
      <xdr:rowOff>160564</xdr:rowOff>
    </xdr:to>
    <xdr:cxnSp macro="">
      <xdr:nvCxnSpPr>
        <xdr:cNvPr id="278070" name="直線コネクタ 278069"/>
        <xdr:cNvCxnSpPr/>
      </xdr:nvCxnSpPr>
      <xdr:spPr bwMode="auto">
        <a:xfrm>
          <a:off x="4946196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24</xdr:row>
      <xdr:rowOff>160564</xdr:rowOff>
    </xdr:from>
    <xdr:to>
      <xdr:col>7</xdr:col>
      <xdr:colOff>164646</xdr:colOff>
      <xdr:row>26</xdr:row>
      <xdr:rowOff>82550</xdr:rowOff>
    </xdr:to>
    <xdr:cxnSp macro="">
      <xdr:nvCxnSpPr>
        <xdr:cNvPr id="278072" name="直線コネクタ 278071"/>
        <xdr:cNvCxnSpPr/>
      </xdr:nvCxnSpPr>
      <xdr:spPr bwMode="auto">
        <a:xfrm>
          <a:off x="4946196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4</xdr:row>
      <xdr:rowOff>144840</xdr:rowOff>
    </xdr:from>
    <xdr:to>
      <xdr:col>8</xdr:col>
      <xdr:colOff>511628</xdr:colOff>
      <xdr:row>5</xdr:row>
      <xdr:rowOff>162681</xdr:rowOff>
    </xdr:to>
    <xdr:cxnSp macro="">
      <xdr:nvCxnSpPr>
        <xdr:cNvPr id="283134" name="直線コネクタ 283133"/>
        <xdr:cNvCxnSpPr/>
      </xdr:nvCxnSpPr>
      <xdr:spPr bwMode="auto">
        <a:xfrm>
          <a:off x="5969453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5</xdr:row>
      <xdr:rowOff>162681</xdr:rowOff>
    </xdr:from>
    <xdr:to>
      <xdr:col>8</xdr:col>
      <xdr:colOff>511628</xdr:colOff>
      <xdr:row>8</xdr:row>
      <xdr:rowOff>43386</xdr:rowOff>
    </xdr:to>
    <xdr:cxnSp macro="">
      <xdr:nvCxnSpPr>
        <xdr:cNvPr id="283135" name="直線コネクタ 283134"/>
        <xdr:cNvCxnSpPr/>
      </xdr:nvCxnSpPr>
      <xdr:spPr bwMode="auto">
        <a:xfrm>
          <a:off x="5969453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8</xdr:row>
      <xdr:rowOff>43386</xdr:rowOff>
    </xdr:from>
    <xdr:to>
      <xdr:col>8</xdr:col>
      <xdr:colOff>511628</xdr:colOff>
      <xdr:row>12</xdr:row>
      <xdr:rowOff>23791</xdr:rowOff>
    </xdr:to>
    <xdr:cxnSp macro="">
      <xdr:nvCxnSpPr>
        <xdr:cNvPr id="283392" name="直線コネクタ 283391"/>
        <xdr:cNvCxnSpPr/>
      </xdr:nvCxnSpPr>
      <xdr:spPr bwMode="auto">
        <a:xfrm>
          <a:off x="5969453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12</xdr:row>
      <xdr:rowOff>23791</xdr:rowOff>
    </xdr:from>
    <xdr:to>
      <xdr:col>8</xdr:col>
      <xdr:colOff>511628</xdr:colOff>
      <xdr:row>15</xdr:row>
      <xdr:rowOff>9096</xdr:rowOff>
    </xdr:to>
    <xdr:cxnSp macro="">
      <xdr:nvCxnSpPr>
        <xdr:cNvPr id="283393" name="直線コネクタ 283392"/>
        <xdr:cNvCxnSpPr/>
      </xdr:nvCxnSpPr>
      <xdr:spPr bwMode="auto">
        <a:xfrm>
          <a:off x="5969453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15</xdr:row>
      <xdr:rowOff>9096</xdr:rowOff>
    </xdr:from>
    <xdr:to>
      <xdr:col>8</xdr:col>
      <xdr:colOff>511628</xdr:colOff>
      <xdr:row>18</xdr:row>
      <xdr:rowOff>17139</xdr:rowOff>
    </xdr:to>
    <xdr:cxnSp macro="">
      <xdr:nvCxnSpPr>
        <xdr:cNvPr id="283394" name="直線コネクタ 283393"/>
        <xdr:cNvCxnSpPr/>
      </xdr:nvCxnSpPr>
      <xdr:spPr bwMode="auto">
        <a:xfrm>
          <a:off x="5969453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18</xdr:row>
      <xdr:rowOff>17139</xdr:rowOff>
    </xdr:from>
    <xdr:to>
      <xdr:col>8</xdr:col>
      <xdr:colOff>511628</xdr:colOff>
      <xdr:row>24</xdr:row>
      <xdr:rowOff>160564</xdr:rowOff>
    </xdr:to>
    <xdr:cxnSp macro="">
      <xdr:nvCxnSpPr>
        <xdr:cNvPr id="283395" name="直線コネクタ 283394"/>
        <xdr:cNvCxnSpPr/>
      </xdr:nvCxnSpPr>
      <xdr:spPr bwMode="auto">
        <a:xfrm>
          <a:off x="5969453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24</xdr:row>
      <xdr:rowOff>160564</xdr:rowOff>
    </xdr:from>
    <xdr:to>
      <xdr:col>8</xdr:col>
      <xdr:colOff>511628</xdr:colOff>
      <xdr:row>26</xdr:row>
      <xdr:rowOff>82550</xdr:rowOff>
    </xdr:to>
    <xdr:cxnSp macro="">
      <xdr:nvCxnSpPr>
        <xdr:cNvPr id="283396" name="直線コネクタ 283395"/>
        <xdr:cNvCxnSpPr/>
      </xdr:nvCxnSpPr>
      <xdr:spPr bwMode="auto">
        <a:xfrm>
          <a:off x="5969453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4</xdr:row>
      <xdr:rowOff>147960</xdr:rowOff>
    </xdr:from>
    <xdr:to>
      <xdr:col>8</xdr:col>
      <xdr:colOff>298699</xdr:colOff>
      <xdr:row>5</xdr:row>
      <xdr:rowOff>165801</xdr:rowOff>
    </xdr:to>
    <xdr:cxnSp macro="">
      <xdr:nvCxnSpPr>
        <xdr:cNvPr id="283397" name="直線コネクタ 283396"/>
        <xdr:cNvCxnSpPr/>
      </xdr:nvCxnSpPr>
      <xdr:spPr bwMode="auto">
        <a:xfrm flipH="1">
          <a:off x="5739919" y="986160"/>
          <a:ext cx="16605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253458</xdr:colOff>
      <xdr:row>5</xdr:row>
      <xdr:rowOff>114244</xdr:rowOff>
    </xdr:from>
    <xdr:to>
      <xdr:col>8</xdr:col>
      <xdr:colOff>282094</xdr:colOff>
      <xdr:row>5</xdr:row>
      <xdr:rowOff>165801</xdr:rowOff>
    </xdr:to>
    <xdr:cxnSp macro="">
      <xdr:nvCxnSpPr>
        <xdr:cNvPr id="283398" name="直線コネクタ 283397"/>
        <xdr:cNvCxnSpPr/>
      </xdr:nvCxnSpPr>
      <xdr:spPr bwMode="auto">
        <a:xfrm>
          <a:off x="5035008" y="1161994"/>
          <a:ext cx="704911" cy="515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5</xdr:row>
      <xdr:rowOff>165801</xdr:rowOff>
    </xdr:from>
    <xdr:to>
      <xdr:col>8</xdr:col>
      <xdr:colOff>600440</xdr:colOff>
      <xdr:row>5</xdr:row>
      <xdr:rowOff>189037</xdr:rowOff>
    </xdr:to>
    <xdr:cxnSp macro="">
      <xdr:nvCxnSpPr>
        <xdr:cNvPr id="283399" name="直線コネクタ 283398"/>
        <xdr:cNvCxnSpPr/>
      </xdr:nvCxnSpPr>
      <xdr:spPr bwMode="auto">
        <a:xfrm>
          <a:off x="5739919" y="1213551"/>
          <a:ext cx="318346" cy="232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236815</xdr:colOff>
      <xdr:row>5</xdr:row>
      <xdr:rowOff>114244</xdr:rowOff>
    </xdr:from>
    <xdr:to>
      <xdr:col>7</xdr:col>
      <xdr:colOff>253458</xdr:colOff>
      <xdr:row>6</xdr:row>
      <xdr:rowOff>132076</xdr:rowOff>
    </xdr:to>
    <xdr:cxnSp macro="">
      <xdr:nvCxnSpPr>
        <xdr:cNvPr id="283400" name="直線コネクタ 283399"/>
        <xdr:cNvCxnSpPr/>
      </xdr:nvCxnSpPr>
      <xdr:spPr bwMode="auto">
        <a:xfrm flipH="1">
          <a:off x="5018365" y="1161994"/>
          <a:ext cx="16643" cy="227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204557</xdr:colOff>
      <xdr:row>6</xdr:row>
      <xdr:rowOff>132076</xdr:rowOff>
    </xdr:from>
    <xdr:to>
      <xdr:col>7</xdr:col>
      <xdr:colOff>236815</xdr:colOff>
      <xdr:row>9</xdr:row>
      <xdr:rowOff>6803</xdr:rowOff>
    </xdr:to>
    <xdr:cxnSp macro="">
      <xdr:nvCxnSpPr>
        <xdr:cNvPr id="283401" name="直線コネクタ 283400"/>
        <xdr:cNvCxnSpPr/>
      </xdr:nvCxnSpPr>
      <xdr:spPr bwMode="auto">
        <a:xfrm flipH="1">
          <a:off x="4986107" y="1389376"/>
          <a:ext cx="32258" cy="5033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173154</xdr:colOff>
      <xdr:row>9</xdr:row>
      <xdr:rowOff>6803</xdr:rowOff>
    </xdr:from>
    <xdr:to>
      <xdr:col>7</xdr:col>
      <xdr:colOff>204557</xdr:colOff>
      <xdr:row>12</xdr:row>
      <xdr:rowOff>187693</xdr:rowOff>
    </xdr:to>
    <xdr:cxnSp macro="">
      <xdr:nvCxnSpPr>
        <xdr:cNvPr id="283402" name="直線コネクタ 283401"/>
        <xdr:cNvCxnSpPr/>
      </xdr:nvCxnSpPr>
      <xdr:spPr bwMode="auto">
        <a:xfrm flipH="1">
          <a:off x="4954704" y="1892753"/>
          <a:ext cx="31403" cy="8095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163061</xdr:colOff>
      <xdr:row>12</xdr:row>
      <xdr:rowOff>187693</xdr:rowOff>
    </xdr:from>
    <xdr:to>
      <xdr:col>7</xdr:col>
      <xdr:colOff>173154</xdr:colOff>
      <xdr:row>15</xdr:row>
      <xdr:rowOff>166671</xdr:rowOff>
    </xdr:to>
    <xdr:cxnSp macro="">
      <xdr:nvCxnSpPr>
        <xdr:cNvPr id="283403" name="直線コネクタ 283402"/>
        <xdr:cNvCxnSpPr/>
      </xdr:nvCxnSpPr>
      <xdr:spPr bwMode="auto">
        <a:xfrm flipH="1">
          <a:off x="4944611" y="2702293"/>
          <a:ext cx="10093" cy="6076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15</xdr:row>
      <xdr:rowOff>166671</xdr:rowOff>
    </xdr:from>
    <xdr:to>
      <xdr:col>7</xdr:col>
      <xdr:colOff>163061</xdr:colOff>
      <xdr:row>18</xdr:row>
      <xdr:rowOff>168732</xdr:rowOff>
    </xdr:to>
    <xdr:cxnSp macro="">
      <xdr:nvCxnSpPr>
        <xdr:cNvPr id="283404" name="直線コネクタ 283403"/>
        <xdr:cNvCxnSpPr/>
      </xdr:nvCxnSpPr>
      <xdr:spPr bwMode="auto">
        <a:xfrm flipH="1">
          <a:off x="4941667" y="3309921"/>
          <a:ext cx="2944" cy="630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18</xdr:row>
      <xdr:rowOff>168732</xdr:rowOff>
    </xdr:from>
    <xdr:to>
      <xdr:col>7</xdr:col>
      <xdr:colOff>162828</xdr:colOff>
      <xdr:row>25</xdr:row>
      <xdr:rowOff>94699</xdr:rowOff>
    </xdr:to>
    <xdr:cxnSp macro="">
      <xdr:nvCxnSpPr>
        <xdr:cNvPr id="283405" name="直線コネクタ 283404"/>
        <xdr:cNvCxnSpPr/>
      </xdr:nvCxnSpPr>
      <xdr:spPr bwMode="auto">
        <a:xfrm>
          <a:off x="4941667" y="3940632"/>
          <a:ext cx="2711" cy="1392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162828</xdr:colOff>
      <xdr:row>25</xdr:row>
      <xdr:rowOff>94699</xdr:rowOff>
    </xdr:from>
    <xdr:to>
      <xdr:col>7</xdr:col>
      <xdr:colOff>163779</xdr:colOff>
      <xdr:row>27</xdr:row>
      <xdr:rowOff>15997</xdr:rowOff>
    </xdr:to>
    <xdr:cxnSp macro="">
      <xdr:nvCxnSpPr>
        <xdr:cNvPr id="283406" name="直線コネクタ 283405"/>
        <xdr:cNvCxnSpPr/>
      </xdr:nvCxnSpPr>
      <xdr:spPr bwMode="auto">
        <a:xfrm>
          <a:off x="4944378" y="5333449"/>
          <a:ext cx="951" cy="340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583848</xdr:colOff>
      <xdr:row>5</xdr:row>
      <xdr:rowOff>189037</xdr:rowOff>
    </xdr:from>
    <xdr:to>
      <xdr:col>8</xdr:col>
      <xdr:colOff>600440</xdr:colOff>
      <xdr:row>6</xdr:row>
      <xdr:rowOff>206865</xdr:rowOff>
    </xdr:to>
    <xdr:cxnSp macro="">
      <xdr:nvCxnSpPr>
        <xdr:cNvPr id="283407" name="直線コネクタ 283406"/>
        <xdr:cNvCxnSpPr/>
      </xdr:nvCxnSpPr>
      <xdr:spPr bwMode="auto">
        <a:xfrm flipH="1">
          <a:off x="6041673" y="1236787"/>
          <a:ext cx="16592" cy="2273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551664</xdr:colOff>
      <xdr:row>6</xdr:row>
      <xdr:rowOff>206865</xdr:rowOff>
    </xdr:from>
    <xdr:to>
      <xdr:col>8</xdr:col>
      <xdr:colOff>583848</xdr:colOff>
      <xdr:row>9</xdr:row>
      <xdr:rowOff>79095</xdr:rowOff>
    </xdr:to>
    <xdr:cxnSp macro="">
      <xdr:nvCxnSpPr>
        <xdr:cNvPr id="283408" name="直線コネクタ 283407"/>
        <xdr:cNvCxnSpPr/>
      </xdr:nvCxnSpPr>
      <xdr:spPr bwMode="auto">
        <a:xfrm flipH="1">
          <a:off x="6009489" y="1464165"/>
          <a:ext cx="32184" cy="500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520269</xdr:colOff>
      <xdr:row>9</xdr:row>
      <xdr:rowOff>79095</xdr:rowOff>
    </xdr:from>
    <xdr:to>
      <xdr:col>8</xdr:col>
      <xdr:colOff>551664</xdr:colOff>
      <xdr:row>13</xdr:row>
      <xdr:rowOff>46644</xdr:rowOff>
    </xdr:to>
    <xdr:cxnSp macro="">
      <xdr:nvCxnSpPr>
        <xdr:cNvPr id="283409" name="直線コネクタ 283408"/>
        <xdr:cNvCxnSpPr/>
      </xdr:nvCxnSpPr>
      <xdr:spPr bwMode="auto">
        <a:xfrm flipH="1">
          <a:off x="5978094" y="1965045"/>
          <a:ext cx="31395" cy="8057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510140</xdr:colOff>
      <xdr:row>13</xdr:row>
      <xdr:rowOff>46644</xdr:rowOff>
    </xdr:from>
    <xdr:to>
      <xdr:col>8</xdr:col>
      <xdr:colOff>520269</xdr:colOff>
      <xdr:row>16</xdr:row>
      <xdr:rowOff>22979</xdr:rowOff>
    </xdr:to>
    <xdr:cxnSp macro="">
      <xdr:nvCxnSpPr>
        <xdr:cNvPr id="283410" name="直線コネクタ 283409"/>
        <xdr:cNvCxnSpPr/>
      </xdr:nvCxnSpPr>
      <xdr:spPr bwMode="auto">
        <a:xfrm flipH="1">
          <a:off x="5967965" y="2770794"/>
          <a:ext cx="10129" cy="6049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16</xdr:row>
      <xdr:rowOff>22979</xdr:rowOff>
    </xdr:from>
    <xdr:to>
      <xdr:col>8</xdr:col>
      <xdr:colOff>510140</xdr:colOff>
      <xdr:row>19</xdr:row>
      <xdr:rowOff>22539</xdr:rowOff>
    </xdr:to>
    <xdr:cxnSp macro="">
      <xdr:nvCxnSpPr>
        <xdr:cNvPr id="283411" name="直線コネクタ 283410"/>
        <xdr:cNvCxnSpPr/>
      </xdr:nvCxnSpPr>
      <xdr:spPr bwMode="auto">
        <a:xfrm flipH="1">
          <a:off x="5964974" y="3375779"/>
          <a:ext cx="2991" cy="628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19</xdr:row>
      <xdr:rowOff>22539</xdr:rowOff>
    </xdr:from>
    <xdr:to>
      <xdr:col>8</xdr:col>
      <xdr:colOff>509779</xdr:colOff>
      <xdr:row>25</xdr:row>
      <xdr:rowOff>154752</xdr:rowOff>
    </xdr:to>
    <xdr:cxnSp macro="">
      <xdr:nvCxnSpPr>
        <xdr:cNvPr id="283412" name="直線コネクタ 283411"/>
        <xdr:cNvCxnSpPr/>
      </xdr:nvCxnSpPr>
      <xdr:spPr bwMode="auto">
        <a:xfrm>
          <a:off x="5964974" y="4003989"/>
          <a:ext cx="2630" cy="13895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509779</xdr:colOff>
      <xdr:row>25</xdr:row>
      <xdr:rowOff>154752</xdr:rowOff>
    </xdr:from>
    <xdr:to>
      <xdr:col>8</xdr:col>
      <xdr:colOff>510711</xdr:colOff>
      <xdr:row>27</xdr:row>
      <xdr:rowOff>75762</xdr:rowOff>
    </xdr:to>
    <xdr:cxnSp macro="">
      <xdr:nvCxnSpPr>
        <xdr:cNvPr id="283413" name="直線コネクタ 283412"/>
        <xdr:cNvCxnSpPr/>
      </xdr:nvCxnSpPr>
      <xdr:spPr bwMode="auto">
        <a:xfrm>
          <a:off x="5967604" y="5393502"/>
          <a:ext cx="932" cy="3401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3414" name="テキスト ボックス 283413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3415" name="直線コネクタ 283414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3416" name="テキスト ボックス 283415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3417" name="直線コネクタ 283416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49" zoomScaleNormal="100" workbookViewId="0">
      <selection activeCell="A79" sqref="A79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54" t="s">
        <v>229</v>
      </c>
      <c r="C13" s="154"/>
      <c r="D13" s="154"/>
      <c r="E13" s="154"/>
      <c r="F13" s="154"/>
      <c r="G13" s="154"/>
      <c r="H13" s="154"/>
      <c r="I13" s="154"/>
      <c r="J13" s="154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54" t="s">
        <v>230</v>
      </c>
      <c r="C15" s="154"/>
      <c r="D15" s="154"/>
      <c r="E15" s="154"/>
      <c r="F15" s="154"/>
      <c r="G15" s="154"/>
      <c r="H15" s="154"/>
      <c r="I15" s="154"/>
      <c r="J15" s="154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55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55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112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r:id="rId8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r:id="rId10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zoomScale="85" zoomScaleNormal="85" workbookViewId="0">
      <selection activeCell="M54" sqref="M54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148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44"/>
      <c r="B4" s="21"/>
      <c r="C4" s="21"/>
      <c r="D4" s="21"/>
    </row>
    <row r="5" spans="1:4" ht="13.5" customHeight="1">
      <c r="A5" s="22" t="s">
        <v>149</v>
      </c>
      <c r="B5" s="22" t="s">
        <v>150</v>
      </c>
      <c r="C5" s="22" t="s">
        <v>152</v>
      </c>
      <c r="D5" s="23" t="s">
        <v>154</v>
      </c>
    </row>
    <row r="6" spans="1:4" ht="13.5" customHeight="1">
      <c r="A6" s="22">
        <v>1</v>
      </c>
      <c r="B6" s="41">
        <v>3</v>
      </c>
      <c r="C6" s="41">
        <f>C7-1</f>
        <v>-2</v>
      </c>
      <c r="D6" s="41">
        <v>0</v>
      </c>
    </row>
    <row r="7" spans="1:4" ht="13.5" customHeight="1">
      <c r="A7" s="22">
        <v>2</v>
      </c>
      <c r="B7" s="41">
        <v>0</v>
      </c>
      <c r="C7" s="41">
        <f>C8</f>
        <v>-1</v>
      </c>
      <c r="D7" s="41">
        <v>0</v>
      </c>
    </row>
    <row r="8" spans="1:4" ht="13.5" customHeight="1">
      <c r="A8" s="22">
        <v>3</v>
      </c>
      <c r="B8" s="41">
        <v>3</v>
      </c>
      <c r="C8" s="41">
        <f>C9</f>
        <v>-1</v>
      </c>
      <c r="D8" s="41">
        <v>0</v>
      </c>
    </row>
    <row r="9" spans="1:4" ht="13.5" customHeight="1">
      <c r="A9" s="22">
        <v>4</v>
      </c>
      <c r="B9" s="41">
        <v>4.5</v>
      </c>
      <c r="C9" s="41">
        <f>C10-1</f>
        <v>-1</v>
      </c>
      <c r="D9" s="41">
        <v>0</v>
      </c>
    </row>
    <row r="10" spans="1:4" ht="13.5" customHeight="1">
      <c r="A10" s="22">
        <v>5</v>
      </c>
      <c r="B10" s="41">
        <v>0</v>
      </c>
      <c r="C10" s="41">
        <v>0</v>
      </c>
      <c r="D10" s="41">
        <v>0</v>
      </c>
    </row>
    <row r="11" spans="1:4" ht="13.5" customHeight="1">
      <c r="A11" s="22">
        <v>6</v>
      </c>
      <c r="B11" s="41">
        <f>B9</f>
        <v>4.5</v>
      </c>
      <c r="C11" s="41">
        <f>C10</f>
        <v>0</v>
      </c>
      <c r="D11" s="41">
        <v>0</v>
      </c>
    </row>
    <row r="12" spans="1:4" ht="13.5" customHeight="1">
      <c r="A12" s="22">
        <v>7</v>
      </c>
      <c r="B12" s="41">
        <f>B10</f>
        <v>0</v>
      </c>
      <c r="C12" s="41">
        <f>C10+2.24</f>
        <v>2.2400000000000002</v>
      </c>
      <c r="D12" s="41">
        <v>0</v>
      </c>
    </row>
    <row r="13" spans="1:4" ht="13.5" customHeight="1">
      <c r="A13" s="22">
        <v>8</v>
      </c>
      <c r="B13" s="41">
        <f t="shared" ref="B13:B19" si="0">B11</f>
        <v>4.5</v>
      </c>
      <c r="C13" s="41">
        <f>C12</f>
        <v>2.2400000000000002</v>
      </c>
      <c r="D13" s="41"/>
    </row>
    <row r="14" spans="1:4" ht="13.5" customHeight="1">
      <c r="A14" s="22">
        <v>9</v>
      </c>
      <c r="B14" s="41">
        <f t="shared" si="0"/>
        <v>0</v>
      </c>
      <c r="C14" s="41">
        <f>C12+3.6</f>
        <v>5.84</v>
      </c>
      <c r="D14" s="41"/>
    </row>
    <row r="15" spans="1:4" ht="13.5" customHeight="1">
      <c r="A15" s="22">
        <v>10</v>
      </c>
      <c r="B15" s="41">
        <f t="shared" si="0"/>
        <v>4.5</v>
      </c>
      <c r="C15" s="41">
        <f>C14</f>
        <v>5.84</v>
      </c>
      <c r="D15" s="41"/>
    </row>
    <row r="16" spans="1:4" ht="13.5" customHeight="1">
      <c r="A16" s="22">
        <v>11</v>
      </c>
      <c r="B16" s="41">
        <f t="shared" si="0"/>
        <v>0</v>
      </c>
      <c r="C16" s="41">
        <f>C14+2.7</f>
        <v>8.5399999999999991</v>
      </c>
      <c r="D16" s="41"/>
    </row>
    <row r="17" spans="1:4" ht="13.5" customHeight="1">
      <c r="A17" s="22">
        <v>12</v>
      </c>
      <c r="B17" s="41">
        <f t="shared" si="0"/>
        <v>4.5</v>
      </c>
      <c r="C17" s="41">
        <f>C16</f>
        <v>8.5399999999999991</v>
      </c>
      <c r="D17" s="41"/>
    </row>
    <row r="18" spans="1:4" ht="13.5" customHeight="1">
      <c r="A18" s="22">
        <v>13</v>
      </c>
      <c r="B18" s="41">
        <f t="shared" si="0"/>
        <v>0</v>
      </c>
      <c r="C18" s="41">
        <f>C16+2.8</f>
        <v>11.34</v>
      </c>
      <c r="D18" s="41"/>
    </row>
    <row r="19" spans="1:4" ht="13.5" customHeight="1">
      <c r="A19" s="22">
        <v>14</v>
      </c>
      <c r="B19" s="41">
        <f t="shared" si="0"/>
        <v>4.5</v>
      </c>
      <c r="C19" s="41">
        <f>C18</f>
        <v>11.34</v>
      </c>
    </row>
    <row r="20" spans="1:4" ht="13.5" customHeight="1">
      <c r="A20" s="22">
        <v>15</v>
      </c>
      <c r="B20" s="41">
        <f>B18</f>
        <v>0</v>
      </c>
      <c r="C20" s="125">
        <f>C22-1.5</f>
        <v>19.5</v>
      </c>
    </row>
    <row r="21" spans="1:4" ht="13.5" customHeight="1">
      <c r="A21" s="22">
        <v>16</v>
      </c>
      <c r="B21" s="41">
        <f>B19</f>
        <v>4.5</v>
      </c>
      <c r="C21" s="125">
        <f>C23-1.5</f>
        <v>19.5</v>
      </c>
    </row>
    <row r="22" spans="1:4" ht="13.5" customHeight="1">
      <c r="A22" s="22">
        <v>17</v>
      </c>
      <c r="B22" s="41">
        <f>B20</f>
        <v>0</v>
      </c>
      <c r="C22" s="41">
        <f>C18+9.66</f>
        <v>21</v>
      </c>
    </row>
    <row r="23" spans="1:4" ht="13.5" customHeight="1">
      <c r="A23" s="22">
        <v>18</v>
      </c>
      <c r="B23" s="41">
        <f>B21</f>
        <v>4.5</v>
      </c>
      <c r="C23" s="41">
        <f>C22</f>
        <v>21</v>
      </c>
    </row>
    <row r="24" spans="1:4" ht="13.5" customHeight="1">
      <c r="B24" s="41"/>
      <c r="C24" s="41"/>
    </row>
    <row r="25" spans="1:4" ht="13.5" customHeight="1">
      <c r="B25" s="41"/>
      <c r="C25" s="41"/>
    </row>
    <row r="26" spans="1:4" ht="13.5" customHeight="1">
      <c r="B26" s="41"/>
      <c r="C26" s="41"/>
    </row>
    <row r="27" spans="1:4" ht="13.5" customHeight="1">
      <c r="B27" s="41"/>
      <c r="C27" s="41"/>
    </row>
    <row r="28" spans="1:4" ht="13.5" customHeight="1">
      <c r="B28" s="41"/>
      <c r="C28" s="41"/>
    </row>
    <row r="29" spans="1:4" ht="13.5" customHeight="1">
      <c r="B29" s="41"/>
      <c r="C29" s="41"/>
    </row>
    <row r="30" spans="1:4" ht="13.5" customHeight="1">
      <c r="B30" s="41"/>
      <c r="C30" s="41"/>
    </row>
    <row r="31" spans="1:4" ht="13.5" customHeight="1">
      <c r="B31" s="41"/>
      <c r="C31" s="41"/>
    </row>
    <row r="32" spans="1:4" ht="13.5" customHeight="1">
      <c r="B32" s="41"/>
      <c r="C32" s="41"/>
    </row>
    <row r="33" spans="2:3" ht="13.5" customHeight="1">
      <c r="B33" s="41"/>
      <c r="C33" s="41"/>
    </row>
    <row r="34" spans="2:3" ht="13.5" customHeight="1">
      <c r="B34" s="41"/>
      <c r="C34" s="41"/>
    </row>
    <row r="35" spans="2:3" ht="13.5" customHeight="1">
      <c r="B35" s="41"/>
      <c r="C35" s="41"/>
    </row>
    <row r="36" spans="2:3" ht="13.5" customHeight="1">
      <c r="B36" s="41"/>
      <c r="C36" s="41"/>
    </row>
    <row r="37" spans="2:3" ht="13.5" customHeight="1">
      <c r="B37" s="41"/>
      <c r="C37" s="41"/>
    </row>
    <row r="38" spans="2:3" ht="13.5" customHeight="1">
      <c r="B38" s="41"/>
      <c r="C38" s="41"/>
    </row>
    <row r="39" spans="2:3" ht="13.5" customHeight="1">
      <c r="B39" s="41"/>
      <c r="C39" s="41"/>
    </row>
    <row r="40" spans="2:3" ht="13.5" customHeight="1">
      <c r="B40" s="41"/>
      <c r="C40" s="41"/>
    </row>
    <row r="41" spans="2:3" ht="13.5" customHeight="1">
      <c r="B41" s="41"/>
      <c r="C41" s="41"/>
    </row>
    <row r="42" spans="2:3" ht="13.5" customHeight="1">
      <c r="B42" s="41"/>
      <c r="C42" s="41"/>
    </row>
    <row r="43" spans="2:3" ht="13.5" customHeight="1">
      <c r="B43" s="41"/>
      <c r="C43" s="41"/>
    </row>
    <row r="44" spans="2:3" ht="13.5" customHeight="1">
      <c r="B44" s="41"/>
      <c r="C44" s="41"/>
    </row>
    <row r="45" spans="2:3" ht="13.5" customHeight="1">
      <c r="B45" s="41"/>
      <c r="C45" s="41"/>
    </row>
    <row r="46" spans="2:3" ht="13.5" customHeight="1">
      <c r="B46" s="41"/>
      <c r="C46" s="41"/>
    </row>
    <row r="47" spans="2:3" ht="13.5" customHeight="1">
      <c r="B47" s="41"/>
      <c r="C47" s="41"/>
    </row>
    <row r="48" spans="2:3" ht="13.5" customHeight="1">
      <c r="B48" s="41"/>
      <c r="C48" s="41"/>
    </row>
    <row r="49" spans="2:3" ht="13.5" customHeight="1">
      <c r="B49" s="41"/>
      <c r="C49" s="41"/>
    </row>
    <row r="50" spans="2:3" ht="13.5" customHeight="1">
      <c r="B50" s="41"/>
      <c r="C50" s="41"/>
    </row>
    <row r="51" spans="2:3" ht="13.5" customHeight="1">
      <c r="B51" s="125"/>
      <c r="C51" s="41"/>
    </row>
    <row r="52" spans="2:3" ht="13.5" customHeight="1">
      <c r="B52" s="125"/>
      <c r="C52" s="41"/>
    </row>
    <row r="53" spans="2:3" ht="13.5" customHeight="1">
      <c r="B53" s="125"/>
      <c r="C53" s="41"/>
    </row>
    <row r="54" spans="2:3" ht="13.5" customHeight="1">
      <c r="B54" s="125"/>
      <c r="C54" s="41"/>
    </row>
    <row r="55" spans="2:3" ht="13.5" customHeight="1">
      <c r="B55" s="125"/>
      <c r="C55" s="41"/>
    </row>
    <row r="56" spans="2:3" ht="13.5" customHeight="1">
      <c r="B56" s="41"/>
      <c r="C56" s="41"/>
    </row>
    <row r="57" spans="2:3" ht="13.5" customHeight="1">
      <c r="B57" s="125"/>
      <c r="C57" s="41"/>
    </row>
    <row r="58" spans="2:3" ht="13.5" customHeight="1">
      <c r="B58" s="125"/>
      <c r="C58" s="41"/>
    </row>
    <row r="59" spans="2:3" ht="13.5" customHeight="1">
      <c r="B59" s="125"/>
      <c r="C59" s="41"/>
    </row>
    <row r="60" spans="2:3" ht="13.5" customHeight="1">
      <c r="B60" s="125"/>
      <c r="C60" s="41"/>
    </row>
    <row r="61" spans="2:3" ht="13.5" customHeight="1">
      <c r="B61" s="125"/>
      <c r="C61" s="41"/>
    </row>
    <row r="62" spans="2:3" ht="13.5" customHeight="1">
      <c r="B62" s="125"/>
      <c r="C62" s="41"/>
    </row>
    <row r="63" spans="2:3" ht="13.5" customHeight="1">
      <c r="B63" s="125"/>
      <c r="C63" s="41"/>
    </row>
    <row r="64" spans="2:3" ht="13.5" customHeight="1">
      <c r="B64" s="125"/>
      <c r="C64" s="41"/>
    </row>
    <row r="65" spans="2:3" ht="13.5" customHeight="1">
      <c r="B65" s="125"/>
      <c r="C65" s="41"/>
    </row>
    <row r="66" spans="2:3" ht="13.5" customHeight="1">
      <c r="B66" s="125"/>
      <c r="C66" s="41"/>
    </row>
    <row r="67" spans="2:3" ht="13.5" customHeight="1">
      <c r="B67" s="125"/>
      <c r="C67" s="41"/>
    </row>
    <row r="68" spans="2:3" ht="13.5" customHeight="1">
      <c r="B68" s="125"/>
      <c r="C68" s="41"/>
    </row>
    <row r="69" spans="2:3" ht="13.5" customHeight="1">
      <c r="B69" s="125"/>
      <c r="C69" s="41"/>
    </row>
    <row r="70" spans="2:3" ht="13.5" customHeight="1">
      <c r="B70" s="125"/>
      <c r="C70" s="41"/>
    </row>
    <row r="71" spans="2:3" ht="13.5" customHeight="1">
      <c r="B71" s="125"/>
      <c r="C71" s="41"/>
    </row>
    <row r="72" spans="2:3" ht="13.5" customHeight="1">
      <c r="B72" s="125"/>
      <c r="C72" s="41"/>
    </row>
    <row r="73" spans="2:3" ht="13.5" customHeight="1">
      <c r="B73" s="125"/>
      <c r="C73" s="41"/>
    </row>
    <row r="74" spans="2:3" ht="13.5" customHeight="1">
      <c r="B74" s="125"/>
      <c r="C74" s="41"/>
    </row>
    <row r="75" spans="2:3" ht="13.5" customHeight="1">
      <c r="B75" s="125"/>
      <c r="C75" s="41"/>
    </row>
    <row r="76" spans="2:3" ht="13.5" customHeight="1">
      <c r="B76" s="125"/>
      <c r="C76" s="41"/>
    </row>
    <row r="77" spans="2:3" ht="13.5" customHeight="1">
      <c r="B77" s="125"/>
      <c r="C77" s="41"/>
    </row>
    <row r="78" spans="2:3" ht="13.5" customHeight="1">
      <c r="B78" s="125"/>
      <c r="C78" s="41"/>
    </row>
    <row r="79" spans="2:3" ht="13.5" customHeight="1">
      <c r="B79" s="125"/>
      <c r="C79" s="41"/>
    </row>
    <row r="80" spans="2:3" ht="13.5" customHeight="1">
      <c r="B80" s="125"/>
      <c r="C80" s="41"/>
    </row>
    <row r="81" spans="2:3" ht="13.5" customHeight="1">
      <c r="B81" s="125"/>
      <c r="C81" s="41"/>
    </row>
    <row r="82" spans="2:3" ht="13.5" customHeight="1">
      <c r="B82" s="125"/>
      <c r="C82" s="41"/>
    </row>
    <row r="83" spans="2:3" ht="13.5" customHeight="1">
      <c r="B83" s="125"/>
      <c r="C83" s="41"/>
    </row>
    <row r="84" spans="2:3" ht="13.5" customHeight="1">
      <c r="B84" s="125"/>
      <c r="C84" s="41"/>
    </row>
    <row r="85" spans="2:3" ht="13.5" customHeight="1">
      <c r="B85" s="125"/>
      <c r="C85" s="41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sqref="A1:XFD1048576"/>
    </sheetView>
  </sheetViews>
  <sheetFormatPr defaultColWidth="13.625" defaultRowHeight="13.5" customHeight="1"/>
  <cols>
    <col min="1" max="1" width="8.875" style="43" customWidth="1"/>
    <col min="2" max="3" width="13.625" style="40" customWidth="1"/>
    <col min="4" max="4" width="13.625" style="40" hidden="1" customWidth="1"/>
    <col min="5" max="5" width="13.625" style="40" hidden="1" customWidth="1" collapsed="1"/>
    <col min="6" max="6" width="13.625" style="40" hidden="1" customWidth="1"/>
    <col min="7" max="9" width="13.625" style="40" customWidth="1"/>
    <col min="10" max="12" width="13.625" style="40" hidden="1" customWidth="1"/>
    <col min="13" max="15" width="13.625" style="40" customWidth="1"/>
    <col min="16" max="18" width="13.625" style="40" hidden="1" customWidth="1"/>
    <col min="19" max="19" width="13.625" style="40" customWidth="1"/>
    <col min="20" max="16384" width="13.625" style="19"/>
  </cols>
  <sheetData>
    <row r="1" spans="1:19" ht="13.5" customHeight="1">
      <c r="A1" s="29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</row>
    <row r="2" spans="1:19" ht="13.5" customHeight="1">
      <c r="A2" s="31" t="s">
        <v>48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</row>
    <row r="3" spans="1:19" ht="13.5" customHeight="1">
      <c r="A3" s="29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</row>
    <row r="4" spans="1:19" ht="13.5" customHeight="1">
      <c r="A4" s="29"/>
      <c r="B4" s="38" t="s">
        <v>109</v>
      </c>
      <c r="C4" s="39"/>
      <c r="D4" s="39"/>
      <c r="E4" s="39"/>
      <c r="F4" s="39"/>
      <c r="G4" s="39"/>
      <c r="H4" s="39"/>
      <c r="I4" s="39"/>
      <c r="J4" s="39"/>
      <c r="K4" s="38"/>
      <c r="L4" s="39"/>
      <c r="M4" s="39"/>
      <c r="N4" s="39"/>
      <c r="O4" s="39"/>
      <c r="P4" s="39"/>
      <c r="Q4" s="38"/>
      <c r="R4" s="39"/>
      <c r="S4" s="39"/>
    </row>
    <row r="5" spans="1:19" ht="13.5" customHeight="1">
      <c r="A5" s="158" t="s">
        <v>37</v>
      </c>
      <c r="B5" s="160" t="s">
        <v>155</v>
      </c>
      <c r="C5" s="160"/>
      <c r="D5" s="160"/>
      <c r="E5" s="160"/>
      <c r="F5" s="160"/>
      <c r="G5" s="160"/>
      <c r="H5" s="161" t="s">
        <v>50</v>
      </c>
      <c r="I5" s="161"/>
      <c r="J5" s="161"/>
      <c r="K5" s="161"/>
      <c r="L5" s="161"/>
      <c r="M5" s="161"/>
      <c r="N5" s="156" t="s">
        <v>156</v>
      </c>
      <c r="O5" s="156"/>
      <c r="P5" s="156"/>
      <c r="Q5" s="156"/>
      <c r="R5" s="156"/>
      <c r="S5" s="156"/>
    </row>
    <row r="6" spans="1:19" ht="13.5" customHeight="1">
      <c r="A6" s="158"/>
      <c r="B6" s="159" t="s">
        <v>33</v>
      </c>
      <c r="C6" s="159"/>
      <c r="D6" s="159"/>
      <c r="E6" s="159" t="s">
        <v>34</v>
      </c>
      <c r="F6" s="159"/>
      <c r="G6" s="159"/>
      <c r="H6" s="162" t="s">
        <v>33</v>
      </c>
      <c r="I6" s="162"/>
      <c r="J6" s="162"/>
      <c r="K6" s="162" t="s">
        <v>34</v>
      </c>
      <c r="L6" s="162"/>
      <c r="M6" s="162"/>
      <c r="N6" s="157" t="s">
        <v>33</v>
      </c>
      <c r="O6" s="157"/>
      <c r="P6" s="157"/>
      <c r="Q6" s="157" t="s">
        <v>34</v>
      </c>
      <c r="R6" s="157"/>
      <c r="S6" s="157"/>
    </row>
    <row r="7" spans="1:19" ht="13.5" customHeight="1">
      <c r="A7" s="158"/>
      <c r="B7" s="117" t="s">
        <v>150</v>
      </c>
      <c r="C7" s="117" t="s">
        <v>151</v>
      </c>
      <c r="D7" s="117" t="s">
        <v>153</v>
      </c>
      <c r="E7" s="117" t="s">
        <v>150</v>
      </c>
      <c r="F7" s="117" t="s">
        <v>151</v>
      </c>
      <c r="G7" s="117" t="s">
        <v>153</v>
      </c>
      <c r="H7" s="118" t="s">
        <v>150</v>
      </c>
      <c r="I7" s="118" t="s">
        <v>151</v>
      </c>
      <c r="J7" s="118" t="s">
        <v>153</v>
      </c>
      <c r="K7" s="118" t="s">
        <v>150</v>
      </c>
      <c r="L7" s="118" t="s">
        <v>151</v>
      </c>
      <c r="M7" s="118" t="s">
        <v>153</v>
      </c>
      <c r="N7" s="116" t="s">
        <v>150</v>
      </c>
      <c r="O7" s="116" t="s">
        <v>151</v>
      </c>
      <c r="P7" s="116" t="s">
        <v>153</v>
      </c>
      <c r="Q7" s="116" t="s">
        <v>150</v>
      </c>
      <c r="R7" s="116" t="s">
        <v>151</v>
      </c>
      <c r="S7" s="116" t="s">
        <v>153</v>
      </c>
    </row>
    <row r="8" spans="1:19" ht="13.5" customHeight="1">
      <c r="A8" s="42">
        <v>17</v>
      </c>
      <c r="C8" s="40">
        <f>2*82862</f>
        <v>165724</v>
      </c>
      <c r="D8" s="40">
        <v>0</v>
      </c>
      <c r="I8" s="40">
        <f>165723*2</f>
        <v>331446</v>
      </c>
    </row>
    <row r="9" spans="1:19" ht="13.5" customHeight="1">
      <c r="A9" s="42">
        <v>18</v>
      </c>
      <c r="C9" s="40">
        <f>C8</f>
        <v>165724</v>
      </c>
      <c r="D9" s="40">
        <v>0</v>
      </c>
      <c r="I9" s="40">
        <f>I8</f>
        <v>331446</v>
      </c>
    </row>
    <row r="10" spans="1:19" ht="13.5" customHeight="1">
      <c r="A10" s="42"/>
    </row>
    <row r="11" spans="1:19" ht="13.5" customHeight="1">
      <c r="A11" s="42"/>
    </row>
    <row r="12" spans="1:19" ht="13.5" customHeight="1">
      <c r="A12" s="42"/>
    </row>
    <row r="13" spans="1:19" ht="13.5" customHeight="1">
      <c r="A13" s="42"/>
    </row>
    <row r="14" spans="1:19" ht="13.5" customHeight="1">
      <c r="A14" s="42"/>
    </row>
    <row r="15" spans="1:19" ht="13.5" customHeight="1">
      <c r="A15" s="42"/>
      <c r="D15" s="40">
        <v>2</v>
      </c>
    </row>
    <row r="16" spans="1:19" ht="13.5" customHeight="1">
      <c r="A16" s="42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22"/>
  <sheetViews>
    <sheetView zoomScale="85" zoomScaleNormal="85" workbookViewId="0">
      <selection sqref="A1:XFD1048576"/>
    </sheetView>
  </sheetViews>
  <sheetFormatPr defaultColWidth="10.875" defaultRowHeight="13.5" customHeight="1"/>
  <cols>
    <col min="1" max="1" width="10.875" style="22" customWidth="1"/>
    <col min="2" max="3" width="10.875" style="115" customWidth="1"/>
    <col min="4" max="4" width="10.875" style="35" customWidth="1"/>
    <col min="5" max="5" width="10.875" style="45" customWidth="1"/>
    <col min="6" max="6" width="10.875" style="36" hidden="1" customWidth="1"/>
    <col min="7" max="7" width="10.875" style="46" customWidth="1"/>
    <col min="8" max="16384" width="10.875" style="19"/>
  </cols>
  <sheetData>
    <row r="1" spans="1:7" ht="13.5" customHeight="1">
      <c r="A1" s="29"/>
      <c r="B1" s="74"/>
      <c r="C1" s="74"/>
      <c r="D1" s="30"/>
      <c r="E1" s="29"/>
      <c r="F1" s="18"/>
      <c r="G1" s="47"/>
    </row>
    <row r="2" spans="1:7" ht="13.5" customHeight="1">
      <c r="A2" s="31" t="s">
        <v>51</v>
      </c>
      <c r="B2" s="74"/>
      <c r="C2" s="74"/>
      <c r="D2" s="30"/>
      <c r="E2" s="29"/>
      <c r="F2" s="18"/>
      <c r="G2" s="47"/>
    </row>
    <row r="3" spans="1:7" ht="13.5" customHeight="1">
      <c r="A3" s="32"/>
      <c r="B3" s="74"/>
      <c r="C3" s="112"/>
      <c r="D3" s="30"/>
      <c r="E3" s="29"/>
      <c r="F3" s="18"/>
      <c r="G3" s="47"/>
    </row>
    <row r="4" spans="1:7" ht="13.5" customHeight="1">
      <c r="A4" s="33"/>
      <c r="B4" s="113"/>
      <c r="C4" s="113"/>
      <c r="D4" s="30"/>
      <c r="E4" s="44"/>
      <c r="F4" s="21"/>
      <c r="G4" s="47"/>
    </row>
    <row r="5" spans="1:7" ht="13.5" customHeight="1">
      <c r="A5" s="119" t="s">
        <v>157</v>
      </c>
      <c r="B5" s="121" t="s">
        <v>25</v>
      </c>
      <c r="C5" s="121" t="s">
        <v>26</v>
      </c>
      <c r="D5" s="121" t="s">
        <v>94</v>
      </c>
      <c r="E5" s="34" t="s">
        <v>108</v>
      </c>
      <c r="F5" s="34" t="s">
        <v>158</v>
      </c>
    </row>
    <row r="6" spans="1:7" ht="13.5" customHeight="1">
      <c r="A6" s="22">
        <v>1</v>
      </c>
      <c r="B6" s="114">
        <v>1</v>
      </c>
      <c r="C6" s="114">
        <v>3</v>
      </c>
      <c r="D6" s="35">
        <v>1</v>
      </c>
      <c r="E6" s="45">
        <v>1</v>
      </c>
      <c r="F6" s="36">
        <v>0</v>
      </c>
    </row>
    <row r="7" spans="1:7" ht="13.5" customHeight="1">
      <c r="A7" s="22">
        <v>2</v>
      </c>
      <c r="B7" s="114">
        <v>2</v>
      </c>
      <c r="C7" s="114">
        <v>3</v>
      </c>
      <c r="D7" s="35">
        <v>3</v>
      </c>
      <c r="E7" s="45">
        <v>1</v>
      </c>
      <c r="F7" s="36">
        <v>0</v>
      </c>
    </row>
    <row r="8" spans="1:7" ht="13.5" customHeight="1">
      <c r="A8" s="22">
        <v>3</v>
      </c>
      <c r="B8" s="114">
        <v>3</v>
      </c>
      <c r="C8" s="114">
        <v>4</v>
      </c>
      <c r="D8" s="35">
        <v>1.3</v>
      </c>
      <c r="E8" s="45">
        <v>1</v>
      </c>
      <c r="F8" s="36">
        <v>0</v>
      </c>
    </row>
    <row r="9" spans="1:7" ht="13.5" customHeight="1">
      <c r="A9" s="22">
        <v>4</v>
      </c>
      <c r="B9" s="114">
        <v>2</v>
      </c>
      <c r="C9" s="114">
        <v>5</v>
      </c>
      <c r="D9" s="35">
        <v>1</v>
      </c>
      <c r="E9" s="45">
        <v>1</v>
      </c>
      <c r="F9" s="36">
        <v>0</v>
      </c>
    </row>
    <row r="10" spans="1:7" ht="13.5" customHeight="1">
      <c r="A10" s="22">
        <v>5</v>
      </c>
      <c r="B10" s="114">
        <v>5</v>
      </c>
      <c r="C10" s="114">
        <v>7</v>
      </c>
      <c r="D10" s="35">
        <v>2.2400000000000002</v>
      </c>
      <c r="E10" s="45">
        <v>2</v>
      </c>
      <c r="F10" s="36">
        <v>0</v>
      </c>
    </row>
    <row r="11" spans="1:7" ht="13.5" customHeight="1">
      <c r="A11" s="22">
        <v>6</v>
      </c>
      <c r="B11" s="114">
        <v>7</v>
      </c>
      <c r="C11" s="114">
        <v>9</v>
      </c>
      <c r="D11" s="35">
        <v>3.6</v>
      </c>
      <c r="E11" s="45">
        <v>2</v>
      </c>
      <c r="F11" s="36">
        <v>0</v>
      </c>
    </row>
    <row r="12" spans="1:7" ht="13.5" customHeight="1">
      <c r="A12" s="22">
        <v>7</v>
      </c>
      <c r="B12" s="114">
        <v>9</v>
      </c>
      <c r="C12" s="114">
        <v>11</v>
      </c>
      <c r="D12" s="35">
        <v>2.7</v>
      </c>
      <c r="E12" s="45">
        <v>2</v>
      </c>
    </row>
    <row r="13" spans="1:7" ht="13.5" customHeight="1">
      <c r="A13" s="22">
        <v>8</v>
      </c>
      <c r="B13" s="114">
        <v>11</v>
      </c>
      <c r="C13" s="114">
        <v>13</v>
      </c>
      <c r="D13" s="35">
        <v>2.8</v>
      </c>
      <c r="E13" s="45">
        <v>2</v>
      </c>
    </row>
    <row r="14" spans="1:7" ht="13.5" customHeight="1">
      <c r="A14" s="22">
        <v>9</v>
      </c>
      <c r="B14" s="114">
        <v>13</v>
      </c>
      <c r="C14" s="114">
        <v>15</v>
      </c>
      <c r="D14" s="35">
        <v>6.16</v>
      </c>
      <c r="E14" s="45">
        <v>2</v>
      </c>
    </row>
    <row r="15" spans="1:7" ht="13.5" customHeight="1">
      <c r="A15" s="22">
        <v>10</v>
      </c>
      <c r="B15" s="114">
        <v>15</v>
      </c>
      <c r="C15" s="114">
        <v>17</v>
      </c>
      <c r="D15" s="35">
        <v>1.5</v>
      </c>
      <c r="E15" s="45">
        <v>2</v>
      </c>
    </row>
    <row r="16" spans="1:7" ht="13.5" customHeight="1">
      <c r="A16" s="22">
        <v>11</v>
      </c>
      <c r="B16" s="114">
        <v>4</v>
      </c>
      <c r="C16" s="114">
        <v>6</v>
      </c>
      <c r="D16" s="35">
        <v>1</v>
      </c>
      <c r="E16" s="45">
        <v>1</v>
      </c>
    </row>
    <row r="17" spans="1:5" ht="13.5" customHeight="1">
      <c r="A17" s="22">
        <v>12</v>
      </c>
      <c r="B17" s="114">
        <v>6</v>
      </c>
      <c r="C17" s="114">
        <v>8</v>
      </c>
      <c r="D17" s="35">
        <v>2.2400000000000002</v>
      </c>
      <c r="E17" s="45">
        <v>2</v>
      </c>
    </row>
    <row r="18" spans="1:5" ht="13.5" customHeight="1">
      <c r="A18" s="22">
        <v>13</v>
      </c>
      <c r="B18" s="114">
        <v>8</v>
      </c>
      <c r="C18" s="114">
        <v>10</v>
      </c>
      <c r="D18" s="35">
        <v>3.6</v>
      </c>
      <c r="E18" s="45">
        <v>2</v>
      </c>
    </row>
    <row r="19" spans="1:5" ht="13.5" customHeight="1">
      <c r="A19" s="22">
        <v>14</v>
      </c>
      <c r="B19" s="114">
        <v>10</v>
      </c>
      <c r="C19" s="114">
        <v>12</v>
      </c>
      <c r="D19" s="35">
        <v>2.7</v>
      </c>
      <c r="E19" s="45">
        <v>2</v>
      </c>
    </row>
    <row r="20" spans="1:5" ht="13.5" customHeight="1">
      <c r="A20" s="22">
        <v>15</v>
      </c>
      <c r="B20" s="114">
        <v>12</v>
      </c>
      <c r="C20" s="114">
        <v>14</v>
      </c>
      <c r="D20" s="35">
        <v>2.8</v>
      </c>
      <c r="E20" s="45">
        <v>2</v>
      </c>
    </row>
    <row r="21" spans="1:5" ht="13.5" customHeight="1">
      <c r="A21" s="22">
        <v>16</v>
      </c>
      <c r="B21" s="114">
        <v>14</v>
      </c>
      <c r="C21" s="114">
        <v>16</v>
      </c>
      <c r="D21" s="35">
        <v>6.16</v>
      </c>
      <c r="E21" s="45">
        <v>2</v>
      </c>
    </row>
    <row r="22" spans="1:5" ht="13.5" customHeight="1">
      <c r="A22" s="22">
        <v>17</v>
      </c>
      <c r="B22" s="115">
        <v>16</v>
      </c>
      <c r="C22" s="115">
        <v>18</v>
      </c>
      <c r="D22" s="35">
        <v>1.5</v>
      </c>
      <c r="E22" s="45">
        <v>2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sqref="A1:XFD1048576"/>
    </sheetView>
  </sheetViews>
  <sheetFormatPr defaultColWidth="10" defaultRowHeight="13.5" customHeight="1"/>
  <cols>
    <col min="1" max="1" width="7.125" style="25" customWidth="1"/>
    <col min="2" max="2" width="10" style="52" customWidth="1"/>
    <col min="3" max="3" width="10" style="52" hidden="1" customWidth="1"/>
    <col min="4" max="4" width="10" style="52" customWidth="1" collapsed="1"/>
    <col min="5" max="5" width="10" style="52" customWidth="1"/>
    <col min="6" max="7" width="10" style="52" hidden="1" customWidth="1"/>
    <col min="8" max="8" width="15.75" style="52" customWidth="1"/>
    <col min="9" max="9" width="10" style="52" customWidth="1"/>
    <col min="10" max="10" width="10" style="52" hidden="1" customWidth="1"/>
    <col min="11" max="11" width="10" style="52" customWidth="1" collapsed="1"/>
    <col min="12" max="12" width="10" style="52" customWidth="1"/>
    <col min="13" max="14" width="10" style="52" hidden="1" customWidth="1"/>
    <col min="15" max="15" width="15.75" style="52" customWidth="1"/>
    <col min="16" max="16" width="10" style="52" customWidth="1"/>
    <col min="17" max="17" width="10" style="52" hidden="1" customWidth="1"/>
    <col min="18" max="18" width="10" style="52" customWidth="1" collapsed="1"/>
    <col min="19" max="19" width="10" style="52" customWidth="1"/>
    <col min="20" max="21" width="10" style="52" hidden="1" customWidth="1"/>
    <col min="22" max="22" width="15.75" style="52" customWidth="1"/>
    <col min="23" max="16384" width="10" style="49"/>
  </cols>
  <sheetData>
    <row r="1" spans="1:22" ht="13.5" customHeight="1">
      <c r="A1" s="1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</row>
    <row r="4" spans="1:22" ht="13.5" customHeight="1">
      <c r="A4" s="21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</row>
    <row r="5" spans="1:22" ht="13.5" customHeight="1">
      <c r="A5" s="165" t="s">
        <v>159</v>
      </c>
      <c r="B5" s="167" t="s">
        <v>155</v>
      </c>
      <c r="C5" s="168"/>
      <c r="D5" s="168"/>
      <c r="E5" s="168"/>
      <c r="F5" s="169"/>
      <c r="G5" s="167" t="s">
        <v>91</v>
      </c>
      <c r="H5" s="169"/>
      <c r="I5" s="170" t="s">
        <v>160</v>
      </c>
      <c r="J5" s="171"/>
      <c r="K5" s="171"/>
      <c r="L5" s="171"/>
      <c r="M5" s="172"/>
      <c r="N5" s="170" t="s">
        <v>91</v>
      </c>
      <c r="O5" s="172"/>
      <c r="P5" s="163" t="s">
        <v>156</v>
      </c>
      <c r="Q5" s="173"/>
      <c r="R5" s="173"/>
      <c r="S5" s="173"/>
      <c r="T5" s="164"/>
      <c r="U5" s="163" t="s">
        <v>91</v>
      </c>
      <c r="V5" s="164"/>
    </row>
    <row r="6" spans="1:22" ht="13.5" customHeight="1">
      <c r="A6" s="166"/>
      <c r="B6" s="53" t="s">
        <v>23</v>
      </c>
      <c r="C6" s="53" t="s">
        <v>161</v>
      </c>
      <c r="D6" s="53" t="s">
        <v>73</v>
      </c>
      <c r="E6" s="53" t="s">
        <v>24</v>
      </c>
      <c r="F6" s="53" t="s">
        <v>162</v>
      </c>
      <c r="G6" s="53" t="s">
        <v>163</v>
      </c>
      <c r="H6" s="53" t="s">
        <v>164</v>
      </c>
      <c r="I6" s="54" t="s">
        <v>23</v>
      </c>
      <c r="J6" s="54" t="s">
        <v>161</v>
      </c>
      <c r="K6" s="54" t="s">
        <v>165</v>
      </c>
      <c r="L6" s="54" t="s">
        <v>24</v>
      </c>
      <c r="M6" s="54" t="s">
        <v>162</v>
      </c>
      <c r="N6" s="54" t="s">
        <v>163</v>
      </c>
      <c r="O6" s="54" t="s">
        <v>164</v>
      </c>
      <c r="P6" s="55" t="s">
        <v>23</v>
      </c>
      <c r="Q6" s="55" t="s">
        <v>161</v>
      </c>
      <c r="R6" s="55" t="s">
        <v>165</v>
      </c>
      <c r="S6" s="55" t="s">
        <v>24</v>
      </c>
      <c r="T6" s="55" t="s">
        <v>162</v>
      </c>
      <c r="U6" s="55" t="s">
        <v>163</v>
      </c>
      <c r="V6" s="55" t="s">
        <v>164</v>
      </c>
    </row>
    <row r="7" spans="1:22" ht="13.5" customHeight="1">
      <c r="A7" s="25">
        <v>1</v>
      </c>
      <c r="B7" s="51">
        <v>25000000</v>
      </c>
      <c r="C7" s="51">
        <v>1.0000000000000001E-5</v>
      </c>
      <c r="D7" s="51">
        <v>1.0000000000000001E-5</v>
      </c>
      <c r="E7" s="52">
        <v>1000</v>
      </c>
      <c r="H7" s="52">
        <v>1000</v>
      </c>
      <c r="I7" s="51"/>
      <c r="J7" s="51"/>
      <c r="K7" s="51"/>
    </row>
    <row r="8" spans="1:22" ht="13.5" customHeight="1">
      <c r="A8" s="25">
        <v>2</v>
      </c>
      <c r="B8" s="51">
        <v>22400000</v>
      </c>
      <c r="C8" s="51">
        <v>1.0000000000000001E-5</v>
      </c>
      <c r="D8" s="51">
        <v>1.0000000000000001E-5</v>
      </c>
      <c r="E8" s="52">
        <f>1.767*2</f>
        <v>3.5339999999999998</v>
      </c>
      <c r="H8" s="52">
        <f>0.2485*2</f>
        <v>0.497</v>
      </c>
      <c r="I8" s="51"/>
      <c r="J8" s="51"/>
      <c r="K8" s="51"/>
    </row>
    <row r="9" spans="1:22" ht="13.5" customHeight="1">
      <c r="B9" s="51"/>
      <c r="C9" s="51"/>
      <c r="D9" s="51"/>
      <c r="I9" s="51"/>
      <c r="J9" s="51"/>
      <c r="K9" s="51"/>
    </row>
    <row r="10" spans="1:22" ht="13.5" customHeight="1">
      <c r="B10" s="51"/>
      <c r="C10" s="51"/>
      <c r="D10" s="51"/>
      <c r="I10" s="51"/>
      <c r="J10" s="51"/>
      <c r="K10" s="51"/>
    </row>
    <row r="11" spans="1:22" ht="13.5" customHeight="1">
      <c r="B11" s="51"/>
      <c r="C11" s="51"/>
      <c r="D11" s="51"/>
      <c r="I11" s="51"/>
      <c r="J11" s="51"/>
      <c r="K11" s="51"/>
    </row>
    <row r="12" spans="1:22" ht="13.5" customHeight="1">
      <c r="B12" s="51"/>
      <c r="C12" s="51"/>
      <c r="D12" s="51"/>
    </row>
    <row r="13" spans="1:22" ht="13.5" customHeight="1">
      <c r="B13" s="51"/>
      <c r="C13" s="51"/>
      <c r="D13" s="51"/>
    </row>
    <row r="14" spans="1:22" ht="13.5" customHeight="1">
      <c r="B14" s="51"/>
      <c r="C14" s="51"/>
      <c r="D14" s="51"/>
    </row>
    <row r="15" spans="1:22" ht="13.5" customHeight="1">
      <c r="B15" s="51"/>
      <c r="C15" s="51"/>
      <c r="D15" s="51"/>
    </row>
    <row r="16" spans="1:22" ht="13.5" customHeight="1">
      <c r="B16" s="51"/>
      <c r="C16" s="51"/>
      <c r="D16" s="51"/>
    </row>
    <row r="17" spans="2:4" ht="13.5" customHeight="1">
      <c r="B17" s="51"/>
      <c r="C17" s="51"/>
      <c r="D17" s="51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6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6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74" t="s">
        <v>53</v>
      </c>
      <c r="B5" s="175" t="s">
        <v>49</v>
      </c>
      <c r="C5" s="175"/>
      <c r="D5" s="175"/>
      <c r="E5" s="175"/>
      <c r="F5" s="175"/>
      <c r="G5" s="175"/>
      <c r="H5" s="176" t="s">
        <v>50</v>
      </c>
      <c r="I5" s="176"/>
      <c r="J5" s="176"/>
      <c r="K5" s="176"/>
      <c r="L5" s="176"/>
      <c r="M5" s="176"/>
      <c r="N5" s="177" t="s">
        <v>52</v>
      </c>
      <c r="O5" s="177"/>
      <c r="P5" s="177"/>
      <c r="Q5" s="177"/>
      <c r="R5" s="177"/>
      <c r="S5" s="177"/>
    </row>
    <row r="6" spans="1:19" ht="13.5" customHeight="1">
      <c r="A6" s="174"/>
      <c r="B6" s="57" t="s">
        <v>27</v>
      </c>
      <c r="C6" s="53" t="s">
        <v>28</v>
      </c>
      <c r="D6" s="53" t="s">
        <v>29</v>
      </c>
      <c r="E6" s="53" t="s">
        <v>30</v>
      </c>
      <c r="F6" s="53" t="s">
        <v>31</v>
      </c>
      <c r="G6" s="53" t="s">
        <v>32</v>
      </c>
      <c r="H6" s="58" t="s">
        <v>27</v>
      </c>
      <c r="I6" s="55" t="s">
        <v>28</v>
      </c>
      <c r="J6" s="55" t="s">
        <v>29</v>
      </c>
      <c r="K6" s="55" t="s">
        <v>30</v>
      </c>
      <c r="L6" s="55" t="s">
        <v>31</v>
      </c>
      <c r="M6" s="55" t="s">
        <v>32</v>
      </c>
      <c r="N6" s="59" t="s">
        <v>27</v>
      </c>
      <c r="O6" s="54" t="s">
        <v>28</v>
      </c>
      <c r="P6" s="54" t="s">
        <v>29</v>
      </c>
      <c r="Q6" s="54" t="s">
        <v>30</v>
      </c>
      <c r="R6" s="54" t="s">
        <v>31</v>
      </c>
      <c r="S6" s="54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0"/>
  <sheetViews>
    <sheetView zoomScaleNormal="100" workbookViewId="0">
      <selection sqref="A1:XFD1048576"/>
    </sheetView>
  </sheetViews>
  <sheetFormatPr defaultRowHeight="13.5"/>
  <cols>
    <col min="1" max="1" width="9" style="61"/>
    <col min="2" max="2" width="9" style="63"/>
    <col min="3" max="14" width="9" style="61"/>
    <col min="15" max="16384" width="9" style="62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74" t="s">
        <v>53</v>
      </c>
      <c r="B4" s="174" t="s">
        <v>166</v>
      </c>
      <c r="C4" s="178" t="s">
        <v>96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</row>
    <row r="5" spans="1:14" s="19" customFormat="1" ht="13.5" customHeight="1">
      <c r="A5" s="174"/>
      <c r="B5" s="174"/>
      <c r="C5" s="119" t="s">
        <v>167</v>
      </c>
      <c r="D5" s="119" t="s">
        <v>97</v>
      </c>
      <c r="E5" s="119" t="s">
        <v>98</v>
      </c>
      <c r="F5" s="119" t="s">
        <v>99</v>
      </c>
      <c r="G5" s="119" t="s">
        <v>100</v>
      </c>
      <c r="H5" s="119" t="s">
        <v>101</v>
      </c>
      <c r="I5" s="119" t="s">
        <v>102</v>
      </c>
      <c r="J5" s="119" t="s">
        <v>103</v>
      </c>
      <c r="K5" s="119" t="s">
        <v>104</v>
      </c>
      <c r="L5" s="119" t="s">
        <v>105</v>
      </c>
      <c r="M5" s="119" t="s">
        <v>106</v>
      </c>
      <c r="N5" s="119" t="s">
        <v>107</v>
      </c>
    </row>
    <row r="6" spans="1:14" s="19" customFormat="1" ht="13.5" customHeight="1">
      <c r="A6" s="25">
        <v>2</v>
      </c>
      <c r="B6" s="24">
        <v>3</v>
      </c>
      <c r="C6" s="25">
        <v>2.2000000000000002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</row>
    <row r="7" spans="1:14">
      <c r="A7" s="61">
        <v>3</v>
      </c>
      <c r="B7" s="63">
        <v>1.5</v>
      </c>
      <c r="C7" s="61">
        <v>0.8</v>
      </c>
    </row>
    <row r="10" spans="1:14">
      <c r="C10" s="25"/>
      <c r="D10" s="25"/>
      <c r="E10" s="25"/>
      <c r="F10" s="25"/>
      <c r="G10" s="25"/>
      <c r="H10" s="25"/>
      <c r="I10" s="25"/>
      <c r="J10" s="25"/>
      <c r="K10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7"/>
  <sheetViews>
    <sheetView zoomScaleNormal="100" workbookViewId="0">
      <selection sqref="A1:XFD1048576"/>
    </sheetView>
  </sheetViews>
  <sheetFormatPr defaultRowHeight="13.5" customHeight="1"/>
  <cols>
    <col min="1" max="1" width="9" style="36" customWidth="1"/>
    <col min="2" max="3" width="9" style="66" customWidth="1"/>
    <col min="4" max="5" width="9" style="66" hidden="1" customWidth="1"/>
    <col min="6" max="6" width="9" style="67" customWidth="1"/>
    <col min="7" max="7" width="9" style="66" customWidth="1"/>
    <col min="8" max="8" width="9" style="68" hidden="1" customWidth="1"/>
    <col min="9" max="9" width="9" style="66" hidden="1" customWidth="1"/>
    <col min="10" max="11" width="9" style="66" customWidth="1"/>
    <col min="12" max="13" width="9" style="66" hidden="1" customWidth="1"/>
    <col min="14" max="235" width="9" style="19" customWidth="1"/>
    <col min="236" max="16384" width="9" style="19"/>
  </cols>
  <sheetData>
    <row r="1" spans="1:13" ht="13.5" customHeight="1">
      <c r="A1" s="18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</row>
    <row r="2" spans="1:13" ht="13.5" customHeight="1">
      <c r="A2" s="20" t="s">
        <v>79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</row>
    <row r="3" spans="1:13" ht="13.5" customHeight="1">
      <c r="A3" s="20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</row>
    <row r="4" spans="1:13" ht="13.5" customHeight="1">
      <c r="A4" s="27"/>
      <c r="B4" s="28" t="s">
        <v>54</v>
      </c>
      <c r="C4" s="65"/>
      <c r="D4" s="65"/>
      <c r="E4" s="65"/>
      <c r="F4" s="65"/>
      <c r="G4" s="65"/>
      <c r="H4" s="65"/>
      <c r="I4" s="28"/>
      <c r="J4" s="65"/>
      <c r="K4" s="65"/>
      <c r="L4" s="65"/>
      <c r="M4" s="28"/>
    </row>
    <row r="5" spans="1:13" ht="13.5" customHeight="1">
      <c r="A5" s="179" t="s">
        <v>53</v>
      </c>
      <c r="B5" s="163" t="s">
        <v>155</v>
      </c>
      <c r="C5" s="173"/>
      <c r="D5" s="173"/>
      <c r="E5" s="164"/>
      <c r="F5" s="182" t="s">
        <v>57</v>
      </c>
      <c r="G5" s="183"/>
      <c r="H5" s="183"/>
      <c r="I5" s="184"/>
      <c r="J5" s="185" t="s">
        <v>168</v>
      </c>
      <c r="K5" s="186"/>
      <c r="L5" s="186"/>
      <c r="M5" s="187"/>
    </row>
    <row r="6" spans="1:13" ht="13.5" customHeight="1">
      <c r="A6" s="180"/>
      <c r="B6" s="163" t="s">
        <v>33</v>
      </c>
      <c r="C6" s="173"/>
      <c r="D6" s="164"/>
      <c r="E6" s="69" t="s">
        <v>55</v>
      </c>
      <c r="F6" s="182" t="s">
        <v>33</v>
      </c>
      <c r="G6" s="183"/>
      <c r="H6" s="184"/>
      <c r="I6" s="70" t="s">
        <v>55</v>
      </c>
      <c r="J6" s="185" t="s">
        <v>33</v>
      </c>
      <c r="K6" s="186"/>
      <c r="L6" s="187"/>
      <c r="M6" s="71" t="s">
        <v>55</v>
      </c>
    </row>
    <row r="7" spans="1:13" ht="13.5" customHeight="1">
      <c r="A7" s="181"/>
      <c r="B7" s="120" t="s">
        <v>150</v>
      </c>
      <c r="C7" s="120" t="s">
        <v>151</v>
      </c>
      <c r="D7" s="120" t="s">
        <v>153</v>
      </c>
      <c r="E7" s="120" t="s">
        <v>56</v>
      </c>
      <c r="F7" s="122" t="s">
        <v>150</v>
      </c>
      <c r="G7" s="72" t="s">
        <v>151</v>
      </c>
      <c r="H7" s="123" t="s">
        <v>153</v>
      </c>
      <c r="I7" s="72" t="s">
        <v>56</v>
      </c>
      <c r="J7" s="73" t="s">
        <v>150</v>
      </c>
      <c r="K7" s="73" t="s">
        <v>151</v>
      </c>
      <c r="L7" s="73" t="s">
        <v>153</v>
      </c>
      <c r="M7" s="73" t="s">
        <v>56</v>
      </c>
    </row>
    <row r="8" spans="1:13" ht="13.5" customHeight="1">
      <c r="A8" s="36">
        <v>5</v>
      </c>
      <c r="B8" s="66">
        <v>0</v>
      </c>
      <c r="C8" s="66">
        <v>0</v>
      </c>
      <c r="F8" s="66">
        <v>0</v>
      </c>
      <c r="G8" s="66">
        <v>0</v>
      </c>
    </row>
    <row r="9" spans="1:13" ht="13.5" customHeight="1">
      <c r="A9" s="36">
        <v>6</v>
      </c>
      <c r="B9" s="66">
        <f>19400*2</f>
        <v>38800</v>
      </c>
      <c r="C9" s="66">
        <f>14137*2</f>
        <v>28274</v>
      </c>
      <c r="F9" s="66">
        <f>38800*2</f>
        <v>77600</v>
      </c>
      <c r="G9" s="66">
        <f>28274*2</f>
        <v>56548</v>
      </c>
    </row>
    <row r="10" spans="1:13" ht="13.5" customHeight="1">
      <c r="A10" s="36">
        <v>7</v>
      </c>
      <c r="B10" s="66">
        <f>5170*2</f>
        <v>10340</v>
      </c>
      <c r="C10" s="66">
        <f>3770*2</f>
        <v>7540</v>
      </c>
      <c r="F10" s="66">
        <f>10350*2</f>
        <v>20700</v>
      </c>
      <c r="G10" s="66">
        <f>7540*2</f>
        <v>15080</v>
      </c>
    </row>
    <row r="11" spans="1:13" ht="13.5" customHeight="1">
      <c r="A11" s="36">
        <v>8</v>
      </c>
      <c r="B11" s="66">
        <f>32340*2</f>
        <v>64680</v>
      </c>
      <c r="C11" s="66">
        <f>23562*2</f>
        <v>47124</v>
      </c>
      <c r="F11" s="66">
        <f>64670*2</f>
        <v>129340</v>
      </c>
      <c r="G11" s="66">
        <f>47124*2</f>
        <v>94248</v>
      </c>
    </row>
    <row r="12" spans="1:13" ht="13.5" customHeight="1">
      <c r="A12" s="36">
        <v>9</v>
      </c>
      <c r="B12" s="66">
        <f>58720*2</f>
        <v>117440</v>
      </c>
      <c r="C12" s="66">
        <f>42788*2</f>
        <v>85576</v>
      </c>
      <c r="F12" s="66">
        <f>117440*2</f>
        <v>234880</v>
      </c>
      <c r="G12" s="66">
        <f>85577*2</f>
        <v>171154</v>
      </c>
    </row>
    <row r="13" spans="1:13" ht="13.5" customHeight="1">
      <c r="A13" s="36">
        <v>10</v>
      </c>
      <c r="B13" s="66">
        <f>B12</f>
        <v>117440</v>
      </c>
      <c r="C13" s="66">
        <v>0</v>
      </c>
      <c r="F13" s="66">
        <f>F12</f>
        <v>234880</v>
      </c>
      <c r="G13" s="66">
        <v>0</v>
      </c>
    </row>
    <row r="14" spans="1:13" ht="13.5" customHeight="1">
      <c r="A14" s="36">
        <v>12</v>
      </c>
      <c r="B14" s="66">
        <v>0</v>
      </c>
      <c r="C14" s="66">
        <v>0</v>
      </c>
      <c r="F14" s="66">
        <v>0</v>
      </c>
      <c r="G14" s="66">
        <v>0</v>
      </c>
    </row>
    <row r="15" spans="1:13" ht="13.5" customHeight="1">
      <c r="A15" s="36">
        <v>13</v>
      </c>
      <c r="B15" s="66">
        <f>19400*2</f>
        <v>38800</v>
      </c>
      <c r="C15" s="66">
        <f>14137*2</f>
        <v>28274</v>
      </c>
      <c r="F15" s="66">
        <f>38800*2</f>
        <v>77600</v>
      </c>
      <c r="G15" s="66">
        <f>28274*2</f>
        <v>56548</v>
      </c>
    </row>
    <row r="16" spans="1:13" ht="13.5" customHeight="1">
      <c r="A16" s="36">
        <v>14</v>
      </c>
      <c r="B16" s="66">
        <f>5170*2</f>
        <v>10340</v>
      </c>
      <c r="C16" s="66">
        <f>3770*2</f>
        <v>7540</v>
      </c>
      <c r="F16" s="66">
        <f>10350*2</f>
        <v>20700</v>
      </c>
      <c r="G16" s="66">
        <f>7540*2</f>
        <v>15080</v>
      </c>
    </row>
    <row r="17" spans="1:7" ht="13.5" customHeight="1">
      <c r="A17" s="36">
        <v>15</v>
      </c>
      <c r="B17" s="66">
        <f>32340*2</f>
        <v>64680</v>
      </c>
      <c r="C17" s="66">
        <f>23562*2</f>
        <v>47124</v>
      </c>
      <c r="F17" s="66">
        <f>64670*2</f>
        <v>129340</v>
      </c>
      <c r="G17" s="66">
        <f>47124*2</f>
        <v>94248</v>
      </c>
    </row>
    <row r="18" spans="1:7" ht="13.5" customHeight="1">
      <c r="A18" s="36">
        <v>16</v>
      </c>
      <c r="B18" s="66">
        <f>58720*2</f>
        <v>117440</v>
      </c>
      <c r="C18" s="66">
        <f>42788*2</f>
        <v>85576</v>
      </c>
      <c r="F18" s="66">
        <f>117440*2</f>
        <v>234880</v>
      </c>
      <c r="G18" s="66">
        <f>85577*2</f>
        <v>171154</v>
      </c>
    </row>
    <row r="19" spans="1:7" ht="13.5" customHeight="1">
      <c r="A19" s="36">
        <v>17</v>
      </c>
      <c r="B19" s="66">
        <f>B18</f>
        <v>117440</v>
      </c>
      <c r="C19" s="66">
        <v>0</v>
      </c>
      <c r="F19" s="66">
        <f>F18</f>
        <v>234880</v>
      </c>
      <c r="G19" s="66">
        <v>0</v>
      </c>
    </row>
    <row r="20" spans="1:7" ht="13.5" customHeight="1">
      <c r="F20" s="66"/>
    </row>
    <row r="21" spans="1:7" ht="13.5" customHeight="1">
      <c r="F21" s="66"/>
    </row>
    <row r="22" spans="1:7" ht="13.5" customHeight="1">
      <c r="F22" s="66"/>
    </row>
    <row r="23" spans="1:7" ht="13.5" customHeight="1">
      <c r="F23" s="66"/>
    </row>
    <row r="24" spans="1:7" ht="13.5" customHeight="1">
      <c r="F24" s="66"/>
    </row>
    <row r="25" spans="1:7" ht="13.5" customHeight="1">
      <c r="F25" s="66"/>
    </row>
    <row r="26" spans="1:7" ht="13.5" customHeight="1">
      <c r="F26" s="66"/>
    </row>
    <row r="27" spans="1:7" ht="13.5" customHeight="1">
      <c r="F27" s="66"/>
    </row>
    <row r="28" spans="1:7" ht="13.5" customHeight="1">
      <c r="F28" s="66"/>
    </row>
    <row r="29" spans="1:7" ht="13.5" customHeight="1">
      <c r="F29" s="66"/>
    </row>
    <row r="30" spans="1:7" ht="13.5" customHeight="1">
      <c r="F30" s="66"/>
    </row>
    <row r="31" spans="1:7" ht="13.5" customHeight="1">
      <c r="F31" s="66"/>
    </row>
    <row r="32" spans="1:7" ht="13.5" customHeight="1">
      <c r="F32" s="66"/>
    </row>
    <row r="33" spans="6:6" ht="13.5" customHeight="1">
      <c r="F33" s="66"/>
    </row>
    <row r="34" spans="6:6" ht="13.5" customHeight="1">
      <c r="F34" s="66"/>
    </row>
    <row r="35" spans="6:6" ht="13.5" customHeight="1">
      <c r="F35" s="66"/>
    </row>
    <row r="36" spans="6:6" ht="13.5" customHeight="1">
      <c r="F36" s="66"/>
    </row>
    <row r="37" spans="6:6" ht="13.5" customHeight="1">
      <c r="F37" s="66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B4" sqref="B4:B5"/>
    </sheetView>
  </sheetViews>
  <sheetFormatPr defaultRowHeight="13.5" customHeight="1"/>
  <cols>
    <col min="1" max="1" width="9" style="135" bestFit="1" customWidth="1"/>
    <col min="2" max="2" width="7.5" style="138" bestFit="1" customWidth="1"/>
    <col min="3" max="3" width="9.75" style="139" bestFit="1" customWidth="1"/>
    <col min="4" max="4" width="38.875" style="138" bestFit="1" customWidth="1"/>
    <col min="5" max="5" width="5.25" style="138" bestFit="1" customWidth="1"/>
    <col min="6" max="6" width="5.125" style="138" bestFit="1" customWidth="1"/>
    <col min="7" max="8" width="5.25" style="138" bestFit="1" customWidth="1"/>
    <col min="9" max="16384" width="9" style="133"/>
  </cols>
  <sheetData>
    <row r="1" spans="1:8" s="129" customFormat="1" ht="13.5" customHeight="1">
      <c r="A1" s="126"/>
      <c r="B1" s="127"/>
      <c r="C1" s="128"/>
      <c r="D1" s="127"/>
      <c r="E1" s="127"/>
      <c r="F1" s="127"/>
      <c r="G1" s="127"/>
      <c r="H1" s="127"/>
    </row>
    <row r="2" spans="1:8" s="129" customFormat="1" ht="13.5" customHeight="1">
      <c r="A2" s="130" t="s">
        <v>66</v>
      </c>
      <c r="C2" s="131"/>
    </row>
    <row r="3" spans="1:8" s="129" customFormat="1" ht="13.5" customHeight="1">
      <c r="A3" s="132"/>
      <c r="C3" s="131"/>
    </row>
    <row r="4" spans="1:8" ht="13.5" customHeight="1">
      <c r="A4" s="189" t="s">
        <v>58</v>
      </c>
      <c r="B4" s="188" t="s">
        <v>59</v>
      </c>
      <c r="C4" s="188" t="s">
        <v>60</v>
      </c>
      <c r="D4" s="188" t="s">
        <v>61</v>
      </c>
      <c r="E4" s="188" t="s">
        <v>62</v>
      </c>
      <c r="F4" s="188"/>
      <c r="G4" s="188"/>
      <c r="H4" s="188"/>
    </row>
    <row r="5" spans="1:8" ht="13.5" customHeight="1">
      <c r="A5" s="189"/>
      <c r="B5" s="188"/>
      <c r="C5" s="188"/>
      <c r="D5" s="188"/>
      <c r="E5" s="134" t="s">
        <v>63</v>
      </c>
      <c r="F5" s="134" t="s">
        <v>169</v>
      </c>
      <c r="G5" s="134" t="s">
        <v>64</v>
      </c>
      <c r="H5" s="134" t="s">
        <v>65</v>
      </c>
    </row>
    <row r="6" spans="1:8" ht="13.5" customHeight="1">
      <c r="A6" s="135">
        <v>1</v>
      </c>
      <c r="B6" s="136">
        <v>1</v>
      </c>
      <c r="C6" s="137" t="s">
        <v>145</v>
      </c>
      <c r="D6" s="136" t="s">
        <v>170</v>
      </c>
      <c r="E6" s="136">
        <v>1</v>
      </c>
      <c r="F6" s="138">
        <v>1</v>
      </c>
      <c r="G6" s="138">
        <v>1</v>
      </c>
      <c r="H6" s="138">
        <v>1</v>
      </c>
    </row>
    <row r="7" spans="1:8" ht="13.5" customHeight="1">
      <c r="A7" s="135">
        <v>1</v>
      </c>
      <c r="B7" s="136">
        <v>2</v>
      </c>
      <c r="C7" s="137" t="s">
        <v>146</v>
      </c>
      <c r="D7" s="136" t="s">
        <v>171</v>
      </c>
      <c r="E7" s="136">
        <v>1</v>
      </c>
      <c r="F7" s="138">
        <v>1</v>
      </c>
      <c r="G7" s="138">
        <v>1</v>
      </c>
      <c r="H7" s="138">
        <v>1</v>
      </c>
    </row>
    <row r="8" spans="1:8" ht="13.5" customHeight="1">
      <c r="A8" s="135">
        <v>1</v>
      </c>
      <c r="B8" s="136">
        <v>3</v>
      </c>
      <c r="C8" s="137" t="s">
        <v>172</v>
      </c>
      <c r="D8" s="136" t="s">
        <v>173</v>
      </c>
      <c r="E8" s="136">
        <v>1</v>
      </c>
      <c r="F8" s="138">
        <v>1</v>
      </c>
      <c r="G8" s="138">
        <v>1</v>
      </c>
      <c r="H8" s="138">
        <v>1</v>
      </c>
    </row>
    <row r="9" spans="1:8" ht="13.5" customHeight="1">
      <c r="A9" s="135">
        <v>1</v>
      </c>
      <c r="B9" s="136">
        <v>4</v>
      </c>
      <c r="C9" s="137" t="s">
        <v>174</v>
      </c>
      <c r="D9" s="136" t="s">
        <v>175</v>
      </c>
      <c r="E9" s="136">
        <v>1</v>
      </c>
      <c r="F9" s="138">
        <v>1</v>
      </c>
      <c r="G9" s="138">
        <v>1</v>
      </c>
      <c r="H9" s="138">
        <v>1</v>
      </c>
    </row>
    <row r="10" spans="1:8" ht="13.5" customHeight="1">
      <c r="A10" s="135">
        <v>1</v>
      </c>
      <c r="B10" s="136">
        <v>5</v>
      </c>
      <c r="C10" s="137" t="s">
        <v>176</v>
      </c>
      <c r="D10" s="136" t="s">
        <v>177</v>
      </c>
      <c r="E10" s="136">
        <v>2</v>
      </c>
      <c r="F10" s="138">
        <v>2</v>
      </c>
      <c r="G10" s="138">
        <v>1</v>
      </c>
      <c r="H10" s="138">
        <v>1</v>
      </c>
    </row>
    <row r="11" spans="1:8" ht="13.5" customHeight="1">
      <c r="A11" s="135">
        <v>1</v>
      </c>
      <c r="B11" s="136">
        <v>6</v>
      </c>
      <c r="C11" s="137" t="s">
        <v>178</v>
      </c>
      <c r="D11" s="136" t="s">
        <v>179</v>
      </c>
      <c r="E11" s="136">
        <v>2</v>
      </c>
      <c r="F11" s="138">
        <v>2</v>
      </c>
      <c r="G11" s="138">
        <v>1</v>
      </c>
      <c r="H11" s="138">
        <v>1</v>
      </c>
    </row>
    <row r="12" spans="1:8" ht="13.5" customHeight="1">
      <c r="A12" s="135">
        <v>1</v>
      </c>
      <c r="B12" s="136">
        <v>7</v>
      </c>
      <c r="C12" s="137" t="s">
        <v>180</v>
      </c>
      <c r="D12" s="136" t="s">
        <v>181</v>
      </c>
      <c r="E12" s="136">
        <v>2</v>
      </c>
      <c r="F12" s="138">
        <v>2</v>
      </c>
      <c r="G12" s="138">
        <v>1</v>
      </c>
      <c r="H12" s="138">
        <v>1</v>
      </c>
    </row>
    <row r="13" spans="1:8" ht="13.5" customHeight="1">
      <c r="A13" s="135">
        <v>1</v>
      </c>
      <c r="B13" s="136">
        <v>8</v>
      </c>
      <c r="C13" s="137" t="s">
        <v>182</v>
      </c>
      <c r="D13" s="136" t="s">
        <v>183</v>
      </c>
      <c r="E13" s="136">
        <v>2</v>
      </c>
      <c r="F13" s="138">
        <v>2</v>
      </c>
      <c r="G13" s="138">
        <v>1</v>
      </c>
      <c r="H13" s="138">
        <v>1</v>
      </c>
    </row>
    <row r="14" spans="1:8" ht="13.5" customHeight="1">
      <c r="A14" s="135">
        <v>1</v>
      </c>
      <c r="B14" s="136">
        <v>9</v>
      </c>
      <c r="C14" s="137" t="s">
        <v>184</v>
      </c>
      <c r="D14" s="136" t="s">
        <v>185</v>
      </c>
      <c r="E14" s="136">
        <v>2</v>
      </c>
      <c r="F14" s="138">
        <v>2</v>
      </c>
      <c r="G14" s="138">
        <v>1</v>
      </c>
      <c r="H14" s="138">
        <v>1</v>
      </c>
    </row>
    <row r="15" spans="1:8" ht="13.5" customHeight="1">
      <c r="A15" s="135">
        <v>1</v>
      </c>
      <c r="B15" s="136">
        <v>10</v>
      </c>
      <c r="C15" s="137" t="s">
        <v>186</v>
      </c>
      <c r="D15" s="136" t="s">
        <v>187</v>
      </c>
      <c r="E15" s="136">
        <v>2</v>
      </c>
      <c r="F15" s="138">
        <v>2</v>
      </c>
      <c r="G15" s="138">
        <v>1</v>
      </c>
      <c r="H15" s="138">
        <v>1</v>
      </c>
    </row>
    <row r="16" spans="1:8" ht="13.5" customHeight="1">
      <c r="A16" s="135">
        <v>1</v>
      </c>
      <c r="B16" s="136">
        <v>11</v>
      </c>
      <c r="C16" s="137" t="s">
        <v>188</v>
      </c>
      <c r="D16" s="136" t="s">
        <v>187</v>
      </c>
      <c r="E16" s="136">
        <v>2</v>
      </c>
      <c r="F16" s="138">
        <v>2</v>
      </c>
      <c r="G16" s="138">
        <v>1</v>
      </c>
      <c r="H16" s="138">
        <v>1</v>
      </c>
    </row>
    <row r="17" spans="1:8" ht="13.5" customHeight="1">
      <c r="A17" s="135">
        <v>1</v>
      </c>
      <c r="B17" s="136">
        <v>12</v>
      </c>
      <c r="C17" s="137" t="s">
        <v>189</v>
      </c>
      <c r="D17" s="136" t="s">
        <v>190</v>
      </c>
      <c r="E17" s="136">
        <v>2</v>
      </c>
      <c r="F17" s="138">
        <v>2</v>
      </c>
      <c r="G17" s="138">
        <v>1</v>
      </c>
      <c r="H17" s="138">
        <v>1</v>
      </c>
    </row>
    <row r="18" spans="1:8" ht="13.5" customHeight="1">
      <c r="A18" s="135">
        <v>1</v>
      </c>
      <c r="B18" s="136">
        <v>13</v>
      </c>
      <c r="C18" s="137" t="s">
        <v>191</v>
      </c>
      <c r="D18" s="136" t="s">
        <v>190</v>
      </c>
      <c r="E18" s="136">
        <v>2</v>
      </c>
      <c r="F18" s="138">
        <v>2</v>
      </c>
      <c r="G18" s="138">
        <v>1</v>
      </c>
      <c r="H18" s="138">
        <v>1</v>
      </c>
    </row>
    <row r="19" spans="1:8" ht="13.5" customHeight="1">
      <c r="A19" s="135">
        <v>1</v>
      </c>
      <c r="B19" s="136">
        <v>14</v>
      </c>
      <c r="C19" s="137" t="s">
        <v>192</v>
      </c>
      <c r="D19" s="136" t="s">
        <v>193</v>
      </c>
      <c r="E19" s="136">
        <v>2</v>
      </c>
      <c r="F19" s="138">
        <v>2</v>
      </c>
      <c r="G19" s="138">
        <v>1</v>
      </c>
      <c r="H19" s="138">
        <v>1</v>
      </c>
    </row>
    <row r="20" spans="1:8" ht="13.5" customHeight="1">
      <c r="A20" s="135">
        <v>1</v>
      </c>
      <c r="B20" s="136">
        <v>15</v>
      </c>
      <c r="C20" s="137" t="s">
        <v>194</v>
      </c>
      <c r="D20" s="136" t="s">
        <v>193</v>
      </c>
      <c r="E20" s="136">
        <v>2</v>
      </c>
      <c r="F20" s="138">
        <v>2</v>
      </c>
      <c r="G20" s="138">
        <v>1</v>
      </c>
      <c r="H20" s="138">
        <v>1</v>
      </c>
    </row>
    <row r="21" spans="1:8" ht="13.5" customHeight="1">
      <c r="A21" s="135">
        <v>1</v>
      </c>
      <c r="B21" s="136">
        <v>16</v>
      </c>
      <c r="C21" s="137" t="s">
        <v>195</v>
      </c>
      <c r="D21" s="136" t="s">
        <v>193</v>
      </c>
      <c r="E21" s="136">
        <v>2</v>
      </c>
      <c r="F21" s="138">
        <v>2</v>
      </c>
      <c r="G21" s="138">
        <v>1</v>
      </c>
      <c r="H21" s="138">
        <v>1</v>
      </c>
    </row>
    <row r="22" spans="1:8" ht="13.5" customHeight="1">
      <c r="A22" s="135">
        <v>1</v>
      </c>
      <c r="B22" s="136">
        <v>17</v>
      </c>
      <c r="C22" s="137" t="s">
        <v>196</v>
      </c>
      <c r="D22" s="136" t="s">
        <v>197</v>
      </c>
      <c r="E22" s="136">
        <v>2</v>
      </c>
      <c r="F22" s="138">
        <v>2</v>
      </c>
      <c r="G22" s="138">
        <v>1</v>
      </c>
      <c r="H22" s="138">
        <v>1</v>
      </c>
    </row>
    <row r="23" spans="1:8" ht="13.5" customHeight="1">
      <c r="A23" s="135">
        <v>1</v>
      </c>
      <c r="B23" s="136">
        <v>18</v>
      </c>
      <c r="C23" s="137" t="s">
        <v>198</v>
      </c>
      <c r="D23" s="136" t="s">
        <v>199</v>
      </c>
      <c r="E23" s="136">
        <v>1</v>
      </c>
      <c r="F23" s="138">
        <v>1</v>
      </c>
      <c r="G23" s="138">
        <v>1</v>
      </c>
      <c r="H23" s="138">
        <v>1</v>
      </c>
    </row>
    <row r="24" spans="1:8" ht="13.5" customHeight="1">
      <c r="A24" s="135">
        <v>1</v>
      </c>
      <c r="B24" s="136">
        <v>19</v>
      </c>
      <c r="C24" s="137" t="s">
        <v>200</v>
      </c>
      <c r="D24" s="136" t="s">
        <v>201</v>
      </c>
      <c r="E24" s="136">
        <v>1</v>
      </c>
      <c r="F24" s="138">
        <v>1</v>
      </c>
      <c r="G24" s="138">
        <v>1</v>
      </c>
      <c r="H24" s="138">
        <v>1</v>
      </c>
    </row>
    <row r="25" spans="1:8" ht="13.5" customHeight="1">
      <c r="A25" s="135">
        <v>1</v>
      </c>
      <c r="B25" s="136">
        <v>20</v>
      </c>
      <c r="C25" s="137" t="s">
        <v>202</v>
      </c>
      <c r="D25" s="136" t="s">
        <v>203</v>
      </c>
      <c r="E25" s="136">
        <v>1</v>
      </c>
      <c r="F25" s="138">
        <v>1</v>
      </c>
      <c r="G25" s="138">
        <v>1</v>
      </c>
      <c r="H25" s="138">
        <v>1</v>
      </c>
    </row>
    <row r="26" spans="1:8" ht="13.5" customHeight="1">
      <c r="A26" s="135">
        <v>1</v>
      </c>
      <c r="B26" s="136">
        <v>21</v>
      </c>
      <c r="C26" s="137" t="s">
        <v>204</v>
      </c>
      <c r="D26" s="136" t="s">
        <v>205</v>
      </c>
      <c r="E26" s="136">
        <v>2</v>
      </c>
      <c r="F26" s="138">
        <v>2</v>
      </c>
      <c r="G26" s="138">
        <v>1</v>
      </c>
      <c r="H26" s="138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27"/>
  <sheetViews>
    <sheetView zoomScaleNormal="100" zoomScaleSheetLayoutView="100" workbookViewId="0">
      <pane ySplit="6" topLeftCell="A7" activePane="bottomLeft" state="frozen"/>
      <selection pane="bottomLeft" activeCell="A4" sqref="A4:A6"/>
    </sheetView>
  </sheetViews>
  <sheetFormatPr defaultRowHeight="13.5" customHeight="1"/>
  <cols>
    <col min="1" max="1" width="7.125" style="25" customWidth="1"/>
    <col min="2" max="5" width="7.125" style="43" customWidth="1"/>
    <col min="6" max="7" width="9" style="77" customWidth="1"/>
    <col min="8" max="9" width="9" style="25" customWidth="1"/>
    <col min="10" max="10" width="7.125" style="43" customWidth="1"/>
    <col min="11" max="12" width="9" style="25" customWidth="1"/>
    <col min="13" max="15" width="9" style="25" hidden="1" customWidth="1"/>
    <col min="16" max="16" width="9" style="25" customWidth="1"/>
    <col min="17" max="16384" width="9" style="49"/>
  </cols>
  <sheetData>
    <row r="1" spans="1:16" s="19" customFormat="1" ht="13.5" customHeight="1">
      <c r="A1" s="18"/>
      <c r="B1" s="74"/>
      <c r="C1" s="74"/>
      <c r="D1" s="74"/>
      <c r="E1" s="74"/>
      <c r="F1" s="75"/>
      <c r="G1" s="75"/>
      <c r="H1" s="64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144</v>
      </c>
      <c r="B2" s="32"/>
      <c r="C2" s="32"/>
      <c r="D2" s="32"/>
      <c r="E2" s="32"/>
      <c r="F2" s="75"/>
      <c r="G2" s="75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76"/>
      <c r="G3" s="76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91" t="s">
        <v>59</v>
      </c>
      <c r="B4" s="192" t="s">
        <v>69</v>
      </c>
      <c r="C4" s="192"/>
      <c r="D4" s="192"/>
      <c r="E4" s="192"/>
      <c r="F4" s="192"/>
      <c r="G4" s="192"/>
      <c r="H4" s="192"/>
      <c r="I4" s="192"/>
      <c r="J4" s="190" t="s">
        <v>70</v>
      </c>
      <c r="K4" s="190"/>
      <c r="L4" s="190"/>
      <c r="M4" s="190"/>
      <c r="N4" s="190"/>
      <c r="O4" s="190"/>
      <c r="P4" s="190"/>
    </row>
    <row r="5" spans="1:16" ht="13.5" customHeight="1">
      <c r="A5" s="191"/>
      <c r="B5" s="192" t="s">
        <v>67</v>
      </c>
      <c r="C5" s="192" t="s">
        <v>68</v>
      </c>
      <c r="D5" s="193" t="s">
        <v>77</v>
      </c>
      <c r="E5" s="192" t="s">
        <v>206</v>
      </c>
      <c r="F5" s="194" t="s">
        <v>167</v>
      </c>
      <c r="G5" s="194" t="s">
        <v>207</v>
      </c>
      <c r="H5" s="192" t="s">
        <v>208</v>
      </c>
      <c r="I5" s="192" t="s">
        <v>209</v>
      </c>
      <c r="J5" s="190" t="s">
        <v>37</v>
      </c>
      <c r="K5" s="190" t="s">
        <v>35</v>
      </c>
      <c r="L5" s="190"/>
      <c r="M5" s="190"/>
      <c r="N5" s="190" t="s">
        <v>36</v>
      </c>
      <c r="O5" s="190"/>
      <c r="P5" s="190"/>
    </row>
    <row r="6" spans="1:16" ht="13.5" customHeight="1">
      <c r="A6" s="191"/>
      <c r="B6" s="192"/>
      <c r="C6" s="192"/>
      <c r="D6" s="192"/>
      <c r="E6" s="192"/>
      <c r="F6" s="194"/>
      <c r="G6" s="194"/>
      <c r="H6" s="192"/>
      <c r="I6" s="192"/>
      <c r="J6" s="190"/>
      <c r="K6" s="124" t="s">
        <v>150</v>
      </c>
      <c r="L6" s="124" t="s">
        <v>151</v>
      </c>
      <c r="M6" s="124" t="s">
        <v>153</v>
      </c>
      <c r="N6" s="124" t="s">
        <v>150</v>
      </c>
      <c r="O6" s="124" t="s">
        <v>151</v>
      </c>
      <c r="P6" s="124" t="s">
        <v>153</v>
      </c>
    </row>
    <row r="7" spans="1:16" ht="13.5" customHeight="1">
      <c r="A7" s="25">
        <v>1</v>
      </c>
      <c r="J7" s="43">
        <v>3</v>
      </c>
      <c r="K7" s="25">
        <v>0</v>
      </c>
      <c r="L7" s="25">
        <v>5434.75</v>
      </c>
      <c r="P7" s="25">
        <v>-1875.39</v>
      </c>
    </row>
    <row r="8" spans="1:16" ht="13.5" customHeight="1">
      <c r="A8" s="25">
        <v>2</v>
      </c>
      <c r="J8" s="43">
        <v>3</v>
      </c>
      <c r="K8" s="25">
        <v>0</v>
      </c>
      <c r="L8" s="25">
        <v>5096.6399999999994</v>
      </c>
      <c r="P8" s="25">
        <v>-5739.22</v>
      </c>
    </row>
    <row r="9" spans="1:16" ht="13.5" customHeight="1">
      <c r="A9" s="25">
        <v>3</v>
      </c>
      <c r="J9" s="43">
        <v>3</v>
      </c>
      <c r="K9" s="25">
        <v>0</v>
      </c>
      <c r="L9" s="25">
        <v>-2379.38</v>
      </c>
      <c r="P9" s="25">
        <v>1784.54</v>
      </c>
    </row>
    <row r="10" spans="1:16" ht="13.5" customHeight="1">
      <c r="A10" s="25">
        <v>4</v>
      </c>
      <c r="J10" s="43">
        <v>3</v>
      </c>
      <c r="K10" s="25">
        <v>0</v>
      </c>
      <c r="L10" s="25">
        <v>-3071.25</v>
      </c>
      <c r="P10" s="25">
        <v>2303.44</v>
      </c>
    </row>
    <row r="11" spans="1:16" ht="13.5" customHeight="1">
      <c r="A11" s="25">
        <v>5</v>
      </c>
      <c r="J11" s="43">
        <v>3</v>
      </c>
      <c r="K11" s="25">
        <v>0</v>
      </c>
      <c r="L11" s="25">
        <v>913.96</v>
      </c>
      <c r="P11" s="25">
        <v>127.95</v>
      </c>
    </row>
    <row r="12" spans="1:16" ht="13.5" customHeight="1">
      <c r="A12" s="25">
        <v>6</v>
      </c>
      <c r="J12" s="43">
        <v>3</v>
      </c>
      <c r="K12" s="25">
        <v>0</v>
      </c>
      <c r="L12" s="25">
        <v>1035.51668</v>
      </c>
      <c r="P12" s="25">
        <v>144.97</v>
      </c>
    </row>
    <row r="13" spans="1:16" ht="13.5" customHeight="1">
      <c r="A13" s="25">
        <v>7</v>
      </c>
      <c r="J13" s="43">
        <v>3</v>
      </c>
      <c r="K13" s="25">
        <v>0</v>
      </c>
      <c r="L13" s="25">
        <v>1075.73092</v>
      </c>
      <c r="P13" s="25">
        <v>150.6</v>
      </c>
    </row>
    <row r="14" spans="1:16" ht="13.5" customHeight="1">
      <c r="A14" s="25">
        <v>8</v>
      </c>
      <c r="J14" s="43">
        <v>3</v>
      </c>
      <c r="L14" s="25">
        <v>1075.73092</v>
      </c>
      <c r="P14" s="25">
        <v>150.6</v>
      </c>
    </row>
    <row r="15" spans="1:16" ht="13.5" customHeight="1">
      <c r="A15" s="25">
        <v>9</v>
      </c>
      <c r="J15" s="43">
        <v>3</v>
      </c>
      <c r="L15" s="25">
        <v>1075.73092</v>
      </c>
      <c r="P15" s="25">
        <v>150.6</v>
      </c>
    </row>
    <row r="16" spans="1:16" ht="13.5" customHeight="1">
      <c r="A16" s="25">
        <v>10</v>
      </c>
      <c r="J16" s="43">
        <v>3</v>
      </c>
      <c r="K16" s="25">
        <v>100</v>
      </c>
      <c r="L16" s="25">
        <v>0</v>
      </c>
      <c r="P16" s="25">
        <v>515</v>
      </c>
    </row>
    <row r="17" spans="1:16" ht="13.5" customHeight="1">
      <c r="A17" s="25">
        <v>11</v>
      </c>
      <c r="J17" s="43">
        <v>3</v>
      </c>
      <c r="K17" s="25">
        <v>125</v>
      </c>
      <c r="L17" s="25">
        <v>0</v>
      </c>
      <c r="P17" s="25">
        <v>643.75</v>
      </c>
    </row>
    <row r="18" spans="1:16" ht="13.5" customHeight="1">
      <c r="A18" s="25">
        <v>12</v>
      </c>
      <c r="J18" s="43">
        <v>3</v>
      </c>
      <c r="K18" s="25">
        <v>424.61</v>
      </c>
      <c r="L18" s="25">
        <v>0</v>
      </c>
      <c r="P18" s="25">
        <v>2348.9899999999998</v>
      </c>
    </row>
    <row r="19" spans="1:16" ht="13.5" customHeight="1">
      <c r="A19" s="25">
        <v>13</v>
      </c>
      <c r="J19" s="43">
        <v>3</v>
      </c>
      <c r="K19" s="25">
        <v>490.38</v>
      </c>
      <c r="L19" s="25">
        <v>0</v>
      </c>
      <c r="P19" s="25">
        <v>2703.93</v>
      </c>
    </row>
    <row r="20" spans="1:16" ht="13.5" customHeight="1">
      <c r="A20" s="25">
        <v>14</v>
      </c>
      <c r="J20" s="43">
        <v>3</v>
      </c>
      <c r="K20" s="25">
        <v>674.61</v>
      </c>
      <c r="L20" s="25">
        <v>0</v>
      </c>
      <c r="P20" s="25">
        <v>3636.49</v>
      </c>
    </row>
    <row r="21" spans="1:16" ht="13.5" customHeight="1">
      <c r="A21" s="25">
        <v>15</v>
      </c>
      <c r="J21" s="43">
        <v>3</v>
      </c>
      <c r="K21" s="25">
        <v>704.23</v>
      </c>
      <c r="L21" s="25">
        <v>0</v>
      </c>
      <c r="P21" s="25">
        <v>3789.03</v>
      </c>
    </row>
    <row r="22" spans="1:16" ht="13.5" customHeight="1">
      <c r="A22" s="25">
        <v>16</v>
      </c>
      <c r="J22" s="43">
        <v>3</v>
      </c>
      <c r="K22" s="25">
        <v>747.34</v>
      </c>
      <c r="L22" s="25">
        <v>0</v>
      </c>
      <c r="P22" s="25">
        <v>4027.27</v>
      </c>
    </row>
    <row r="23" spans="1:16" ht="13.5" customHeight="1">
      <c r="A23" s="25">
        <v>17</v>
      </c>
      <c r="J23" s="43">
        <v>3</v>
      </c>
      <c r="K23" s="25">
        <v>695.23</v>
      </c>
      <c r="L23" s="25">
        <v>0</v>
      </c>
      <c r="P23" s="25">
        <v>3742.68</v>
      </c>
    </row>
    <row r="24" spans="1:16" ht="13.5" customHeight="1">
      <c r="A24" s="25">
        <v>18</v>
      </c>
      <c r="J24" s="43">
        <v>3</v>
      </c>
      <c r="K24" s="25">
        <v>679.27</v>
      </c>
      <c r="L24" s="25">
        <v>569.98</v>
      </c>
      <c r="P24" s="25">
        <v>-1555.51</v>
      </c>
    </row>
    <row r="25" spans="1:16" ht="13.5" customHeight="1">
      <c r="A25" s="25">
        <v>19</v>
      </c>
      <c r="J25" s="43">
        <v>3</v>
      </c>
      <c r="K25" s="25">
        <v>428.93</v>
      </c>
      <c r="L25" s="25">
        <v>359.93</v>
      </c>
      <c r="P25" s="25">
        <v>-813.5</v>
      </c>
    </row>
    <row r="26" spans="1:16" ht="13.5" customHeight="1">
      <c r="A26" s="25">
        <v>20</v>
      </c>
      <c r="J26" s="43">
        <v>3</v>
      </c>
      <c r="K26" s="25">
        <v>396.68</v>
      </c>
      <c r="L26" s="25">
        <v>332.85</v>
      </c>
      <c r="P26" s="25">
        <v>-813.87</v>
      </c>
    </row>
    <row r="27" spans="1:16" ht="13.5" customHeight="1">
      <c r="A27" s="25">
        <v>21</v>
      </c>
      <c r="J27" s="43">
        <v>3</v>
      </c>
      <c r="K27" s="25">
        <v>114.28</v>
      </c>
      <c r="L27" s="25">
        <v>95.89</v>
      </c>
      <c r="P27" s="25">
        <v>-144.66999999999999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AH41" sqref="AH40:AH41"/>
    </sheetView>
  </sheetViews>
  <sheetFormatPr defaultColWidth="8.875" defaultRowHeight="14.25" customHeight="1"/>
  <cols>
    <col min="1" max="4" width="8.875" style="49"/>
    <col min="5" max="8" width="2.75" style="49" customWidth="1"/>
    <col min="9" max="37" width="2.875" style="49" customWidth="1"/>
    <col min="38" max="16384" width="8.875" style="49"/>
  </cols>
  <sheetData>
    <row r="2" spans="2:37" ht="14.25" customHeight="1">
      <c r="B2" s="78" t="s">
        <v>38</v>
      </c>
    </row>
    <row r="4" spans="2:37" ht="14.25" customHeight="1">
      <c r="B4" s="195" t="s">
        <v>39</v>
      </c>
      <c r="C4" s="196"/>
      <c r="D4" s="91" t="s">
        <v>75</v>
      </c>
    </row>
    <row r="5" spans="2:37" ht="14.25" customHeight="1">
      <c r="B5" s="79"/>
      <c r="C5" s="80" t="s">
        <v>40</v>
      </c>
      <c r="D5" s="91" t="s">
        <v>147</v>
      </c>
    </row>
    <row r="6" spans="2:37" ht="14.25" customHeight="1">
      <c r="B6" s="81"/>
      <c r="C6" s="82" t="s">
        <v>41</v>
      </c>
      <c r="D6" s="92">
        <v>2</v>
      </c>
    </row>
    <row r="7" spans="2:37" ht="14.25" customHeight="1">
      <c r="B7" s="195" t="s">
        <v>42</v>
      </c>
      <c r="C7" s="196"/>
      <c r="D7" s="91" t="s">
        <v>75</v>
      </c>
    </row>
    <row r="8" spans="2:37" ht="14.25" customHeight="1">
      <c r="B8" s="79"/>
      <c r="C8" s="80" t="s">
        <v>40</v>
      </c>
      <c r="D8" s="91" t="s">
        <v>147</v>
      </c>
    </row>
    <row r="9" spans="2:37" ht="14.25" customHeight="1">
      <c r="B9" s="81"/>
      <c r="C9" s="82" t="s">
        <v>41</v>
      </c>
      <c r="D9" s="93">
        <v>2</v>
      </c>
      <c r="I9" s="197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197"/>
      <c r="AA9" s="197"/>
      <c r="AB9" s="197"/>
      <c r="AC9" s="197"/>
      <c r="AD9" s="197"/>
      <c r="AE9" s="197"/>
      <c r="AF9" s="197"/>
      <c r="AG9" s="197"/>
      <c r="AH9" s="197"/>
      <c r="AI9" s="197"/>
      <c r="AJ9" s="197"/>
      <c r="AK9" s="197"/>
    </row>
    <row r="10" spans="2:37" ht="14.25" customHeight="1">
      <c r="B10" s="195" t="s">
        <v>81</v>
      </c>
      <c r="C10" s="196"/>
      <c r="D10" s="91" t="s">
        <v>75</v>
      </c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</row>
    <row r="11" spans="2:37" ht="14.25" customHeight="1">
      <c r="B11" s="81"/>
      <c r="C11" s="83" t="s">
        <v>43</v>
      </c>
      <c r="D11" s="91">
        <v>30</v>
      </c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</row>
    <row r="12" spans="2:37" ht="14.25" customHeight="1">
      <c r="D12" s="84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</row>
    <row r="13" spans="2:37" ht="14.25" customHeight="1">
      <c r="B13" s="85" t="s">
        <v>44</v>
      </c>
      <c r="C13" s="86"/>
      <c r="D13" s="8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</row>
    <row r="14" spans="2:37" ht="14.25" customHeight="1">
      <c r="B14" s="88"/>
      <c r="C14" s="89" t="s">
        <v>20</v>
      </c>
      <c r="D14" s="91">
        <v>180</v>
      </c>
      <c r="I14" s="197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</row>
    <row r="15" spans="2:37" ht="14.25" customHeight="1">
      <c r="B15" s="88"/>
      <c r="C15" s="89" t="s">
        <v>21</v>
      </c>
      <c r="D15" s="91">
        <v>0</v>
      </c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</row>
    <row r="16" spans="2:37" ht="14.25" customHeight="1">
      <c r="B16" s="90"/>
      <c r="C16" s="89" t="s">
        <v>22</v>
      </c>
      <c r="D16" s="91">
        <v>0</v>
      </c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</row>
    <row r="17" spans="3:37" ht="14.25" customHeight="1"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</row>
    <row r="18" spans="3:37" ht="14.25" customHeight="1">
      <c r="I18" s="197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</row>
    <row r="19" spans="3:37" ht="14.25" customHeight="1">
      <c r="I19" s="197"/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</row>
    <row r="20" spans="3:37" ht="14.25" customHeight="1">
      <c r="I20" s="197"/>
      <c r="J20" s="197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197"/>
      <c r="AF20" s="197"/>
      <c r="AG20" s="197"/>
      <c r="AH20" s="197"/>
      <c r="AI20" s="197"/>
      <c r="AJ20" s="197"/>
      <c r="AK20" s="197"/>
    </row>
    <row r="21" spans="3:37" ht="14.25" customHeight="1"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X21" s="197"/>
      <c r="Y21" s="197"/>
      <c r="Z21" s="197"/>
      <c r="AA21" s="197"/>
      <c r="AB21" s="197"/>
      <c r="AC21" s="197"/>
      <c r="AD21" s="197"/>
      <c r="AE21" s="197"/>
      <c r="AF21" s="197"/>
      <c r="AG21" s="197"/>
      <c r="AH21" s="197"/>
      <c r="AI21" s="197"/>
      <c r="AJ21" s="197"/>
      <c r="AK21" s="197"/>
    </row>
    <row r="22" spans="3:37" ht="14.25" customHeight="1"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</row>
    <row r="23" spans="3:37" ht="14.25" customHeight="1">
      <c r="I23" s="197"/>
      <c r="J23" s="197"/>
      <c r="K23" s="197"/>
      <c r="L23" s="197"/>
      <c r="M23" s="197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197"/>
      <c r="AC23" s="197"/>
      <c r="AD23" s="197"/>
      <c r="AE23" s="197"/>
      <c r="AF23" s="197"/>
      <c r="AG23" s="197"/>
      <c r="AH23" s="197"/>
      <c r="AI23" s="197"/>
      <c r="AJ23" s="197"/>
      <c r="AK23" s="197"/>
    </row>
    <row r="24" spans="3:37" ht="14.25" customHeight="1">
      <c r="C24" s="89" t="s">
        <v>59</v>
      </c>
      <c r="D24" s="91">
        <v>1</v>
      </c>
      <c r="I24" s="197"/>
      <c r="J24" s="197"/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197"/>
      <c r="AK24" s="197"/>
    </row>
    <row r="25" spans="3:37" ht="14.25" customHeight="1">
      <c r="I25" s="197"/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197"/>
      <c r="AG25" s="197"/>
      <c r="AH25" s="197"/>
      <c r="AI25" s="197"/>
      <c r="AJ25" s="197"/>
      <c r="AK25" s="197"/>
    </row>
    <row r="26" spans="3:37" ht="14.25" customHeight="1">
      <c r="I26" s="197"/>
      <c r="J26" s="197"/>
      <c r="K26" s="197"/>
      <c r="L26" s="197"/>
      <c r="M26" s="197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197"/>
      <c r="AC26" s="197"/>
      <c r="AD26" s="197"/>
      <c r="AE26" s="197"/>
      <c r="AF26" s="197"/>
      <c r="AG26" s="197"/>
      <c r="AH26" s="197"/>
      <c r="AI26" s="197"/>
      <c r="AJ26" s="197"/>
      <c r="AK26" s="197"/>
    </row>
    <row r="27" spans="3:37" ht="14.25" customHeight="1">
      <c r="I27" s="197"/>
      <c r="J27" s="197"/>
      <c r="K27" s="197"/>
      <c r="L27" s="197"/>
      <c r="M27" s="197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197"/>
      <c r="AC27" s="197"/>
      <c r="AD27" s="197"/>
      <c r="AE27" s="197"/>
      <c r="AF27" s="197"/>
      <c r="AG27" s="197"/>
      <c r="AH27" s="197"/>
      <c r="AI27" s="197"/>
      <c r="AJ27" s="197"/>
      <c r="AK27" s="197"/>
    </row>
    <row r="28" spans="3:37" ht="14.25" customHeight="1">
      <c r="I28" s="197"/>
      <c r="J28" s="197"/>
      <c r="K28" s="197"/>
      <c r="L28" s="197"/>
      <c r="M28" s="197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97"/>
      <c r="Y28" s="197"/>
      <c r="Z28" s="197"/>
      <c r="AA28" s="197"/>
      <c r="AB28" s="197"/>
      <c r="AC28" s="197"/>
      <c r="AD28" s="197"/>
      <c r="AE28" s="197"/>
      <c r="AF28" s="197"/>
      <c r="AG28" s="197"/>
      <c r="AH28" s="197"/>
      <c r="AI28" s="197"/>
      <c r="AJ28" s="197"/>
      <c r="AK28" s="197"/>
    </row>
    <row r="29" spans="3:37" ht="14.25" customHeight="1">
      <c r="I29" s="197"/>
      <c r="J29" s="197"/>
      <c r="K29" s="197"/>
      <c r="L29" s="197"/>
      <c r="M29" s="197"/>
      <c r="N29" s="197"/>
      <c r="O29" s="197"/>
      <c r="P29" s="197"/>
      <c r="Q29" s="197"/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</row>
    <row r="30" spans="3:37" ht="14.25" customHeight="1">
      <c r="I30" s="197"/>
      <c r="J30" s="197"/>
      <c r="K30" s="197"/>
      <c r="L30" s="197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197"/>
      <c r="AH30" s="197"/>
      <c r="AI30" s="197"/>
      <c r="AJ30" s="197"/>
      <c r="AK30" s="197"/>
    </row>
    <row r="31" spans="3:37" ht="14.25" customHeight="1">
      <c r="I31" s="197"/>
      <c r="J31" s="197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97"/>
      <c r="AF31" s="197"/>
      <c r="AG31" s="197"/>
      <c r="AH31" s="197"/>
      <c r="AI31" s="197"/>
      <c r="AJ31" s="197"/>
      <c r="AK31" s="197"/>
    </row>
    <row r="32" spans="3:37" ht="14.25" customHeight="1">
      <c r="I32" s="197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97"/>
      <c r="AF32" s="197"/>
      <c r="AG32" s="197"/>
      <c r="AH32" s="197"/>
      <c r="AI32" s="197"/>
      <c r="AJ32" s="197"/>
      <c r="AK32" s="197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5"/>
  <sheetViews>
    <sheetView zoomScale="85" zoomScaleNormal="85" workbookViewId="0">
      <selection sqref="A1:XFD1048576"/>
    </sheetView>
  </sheetViews>
  <sheetFormatPr defaultRowHeight="16.5" customHeight="1"/>
  <cols>
    <col min="1" max="1" width="9" style="146"/>
    <col min="2" max="16384" width="9" style="147"/>
  </cols>
  <sheetData>
    <row r="1" spans="1:17" s="141" customFormat="1" ht="16.5" customHeight="1">
      <c r="A1" s="140"/>
    </row>
    <row r="2" spans="1:17" s="141" customFormat="1" ht="16.5" customHeight="1">
      <c r="A2" s="142" t="s">
        <v>141</v>
      </c>
    </row>
    <row r="3" spans="1:17" s="144" customFormat="1" ht="16.5" customHeight="1">
      <c r="A3" s="143"/>
    </row>
    <row r="4" spans="1:17" s="97" customFormat="1" ht="16.5" customHeight="1">
      <c r="A4" s="101" t="s">
        <v>210</v>
      </c>
      <c r="B4" s="104" t="s">
        <v>211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03"/>
      <c r="O4" s="103"/>
      <c r="P4" s="103"/>
    </row>
    <row r="5" spans="1:17" s="100" customFormat="1" ht="16.5" customHeight="1">
      <c r="A5" s="98">
        <v>1</v>
      </c>
      <c r="B5" s="96">
        <v>1</v>
      </c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102"/>
      <c r="O5" s="102"/>
      <c r="P5" s="102"/>
      <c r="Q5" s="99"/>
    </row>
    <row r="6" spans="1:17" s="100" customFormat="1" ht="16.5" customHeight="1">
      <c r="A6" s="98">
        <v>2</v>
      </c>
      <c r="B6" s="96">
        <v>2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102"/>
      <c r="O6" s="102"/>
      <c r="P6" s="102"/>
      <c r="Q6" s="99"/>
    </row>
    <row r="7" spans="1:17" s="100" customFormat="1" ht="16.5" customHeight="1">
      <c r="A7" s="98">
        <v>3</v>
      </c>
      <c r="B7" s="96">
        <v>3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102"/>
      <c r="O7" s="102"/>
      <c r="P7" s="102"/>
      <c r="Q7" s="99"/>
    </row>
    <row r="8" spans="1:17" s="100" customFormat="1" ht="16.5" customHeight="1">
      <c r="A8" s="98">
        <v>4</v>
      </c>
      <c r="B8" s="96">
        <v>4</v>
      </c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102"/>
      <c r="O8" s="102"/>
      <c r="P8" s="102"/>
      <c r="Q8" s="99"/>
    </row>
    <row r="9" spans="1:17" ht="16.5" customHeight="1">
      <c r="A9" s="146">
        <v>5</v>
      </c>
      <c r="B9" s="147">
        <v>5</v>
      </c>
    </row>
    <row r="10" spans="1:17" ht="16.5" customHeight="1">
      <c r="A10" s="146">
        <v>6</v>
      </c>
      <c r="B10" s="147">
        <v>6</v>
      </c>
    </row>
    <row r="11" spans="1:17" ht="16.5" customHeight="1">
      <c r="A11" s="146">
        <v>7</v>
      </c>
      <c r="B11" s="147">
        <v>7</v>
      </c>
    </row>
    <row r="12" spans="1:17" ht="16.5" customHeight="1">
      <c r="A12" s="146">
        <v>8</v>
      </c>
      <c r="B12" s="147">
        <v>8</v>
      </c>
    </row>
    <row r="13" spans="1:17" ht="16.5" customHeight="1">
      <c r="A13" s="146">
        <v>9</v>
      </c>
      <c r="B13" s="147">
        <v>9</v>
      </c>
    </row>
    <row r="14" spans="1:17" ht="16.5" customHeight="1">
      <c r="A14" s="146">
        <v>10</v>
      </c>
      <c r="B14" s="147">
        <v>10</v>
      </c>
      <c r="C14" s="147">
        <v>-10</v>
      </c>
    </row>
    <row r="15" spans="1:17" ht="16.5" customHeight="1">
      <c r="A15" s="146">
        <v>11</v>
      </c>
      <c r="B15" s="147">
        <v>11</v>
      </c>
      <c r="C15" s="147">
        <v>-11</v>
      </c>
    </row>
    <row r="16" spans="1:17" ht="16.5" customHeight="1">
      <c r="A16" s="146">
        <v>12</v>
      </c>
      <c r="B16" s="147">
        <v>12</v>
      </c>
      <c r="C16" s="147">
        <v>-12</v>
      </c>
    </row>
    <row r="17" spans="1:3" ht="16.5" customHeight="1">
      <c r="A17" s="146">
        <v>13</v>
      </c>
      <c r="B17" s="147">
        <v>13</v>
      </c>
      <c r="C17" s="147">
        <v>-13</v>
      </c>
    </row>
    <row r="18" spans="1:3" ht="16.5" customHeight="1">
      <c r="A18" s="146">
        <v>14</v>
      </c>
      <c r="B18" s="147">
        <v>14</v>
      </c>
      <c r="C18" s="147">
        <v>-14</v>
      </c>
    </row>
    <row r="19" spans="1:3" ht="16.5" customHeight="1">
      <c r="A19" s="146">
        <v>15</v>
      </c>
      <c r="B19" s="147">
        <v>15</v>
      </c>
      <c r="C19" s="147">
        <v>-15</v>
      </c>
    </row>
    <row r="20" spans="1:3" ht="16.5" customHeight="1">
      <c r="A20" s="146">
        <v>16</v>
      </c>
      <c r="B20" s="147">
        <v>16</v>
      </c>
      <c r="C20" s="147">
        <v>-16</v>
      </c>
    </row>
    <row r="21" spans="1:3" ht="16.5" customHeight="1">
      <c r="A21" s="146">
        <v>17</v>
      </c>
      <c r="B21" s="147">
        <v>17</v>
      </c>
      <c r="C21" s="147">
        <v>-17</v>
      </c>
    </row>
    <row r="22" spans="1:3" ht="16.5" customHeight="1">
      <c r="A22" s="146">
        <v>18</v>
      </c>
      <c r="B22" s="147">
        <v>18</v>
      </c>
    </row>
    <row r="23" spans="1:3" ht="16.5" customHeight="1">
      <c r="A23" s="146">
        <v>19</v>
      </c>
      <c r="B23" s="147">
        <v>19</v>
      </c>
    </row>
    <row r="24" spans="1:3" ht="16.5" customHeight="1">
      <c r="A24" s="146">
        <v>20</v>
      </c>
      <c r="B24" s="147">
        <v>20</v>
      </c>
    </row>
    <row r="25" spans="1:3" ht="16.5" customHeight="1">
      <c r="A25" s="146">
        <v>21</v>
      </c>
      <c r="B25" s="147">
        <v>21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21"/>
  <sheetViews>
    <sheetView zoomScale="85" zoomScaleNormal="85" workbookViewId="0">
      <selection activeCell="B11" sqref="B11:V11"/>
    </sheetView>
  </sheetViews>
  <sheetFormatPr defaultRowHeight="15.75" customHeight="1"/>
  <cols>
    <col min="1" max="1" width="5.25" style="106" customWidth="1"/>
    <col min="2" max="22" width="5.875" style="108" customWidth="1"/>
    <col min="23" max="16384" width="9" style="108"/>
  </cols>
  <sheetData>
    <row r="1" spans="1:22" s="107" customFormat="1" ht="15.75" customHeight="1">
      <c r="A1" s="105"/>
    </row>
    <row r="2" spans="1:22" s="107" customFormat="1" ht="15.75" customHeight="1">
      <c r="A2" s="111" t="s">
        <v>142</v>
      </c>
    </row>
    <row r="3" spans="1:22" s="107" customFormat="1" ht="15.75" customHeight="1">
      <c r="A3" s="105"/>
    </row>
    <row r="4" spans="1:22" s="110" customFormat="1" ht="15.75" customHeight="1">
      <c r="A4" s="198" t="s">
        <v>212</v>
      </c>
      <c r="B4" s="109" t="s">
        <v>228</v>
      </c>
    </row>
    <row r="5" spans="1:22" s="106" customFormat="1" ht="15.75" customHeight="1">
      <c r="A5" s="199"/>
      <c r="B5" s="106">
        <v>1</v>
      </c>
      <c r="C5" s="106">
        <v>2</v>
      </c>
      <c r="D5" s="106">
        <v>3</v>
      </c>
      <c r="E5" s="106">
        <v>4</v>
      </c>
      <c r="F5" s="106">
        <v>5</v>
      </c>
      <c r="G5" s="106">
        <v>6</v>
      </c>
      <c r="H5" s="106">
        <v>7</v>
      </c>
      <c r="I5" s="106">
        <v>8</v>
      </c>
      <c r="J5" s="106">
        <v>9</v>
      </c>
      <c r="K5" s="106">
        <v>10</v>
      </c>
      <c r="L5" s="106">
        <v>11</v>
      </c>
      <c r="M5" s="106">
        <v>12</v>
      </c>
      <c r="N5" s="106">
        <v>13</v>
      </c>
      <c r="O5" s="106">
        <v>14</v>
      </c>
      <c r="P5" s="106">
        <v>15</v>
      </c>
      <c r="Q5" s="106">
        <v>16</v>
      </c>
      <c r="R5" s="106">
        <v>17</v>
      </c>
      <c r="S5" s="106">
        <v>18</v>
      </c>
      <c r="T5" s="106">
        <v>19</v>
      </c>
      <c r="U5" s="106">
        <v>20</v>
      </c>
      <c r="V5" s="106">
        <v>21</v>
      </c>
    </row>
    <row r="6" spans="1:22" ht="15.75" customHeight="1">
      <c r="A6" s="106">
        <v>1</v>
      </c>
      <c r="B6" s="148">
        <v>1.1000000000000001</v>
      </c>
      <c r="C6" s="148">
        <v>1.2</v>
      </c>
      <c r="D6" s="148"/>
      <c r="E6" s="148"/>
      <c r="F6" s="149"/>
      <c r="G6" s="150"/>
      <c r="H6" s="150">
        <v>1.1000000000000001</v>
      </c>
      <c r="I6" s="150"/>
      <c r="J6" s="150"/>
      <c r="K6" s="150"/>
      <c r="L6" s="150"/>
      <c r="M6" s="150"/>
      <c r="N6" s="150"/>
      <c r="O6" s="150">
        <v>1</v>
      </c>
      <c r="P6" s="150"/>
      <c r="Q6" s="150"/>
      <c r="R6" s="150"/>
      <c r="S6" s="150">
        <v>1</v>
      </c>
      <c r="T6" s="150"/>
      <c r="U6" s="150"/>
      <c r="V6" s="150">
        <v>1.1000000000000001</v>
      </c>
    </row>
    <row r="7" spans="1:22" ht="15.75" customHeight="1">
      <c r="A7" s="106">
        <v>2</v>
      </c>
      <c r="B7" s="150">
        <v>1.1000000000000001</v>
      </c>
      <c r="C7" s="150">
        <v>1.2</v>
      </c>
      <c r="D7" s="150"/>
      <c r="E7" s="150"/>
      <c r="F7" s="150"/>
      <c r="G7" s="150"/>
      <c r="H7" s="150">
        <v>1</v>
      </c>
      <c r="I7" s="150"/>
      <c r="J7" s="150"/>
      <c r="K7" s="150"/>
      <c r="L7" s="150"/>
      <c r="M7" s="150"/>
      <c r="N7" s="150"/>
      <c r="O7" s="150"/>
      <c r="P7" s="150">
        <v>1</v>
      </c>
      <c r="Q7" s="150"/>
      <c r="R7" s="150"/>
      <c r="S7" s="150">
        <v>1</v>
      </c>
      <c r="T7" s="150"/>
      <c r="U7" s="150"/>
      <c r="V7" s="150">
        <v>1.1000000000000001</v>
      </c>
    </row>
    <row r="8" spans="1:22" ht="15.75" customHeight="1">
      <c r="A8" s="106">
        <v>3</v>
      </c>
      <c r="B8" s="150">
        <v>1.1000000000000001</v>
      </c>
      <c r="C8" s="150">
        <v>1.2</v>
      </c>
      <c r="D8" s="150"/>
      <c r="E8" s="150"/>
      <c r="F8" s="150">
        <v>1</v>
      </c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>
        <v>1</v>
      </c>
      <c r="R8" s="150"/>
      <c r="S8" s="150">
        <v>1</v>
      </c>
      <c r="T8" s="150"/>
      <c r="U8" s="150"/>
      <c r="V8" s="150">
        <v>1.1000000000000001</v>
      </c>
    </row>
    <row r="9" spans="1:22" ht="15.75" customHeight="1">
      <c r="A9" s="106">
        <v>4</v>
      </c>
      <c r="B9" s="148">
        <v>0.9</v>
      </c>
      <c r="C9" s="148">
        <v>0.8</v>
      </c>
      <c r="D9" s="148"/>
      <c r="E9" s="148">
        <v>1</v>
      </c>
      <c r="F9" s="149"/>
      <c r="G9" s="150"/>
      <c r="H9" s="150"/>
      <c r="I9" s="150"/>
      <c r="J9" s="150">
        <v>1.1000000000000001</v>
      </c>
      <c r="K9" s="150"/>
      <c r="L9" s="150"/>
      <c r="M9" s="150"/>
      <c r="N9" s="150"/>
      <c r="O9" s="150">
        <v>1</v>
      </c>
      <c r="P9" s="150"/>
      <c r="Q9" s="150"/>
      <c r="R9" s="150"/>
      <c r="S9" s="150"/>
      <c r="T9" s="150"/>
      <c r="U9" s="150">
        <v>1</v>
      </c>
      <c r="V9" s="150">
        <v>1.1000000000000001</v>
      </c>
    </row>
    <row r="10" spans="1:22" ht="15.75" customHeight="1">
      <c r="A10" s="106">
        <v>5</v>
      </c>
      <c r="B10" s="148">
        <v>0.9</v>
      </c>
      <c r="C10" s="148">
        <v>0.8</v>
      </c>
      <c r="D10" s="150"/>
      <c r="E10" s="150">
        <v>1</v>
      </c>
      <c r="F10" s="150"/>
      <c r="G10" s="150"/>
      <c r="H10" s="150"/>
      <c r="I10" s="150"/>
      <c r="J10" s="150">
        <v>1</v>
      </c>
      <c r="K10" s="150"/>
      <c r="L10" s="150"/>
      <c r="M10" s="150"/>
      <c r="N10" s="150"/>
      <c r="O10" s="150"/>
      <c r="P10" s="150">
        <v>1</v>
      </c>
      <c r="Q10" s="150"/>
      <c r="R10" s="150"/>
      <c r="S10" s="150"/>
      <c r="T10" s="150"/>
      <c r="U10" s="150">
        <v>1</v>
      </c>
      <c r="V10" s="150">
        <v>1.1000000000000001</v>
      </c>
    </row>
    <row r="11" spans="1:22" ht="15.75" customHeight="1">
      <c r="A11" s="106">
        <v>6</v>
      </c>
      <c r="B11" s="148">
        <v>0.9</v>
      </c>
      <c r="C11" s="148">
        <v>0.8</v>
      </c>
      <c r="D11" s="150"/>
      <c r="E11" s="150">
        <v>1</v>
      </c>
      <c r="F11" s="150">
        <v>1</v>
      </c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>
        <v>1</v>
      </c>
      <c r="R11" s="150"/>
      <c r="S11" s="150"/>
      <c r="T11" s="150"/>
      <c r="U11" s="150">
        <v>1</v>
      </c>
      <c r="V11" s="150">
        <v>1.1000000000000001</v>
      </c>
    </row>
    <row r="12" spans="1:22" s="152" customFormat="1" ht="15.75" customHeight="1">
      <c r="A12" s="106">
        <v>7</v>
      </c>
      <c r="B12" s="151">
        <v>1</v>
      </c>
      <c r="C12" s="151">
        <v>1</v>
      </c>
      <c r="D12" s="151">
        <v>1</v>
      </c>
      <c r="E12" s="151"/>
      <c r="F12" s="151"/>
      <c r="G12" s="151"/>
      <c r="H12" s="151"/>
      <c r="I12" s="151">
        <v>1</v>
      </c>
      <c r="J12" s="151"/>
      <c r="K12" s="151"/>
      <c r="L12" s="151"/>
      <c r="M12" s="151"/>
      <c r="N12" s="151"/>
      <c r="O12" s="151"/>
      <c r="P12" s="151"/>
      <c r="Q12" s="151"/>
      <c r="R12" s="151">
        <v>1</v>
      </c>
      <c r="S12" s="151"/>
      <c r="T12" s="151">
        <v>1</v>
      </c>
      <c r="U12" s="151"/>
      <c r="V12" s="151">
        <v>1</v>
      </c>
    </row>
    <row r="13" spans="1:22" ht="15.75" customHeight="1">
      <c r="A13" s="106">
        <v>8</v>
      </c>
      <c r="B13" s="150">
        <v>1</v>
      </c>
      <c r="C13" s="150">
        <v>1</v>
      </c>
      <c r="D13" s="150">
        <v>1</v>
      </c>
      <c r="E13" s="150"/>
      <c r="F13" s="150"/>
      <c r="G13" s="150">
        <v>1</v>
      </c>
      <c r="H13" s="150"/>
      <c r="I13" s="150"/>
      <c r="J13" s="150"/>
      <c r="K13" s="150"/>
      <c r="L13" s="150">
        <v>1</v>
      </c>
      <c r="M13" s="150"/>
      <c r="N13" s="150"/>
      <c r="O13" s="150"/>
      <c r="P13" s="150"/>
      <c r="Q13" s="150"/>
      <c r="R13" s="150"/>
      <c r="S13" s="150"/>
      <c r="T13" s="150">
        <v>1</v>
      </c>
      <c r="U13" s="150"/>
      <c r="V13" s="150">
        <v>1</v>
      </c>
    </row>
    <row r="14" spans="1:22" ht="15.75" customHeight="1">
      <c r="A14" s="106">
        <v>9</v>
      </c>
      <c r="B14" s="150">
        <v>1</v>
      </c>
      <c r="C14" s="150">
        <v>1</v>
      </c>
      <c r="D14" s="150">
        <v>1</v>
      </c>
      <c r="E14" s="150"/>
      <c r="F14" s="150"/>
      <c r="G14" s="150"/>
      <c r="H14" s="150"/>
      <c r="I14" s="150"/>
      <c r="J14" s="150"/>
      <c r="K14" s="150">
        <v>1</v>
      </c>
      <c r="L14" s="150"/>
      <c r="M14" s="150"/>
      <c r="N14" s="150"/>
      <c r="O14" s="150"/>
      <c r="P14" s="150"/>
      <c r="Q14" s="150"/>
      <c r="R14" s="150"/>
      <c r="S14" s="150"/>
      <c r="T14" s="150">
        <v>1</v>
      </c>
      <c r="U14" s="150"/>
      <c r="V14" s="150"/>
    </row>
    <row r="15" spans="1:22" ht="15.75" customHeight="1">
      <c r="A15" s="106">
        <v>10</v>
      </c>
      <c r="B15" s="150"/>
      <c r="C15" s="150"/>
      <c r="D15" s="150"/>
      <c r="E15" s="150"/>
      <c r="F15" s="150"/>
      <c r="G15" s="150">
        <v>1</v>
      </c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>
        <v>1</v>
      </c>
    </row>
    <row r="16" spans="1:22" s="152" customFormat="1" ht="15.75" customHeight="1">
      <c r="A16" s="106">
        <v>11</v>
      </c>
      <c r="B16" s="153">
        <v>1.1000000000000001</v>
      </c>
      <c r="C16" s="153">
        <v>1.2</v>
      </c>
      <c r="D16" s="153"/>
      <c r="E16" s="153"/>
      <c r="F16" s="151"/>
      <c r="G16" s="151"/>
      <c r="H16" s="151">
        <v>1.1000000000000001</v>
      </c>
      <c r="I16" s="151"/>
      <c r="J16" s="151"/>
      <c r="K16" s="151"/>
      <c r="L16" s="151"/>
      <c r="M16" s="151">
        <v>1</v>
      </c>
      <c r="N16" s="151"/>
      <c r="O16" s="151"/>
      <c r="P16" s="151"/>
      <c r="Q16" s="151"/>
      <c r="R16" s="151"/>
      <c r="S16" s="151">
        <v>1</v>
      </c>
      <c r="T16" s="151"/>
      <c r="U16" s="151"/>
      <c r="V16" s="151">
        <v>1.1000000000000001</v>
      </c>
    </row>
    <row r="17" spans="1:22" s="152" customFormat="1" ht="15.75" customHeight="1">
      <c r="A17" s="106">
        <v>12</v>
      </c>
      <c r="B17" s="151">
        <v>1.1000000000000001</v>
      </c>
      <c r="C17" s="151">
        <v>1.2</v>
      </c>
      <c r="D17" s="151"/>
      <c r="E17" s="151"/>
      <c r="F17" s="151"/>
      <c r="G17" s="151"/>
      <c r="H17" s="151">
        <v>1</v>
      </c>
      <c r="I17" s="151"/>
      <c r="J17" s="151"/>
      <c r="K17" s="151"/>
      <c r="L17" s="151"/>
      <c r="M17" s="151"/>
      <c r="N17" s="151">
        <v>1</v>
      </c>
      <c r="O17" s="151"/>
      <c r="P17" s="151"/>
      <c r="Q17" s="151"/>
      <c r="R17" s="151"/>
      <c r="S17" s="151">
        <v>1</v>
      </c>
      <c r="T17" s="151"/>
      <c r="U17" s="151"/>
      <c r="V17" s="151">
        <v>1</v>
      </c>
    </row>
    <row r="18" spans="1:22" s="152" customFormat="1" ht="15.75" customHeight="1">
      <c r="A18" s="106">
        <v>13</v>
      </c>
      <c r="B18" s="153">
        <v>0.9</v>
      </c>
      <c r="C18" s="153">
        <v>0.8</v>
      </c>
      <c r="D18" s="153"/>
      <c r="E18" s="153">
        <v>1</v>
      </c>
      <c r="F18" s="151"/>
      <c r="G18" s="151"/>
      <c r="H18" s="151"/>
      <c r="I18" s="151"/>
      <c r="J18" s="151">
        <v>1.1000000000000001</v>
      </c>
      <c r="K18" s="151"/>
      <c r="L18" s="151"/>
      <c r="M18" s="151">
        <v>1</v>
      </c>
      <c r="N18" s="151"/>
      <c r="O18" s="151"/>
      <c r="P18" s="151"/>
      <c r="Q18" s="151"/>
      <c r="R18" s="151"/>
      <c r="S18" s="151"/>
      <c r="T18" s="151"/>
      <c r="U18" s="151">
        <v>1</v>
      </c>
      <c r="V18" s="151">
        <v>1.1000000000000001</v>
      </c>
    </row>
    <row r="19" spans="1:22" s="152" customFormat="1" ht="15.75" customHeight="1">
      <c r="A19" s="106">
        <v>14</v>
      </c>
      <c r="B19" s="153">
        <v>0.9</v>
      </c>
      <c r="C19" s="153">
        <v>0.8</v>
      </c>
      <c r="D19" s="151"/>
      <c r="E19" s="151">
        <v>1</v>
      </c>
      <c r="F19" s="151"/>
      <c r="G19" s="151"/>
      <c r="H19" s="151"/>
      <c r="I19" s="151"/>
      <c r="J19" s="151">
        <v>1</v>
      </c>
      <c r="K19" s="151"/>
      <c r="L19" s="151"/>
      <c r="M19" s="151"/>
      <c r="N19" s="151">
        <v>1</v>
      </c>
      <c r="O19" s="151"/>
      <c r="P19" s="151"/>
      <c r="Q19" s="151"/>
      <c r="R19" s="151"/>
      <c r="S19" s="151"/>
      <c r="T19" s="151"/>
      <c r="U19" s="151">
        <v>1</v>
      </c>
      <c r="V19" s="151">
        <v>1</v>
      </c>
    </row>
    <row r="20" spans="1:22" ht="15.75" customHeight="1">
      <c r="A20" s="106">
        <v>15</v>
      </c>
      <c r="B20" s="150">
        <v>1</v>
      </c>
      <c r="C20" s="150">
        <v>1</v>
      </c>
      <c r="D20" s="150">
        <v>1</v>
      </c>
      <c r="E20" s="150"/>
      <c r="F20" s="150"/>
      <c r="G20" s="150">
        <v>1</v>
      </c>
      <c r="H20" s="150"/>
      <c r="I20" s="150"/>
      <c r="J20" s="150"/>
      <c r="K20" s="150">
        <v>1</v>
      </c>
      <c r="L20" s="150"/>
      <c r="M20" s="150"/>
      <c r="N20" s="150"/>
      <c r="O20" s="150"/>
      <c r="P20" s="150"/>
      <c r="Q20" s="150"/>
      <c r="R20" s="150"/>
      <c r="S20" s="150"/>
      <c r="T20" s="150">
        <v>1</v>
      </c>
      <c r="U20" s="150"/>
      <c r="V20" s="150">
        <v>1</v>
      </c>
    </row>
    <row r="21" spans="1:22" ht="15.75" customHeight="1">
      <c r="A21" s="106">
        <v>16</v>
      </c>
      <c r="B21" s="150">
        <v>1</v>
      </c>
      <c r="C21" s="150">
        <v>1</v>
      </c>
      <c r="D21" s="150">
        <v>1</v>
      </c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>
        <v>1</v>
      </c>
      <c r="U21" s="150"/>
      <c r="V21" s="150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12"/>
  <sheetViews>
    <sheetView workbookViewId="0">
      <selection activeCell="G5" sqref="G5"/>
    </sheetView>
  </sheetViews>
  <sheetFormatPr defaultRowHeight="16.5" customHeight="1"/>
  <cols>
    <col min="1" max="1" width="9" style="146"/>
    <col min="2" max="16384" width="9" style="147"/>
  </cols>
  <sheetData>
    <row r="1" spans="1:17" s="141" customFormat="1" ht="16.5" customHeight="1">
      <c r="A1" s="140"/>
    </row>
    <row r="2" spans="1:17" s="141" customFormat="1" ht="16.5" customHeight="1">
      <c r="A2" s="142" t="s">
        <v>143</v>
      </c>
    </row>
    <row r="3" spans="1:17" s="144" customFormat="1" ht="16.5" customHeight="1">
      <c r="A3" s="143"/>
    </row>
    <row r="4" spans="1:17" s="97" customFormat="1" ht="16.5" customHeight="1">
      <c r="A4" s="101" t="s">
        <v>213</v>
      </c>
      <c r="B4" s="104" t="s">
        <v>211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03"/>
      <c r="O4" s="103"/>
      <c r="P4" s="103"/>
    </row>
    <row r="5" spans="1:17" s="100" customFormat="1" ht="16.5" customHeight="1">
      <c r="A5" s="98">
        <v>1</v>
      </c>
      <c r="B5" s="147">
        <v>1</v>
      </c>
      <c r="C5" s="147">
        <v>2</v>
      </c>
      <c r="D5" s="147">
        <v>3</v>
      </c>
      <c r="E5" s="147">
        <v>4</v>
      </c>
      <c r="F5" s="96">
        <v>5</v>
      </c>
      <c r="G5" s="96">
        <v>6</v>
      </c>
      <c r="H5" s="96"/>
      <c r="I5" s="96"/>
      <c r="J5" s="96"/>
      <c r="K5" s="96"/>
      <c r="L5" s="96"/>
      <c r="M5" s="96"/>
      <c r="N5" s="102"/>
      <c r="O5" s="102"/>
      <c r="P5" s="102"/>
      <c r="Q5" s="99"/>
    </row>
    <row r="6" spans="1:17" s="100" customFormat="1" ht="16.5" customHeight="1">
      <c r="A6" s="98">
        <v>2</v>
      </c>
      <c r="B6" s="96">
        <v>7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102"/>
      <c r="O6" s="102"/>
      <c r="P6" s="102"/>
      <c r="Q6" s="99"/>
    </row>
    <row r="7" spans="1:17" s="100" customFormat="1" ht="16.5" customHeight="1">
      <c r="A7" s="98">
        <v>3</v>
      </c>
      <c r="B7" s="96">
        <v>8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102"/>
      <c r="O7" s="102"/>
      <c r="P7" s="102"/>
      <c r="Q7" s="99"/>
    </row>
    <row r="8" spans="1:17" ht="16.5" customHeight="1">
      <c r="A8" s="146">
        <v>4</v>
      </c>
      <c r="B8" s="147">
        <v>9</v>
      </c>
    </row>
    <row r="9" spans="1:17" ht="16.5" customHeight="1">
      <c r="A9" s="146">
        <v>5</v>
      </c>
      <c r="B9" s="147">
        <v>10</v>
      </c>
    </row>
    <row r="10" spans="1:17" ht="16.5" customHeight="1">
      <c r="A10" s="146">
        <v>6</v>
      </c>
      <c r="B10" s="147">
        <v>11</v>
      </c>
      <c r="C10" s="147">
        <v>12</v>
      </c>
      <c r="D10" s="147">
        <v>13</v>
      </c>
      <c r="E10" s="147">
        <v>14</v>
      </c>
    </row>
    <row r="11" spans="1:17" ht="16.5" customHeight="1">
      <c r="A11" s="146">
        <v>7</v>
      </c>
      <c r="B11" s="147">
        <v>15</v>
      </c>
    </row>
    <row r="12" spans="1:17" ht="16.5" customHeight="1">
      <c r="A12" s="146">
        <v>8</v>
      </c>
      <c r="B12" s="147">
        <v>16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HB118"/>
  <sheetViews>
    <sheetView tabSelected="1" zoomScale="85" zoomScaleNormal="85" workbookViewId="0">
      <selection activeCell="G21" sqref="G21"/>
    </sheetView>
  </sheetViews>
  <sheetFormatPr defaultRowHeight="13.5"/>
  <cols>
    <col min="1" max="2" width="9" style="26" customWidth="1"/>
    <col min="3" max="8" width="10.625" style="26" customWidth="1"/>
    <col min="9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205">
      <c r="B6" s="26" t="s">
        <v>113</v>
      </c>
      <c r="C6" s="26" t="s">
        <v>114</v>
      </c>
      <c r="D6" s="26" t="s">
        <v>115</v>
      </c>
      <c r="E6" s="26" t="s">
        <v>116</v>
      </c>
      <c r="L6" s="26" t="s">
        <v>113</v>
      </c>
      <c r="M6" s="26" t="s">
        <v>114</v>
      </c>
      <c r="N6" s="26" t="s">
        <v>115</v>
      </c>
      <c r="O6" s="26" t="s">
        <v>116</v>
      </c>
      <c r="V6" s="26" t="s">
        <v>113</v>
      </c>
      <c r="W6" s="26" t="s">
        <v>114</v>
      </c>
      <c r="X6" s="26" t="s">
        <v>115</v>
      </c>
      <c r="Y6" s="26" t="s">
        <v>116</v>
      </c>
      <c r="AF6" s="26" t="s">
        <v>113</v>
      </c>
      <c r="AG6" s="26" t="s">
        <v>114</v>
      </c>
      <c r="AH6" s="26" t="s">
        <v>115</v>
      </c>
      <c r="AI6" s="26" t="s">
        <v>116</v>
      </c>
      <c r="AP6" s="26" t="s">
        <v>113</v>
      </c>
      <c r="AQ6" s="26" t="s">
        <v>114</v>
      </c>
      <c r="AR6" s="26" t="s">
        <v>115</v>
      </c>
      <c r="AS6" s="26" t="s">
        <v>116</v>
      </c>
      <c r="AZ6" s="26" t="s">
        <v>113</v>
      </c>
      <c r="BA6" s="26" t="s">
        <v>114</v>
      </c>
      <c r="BB6" s="26" t="s">
        <v>115</v>
      </c>
      <c r="BC6" s="26" t="s">
        <v>116</v>
      </c>
      <c r="BJ6" s="26" t="s">
        <v>113</v>
      </c>
      <c r="BK6" s="26" t="s">
        <v>114</v>
      </c>
      <c r="BL6" s="26" t="s">
        <v>115</v>
      </c>
      <c r="BM6" s="26" t="s">
        <v>116</v>
      </c>
      <c r="BT6" s="26" t="s">
        <v>113</v>
      </c>
      <c r="BU6" s="26" t="s">
        <v>114</v>
      </c>
      <c r="BV6" s="26" t="s">
        <v>115</v>
      </c>
      <c r="BW6" s="26" t="s">
        <v>116</v>
      </c>
      <c r="CD6" s="26" t="s">
        <v>113</v>
      </c>
      <c r="CE6" s="26" t="s">
        <v>114</v>
      </c>
      <c r="CF6" s="26" t="s">
        <v>115</v>
      </c>
      <c r="CG6" s="26" t="s">
        <v>116</v>
      </c>
      <c r="CN6" s="26" t="s">
        <v>113</v>
      </c>
      <c r="CO6" s="26" t="s">
        <v>114</v>
      </c>
      <c r="CP6" s="26" t="s">
        <v>115</v>
      </c>
      <c r="CQ6" s="26" t="s">
        <v>116</v>
      </c>
      <c r="CX6" s="26" t="s">
        <v>113</v>
      </c>
      <c r="CY6" s="26" t="s">
        <v>114</v>
      </c>
      <c r="CZ6" s="26" t="s">
        <v>115</v>
      </c>
      <c r="DA6" s="26" t="s">
        <v>116</v>
      </c>
      <c r="DH6" s="26" t="s">
        <v>113</v>
      </c>
      <c r="DI6" s="26" t="s">
        <v>114</v>
      </c>
      <c r="DJ6" s="26" t="s">
        <v>115</v>
      </c>
      <c r="DK6" s="26" t="s">
        <v>116</v>
      </c>
      <c r="DR6" s="26" t="s">
        <v>113</v>
      </c>
      <c r="DS6" s="26" t="s">
        <v>114</v>
      </c>
      <c r="DT6" s="26" t="s">
        <v>115</v>
      </c>
      <c r="DU6" s="26" t="s">
        <v>116</v>
      </c>
      <c r="EB6" s="26" t="s">
        <v>113</v>
      </c>
      <c r="EC6" s="26" t="s">
        <v>114</v>
      </c>
      <c r="ED6" s="26" t="s">
        <v>115</v>
      </c>
      <c r="EE6" s="26" t="s">
        <v>116</v>
      </c>
      <c r="EL6" s="26" t="s">
        <v>113</v>
      </c>
      <c r="EM6" s="26" t="s">
        <v>114</v>
      </c>
      <c r="EN6" s="26" t="s">
        <v>115</v>
      </c>
      <c r="EO6" s="26" t="s">
        <v>116</v>
      </c>
      <c r="EV6" s="26" t="s">
        <v>113</v>
      </c>
      <c r="EW6" s="26" t="s">
        <v>114</v>
      </c>
      <c r="EX6" s="26" t="s">
        <v>115</v>
      </c>
      <c r="EY6" s="26" t="s">
        <v>116</v>
      </c>
      <c r="FF6" s="26" t="s">
        <v>113</v>
      </c>
      <c r="FG6" s="26" t="s">
        <v>114</v>
      </c>
      <c r="FH6" s="26" t="s">
        <v>115</v>
      </c>
      <c r="FI6" s="26" t="s">
        <v>116</v>
      </c>
      <c r="FP6" s="26" t="s">
        <v>113</v>
      </c>
      <c r="FQ6" s="26" t="s">
        <v>114</v>
      </c>
      <c r="FR6" s="26" t="s">
        <v>115</v>
      </c>
      <c r="FS6" s="26" t="s">
        <v>116</v>
      </c>
      <c r="FZ6" s="26" t="s">
        <v>113</v>
      </c>
      <c r="GA6" s="26" t="s">
        <v>114</v>
      </c>
      <c r="GB6" s="26" t="s">
        <v>115</v>
      </c>
      <c r="GC6" s="26" t="s">
        <v>116</v>
      </c>
      <c r="GJ6" s="26" t="s">
        <v>113</v>
      </c>
      <c r="GK6" s="26" t="s">
        <v>114</v>
      </c>
      <c r="GL6" s="26" t="s">
        <v>115</v>
      </c>
      <c r="GM6" s="26" t="s">
        <v>116</v>
      </c>
      <c r="GT6" s="26" t="s">
        <v>113</v>
      </c>
      <c r="GU6" s="26" t="s">
        <v>114</v>
      </c>
      <c r="GV6" s="26" t="s">
        <v>115</v>
      </c>
      <c r="GW6" s="26" t="s">
        <v>116</v>
      </c>
    </row>
    <row r="7" spans="2:205">
      <c r="B7" s="26">
        <v>1</v>
      </c>
      <c r="C7" s="26">
        <v>1</v>
      </c>
      <c r="D7" s="26" t="s">
        <v>145</v>
      </c>
      <c r="E7" s="26" t="s">
        <v>214</v>
      </c>
      <c r="L7" s="26">
        <v>1</v>
      </c>
      <c r="M7" s="26">
        <v>2</v>
      </c>
      <c r="N7" s="26" t="s">
        <v>146</v>
      </c>
      <c r="O7" s="26" t="s">
        <v>215</v>
      </c>
      <c r="V7" s="26">
        <v>1</v>
      </c>
      <c r="W7" s="26">
        <v>3</v>
      </c>
      <c r="X7" s="26" t="s">
        <v>172</v>
      </c>
      <c r="Y7" s="26" t="s">
        <v>216</v>
      </c>
      <c r="AF7" s="26">
        <v>1</v>
      </c>
      <c r="AG7" s="26">
        <v>4</v>
      </c>
      <c r="AH7" s="26" t="s">
        <v>174</v>
      </c>
      <c r="AI7" s="26" t="s">
        <v>217</v>
      </c>
      <c r="AP7" s="26">
        <v>1</v>
      </c>
      <c r="AQ7" s="26">
        <v>5</v>
      </c>
      <c r="AR7" s="26" t="s">
        <v>176</v>
      </c>
      <c r="AS7" s="26" t="s">
        <v>218</v>
      </c>
      <c r="AZ7" s="26">
        <v>1</v>
      </c>
      <c r="BA7" s="26">
        <v>6</v>
      </c>
      <c r="BB7" s="26" t="s">
        <v>178</v>
      </c>
      <c r="BC7" s="26" t="s">
        <v>219</v>
      </c>
      <c r="BJ7" s="26">
        <v>1</v>
      </c>
      <c r="BK7" s="26">
        <v>7</v>
      </c>
      <c r="BL7" s="26" t="s">
        <v>180</v>
      </c>
      <c r="BM7" s="26" t="s">
        <v>220</v>
      </c>
      <c r="BT7" s="26">
        <v>1</v>
      </c>
      <c r="BU7" s="26">
        <v>8</v>
      </c>
      <c r="BV7" s="26" t="s">
        <v>182</v>
      </c>
      <c r="BW7" s="26" t="s">
        <v>221</v>
      </c>
      <c r="CD7" s="26">
        <v>1</v>
      </c>
      <c r="CE7" s="26">
        <v>9</v>
      </c>
      <c r="CF7" s="26" t="s">
        <v>184</v>
      </c>
      <c r="CG7" s="26" t="s">
        <v>222</v>
      </c>
      <c r="CN7" s="26">
        <v>1</v>
      </c>
      <c r="CO7" s="26">
        <v>10</v>
      </c>
      <c r="CP7" s="26" t="s">
        <v>186</v>
      </c>
      <c r="CQ7" s="26" t="s">
        <v>187</v>
      </c>
      <c r="CX7" s="26">
        <v>1</v>
      </c>
      <c r="CY7" s="26">
        <v>11</v>
      </c>
      <c r="CZ7" s="26" t="s">
        <v>188</v>
      </c>
      <c r="DA7" s="26" t="s">
        <v>187</v>
      </c>
      <c r="DH7" s="26">
        <v>1</v>
      </c>
      <c r="DI7" s="26">
        <v>12</v>
      </c>
      <c r="DJ7" s="26" t="s">
        <v>189</v>
      </c>
      <c r="DK7" s="26" t="s">
        <v>190</v>
      </c>
      <c r="DR7" s="26">
        <v>1</v>
      </c>
      <c r="DS7" s="26">
        <v>13</v>
      </c>
      <c r="DT7" s="26" t="s">
        <v>191</v>
      </c>
      <c r="DU7" s="26" t="s">
        <v>190</v>
      </c>
      <c r="EB7" s="26">
        <v>1</v>
      </c>
      <c r="EC7" s="26">
        <v>14</v>
      </c>
      <c r="ED7" s="26" t="s">
        <v>192</v>
      </c>
      <c r="EE7" s="26" t="s">
        <v>193</v>
      </c>
      <c r="EL7" s="26">
        <v>1</v>
      </c>
      <c r="EM7" s="26">
        <v>15</v>
      </c>
      <c r="EN7" s="26" t="s">
        <v>194</v>
      </c>
      <c r="EO7" s="26" t="s">
        <v>193</v>
      </c>
      <c r="EV7" s="26">
        <v>1</v>
      </c>
      <c r="EW7" s="26">
        <v>16</v>
      </c>
      <c r="EX7" s="26" t="s">
        <v>195</v>
      </c>
      <c r="EY7" s="26" t="s">
        <v>193</v>
      </c>
      <c r="FF7" s="26">
        <v>1</v>
      </c>
      <c r="FG7" s="26">
        <v>17</v>
      </c>
      <c r="FH7" s="26" t="s">
        <v>196</v>
      </c>
      <c r="FI7" s="26" t="s">
        <v>223</v>
      </c>
      <c r="FP7" s="26">
        <v>1</v>
      </c>
      <c r="FQ7" s="26">
        <v>18</v>
      </c>
      <c r="FR7" s="26" t="s">
        <v>198</v>
      </c>
      <c r="FS7" s="26" t="s">
        <v>224</v>
      </c>
      <c r="FZ7" s="26">
        <v>1</v>
      </c>
      <c r="GA7" s="26">
        <v>19</v>
      </c>
      <c r="GB7" s="26" t="s">
        <v>200</v>
      </c>
      <c r="GC7" s="26" t="s">
        <v>225</v>
      </c>
      <c r="GJ7" s="26">
        <v>1</v>
      </c>
      <c r="GK7" s="26">
        <v>20</v>
      </c>
      <c r="GL7" s="26" t="s">
        <v>202</v>
      </c>
      <c r="GM7" s="26" t="s">
        <v>226</v>
      </c>
      <c r="GT7" s="26">
        <v>1</v>
      </c>
      <c r="GU7" s="26">
        <v>21</v>
      </c>
      <c r="GV7" s="26" t="s">
        <v>204</v>
      </c>
      <c r="GW7" s="26" t="s">
        <v>227</v>
      </c>
    </row>
    <row r="9" spans="2:205">
      <c r="B9" s="26" t="s">
        <v>117</v>
      </c>
      <c r="C9" s="26">
        <v>18</v>
      </c>
      <c r="L9" s="26" t="s">
        <v>117</v>
      </c>
      <c r="M9" s="26">
        <v>18</v>
      </c>
      <c r="V9" s="26" t="s">
        <v>117</v>
      </c>
      <c r="W9" s="26">
        <v>18</v>
      </c>
      <c r="AF9" s="26" t="s">
        <v>117</v>
      </c>
      <c r="AG9" s="26">
        <v>18</v>
      </c>
      <c r="AP9" s="26" t="s">
        <v>117</v>
      </c>
      <c r="AQ9" s="26">
        <v>18</v>
      </c>
      <c r="AZ9" s="26" t="s">
        <v>117</v>
      </c>
      <c r="BA9" s="26">
        <v>18</v>
      </c>
      <c r="BJ9" s="26" t="s">
        <v>117</v>
      </c>
      <c r="BK9" s="26">
        <v>18</v>
      </c>
      <c r="BT9" s="26" t="s">
        <v>117</v>
      </c>
      <c r="BU9" s="26">
        <v>18</v>
      </c>
      <c r="CD9" s="26" t="s">
        <v>117</v>
      </c>
      <c r="CE9" s="26">
        <v>18</v>
      </c>
      <c r="CN9" s="26" t="s">
        <v>117</v>
      </c>
      <c r="CO9" s="26">
        <v>18</v>
      </c>
      <c r="CX9" s="26" t="s">
        <v>117</v>
      </c>
      <c r="CY9" s="26">
        <v>18</v>
      </c>
      <c r="DH9" s="26" t="s">
        <v>117</v>
      </c>
      <c r="DI9" s="26">
        <v>18</v>
      </c>
      <c r="DR9" s="26" t="s">
        <v>117</v>
      </c>
      <c r="DS9" s="26">
        <v>18</v>
      </c>
      <c r="EB9" s="26" t="s">
        <v>117</v>
      </c>
      <c r="EC9" s="26">
        <v>18</v>
      </c>
      <c r="EL9" s="26" t="s">
        <v>117</v>
      </c>
      <c r="EM9" s="26">
        <v>18</v>
      </c>
      <c r="EV9" s="26" t="s">
        <v>117</v>
      </c>
      <c r="EW9" s="26">
        <v>18</v>
      </c>
      <c r="FF9" s="26" t="s">
        <v>117</v>
      </c>
      <c r="FG9" s="26">
        <v>18</v>
      </c>
      <c r="FP9" s="26" t="s">
        <v>117</v>
      </c>
      <c r="FQ9" s="26">
        <v>18</v>
      </c>
      <c r="FZ9" s="26" t="s">
        <v>117</v>
      </c>
      <c r="GA9" s="26">
        <v>18</v>
      </c>
      <c r="GJ9" s="26" t="s">
        <v>117</v>
      </c>
      <c r="GK9" s="26">
        <v>18</v>
      </c>
      <c r="GT9" s="26" t="s">
        <v>117</v>
      </c>
      <c r="GU9" s="26">
        <v>18</v>
      </c>
    </row>
    <row r="11" spans="2:205">
      <c r="B11" s="26" t="s">
        <v>118</v>
      </c>
      <c r="L11" s="26" t="s">
        <v>118</v>
      </c>
      <c r="V11" s="26" t="s">
        <v>118</v>
      </c>
      <c r="AF11" s="26" t="s">
        <v>118</v>
      </c>
      <c r="AP11" s="26" t="s">
        <v>118</v>
      </c>
      <c r="AZ11" s="26" t="s">
        <v>118</v>
      </c>
      <c r="BJ11" s="26" t="s">
        <v>118</v>
      </c>
      <c r="BT11" s="26" t="s">
        <v>118</v>
      </c>
      <c r="CD11" s="26" t="s">
        <v>118</v>
      </c>
      <c r="CN11" s="26" t="s">
        <v>118</v>
      </c>
      <c r="CX11" s="26" t="s">
        <v>118</v>
      </c>
      <c r="DH11" s="26" t="s">
        <v>118</v>
      </c>
      <c r="DR11" s="26" t="s">
        <v>118</v>
      </c>
      <c r="EB11" s="26" t="s">
        <v>118</v>
      </c>
      <c r="EL11" s="26" t="s">
        <v>118</v>
      </c>
      <c r="EV11" s="26" t="s">
        <v>118</v>
      </c>
      <c r="FF11" s="26" t="s">
        <v>118</v>
      </c>
      <c r="FP11" s="26" t="s">
        <v>118</v>
      </c>
      <c r="FZ11" s="26" t="s">
        <v>118</v>
      </c>
      <c r="GJ11" s="26" t="s">
        <v>118</v>
      </c>
      <c r="GT11" s="26" t="s">
        <v>118</v>
      </c>
    </row>
    <row r="12" spans="2:205">
      <c r="C12" s="26" t="s">
        <v>119</v>
      </c>
      <c r="D12" s="26" t="s">
        <v>120</v>
      </c>
      <c r="E12" s="26" t="s">
        <v>121</v>
      </c>
      <c r="M12" s="26" t="s">
        <v>119</v>
      </c>
      <c r="N12" s="26" t="s">
        <v>120</v>
      </c>
      <c r="O12" s="26" t="s">
        <v>121</v>
      </c>
      <c r="W12" s="26" t="s">
        <v>119</v>
      </c>
      <c r="X12" s="26" t="s">
        <v>120</v>
      </c>
      <c r="Y12" s="26" t="s">
        <v>121</v>
      </c>
      <c r="AG12" s="26" t="s">
        <v>119</v>
      </c>
      <c r="AH12" s="26" t="s">
        <v>120</v>
      </c>
      <c r="AI12" s="26" t="s">
        <v>121</v>
      </c>
      <c r="AQ12" s="26" t="s">
        <v>119</v>
      </c>
      <c r="AR12" s="26" t="s">
        <v>120</v>
      </c>
      <c r="AS12" s="26" t="s">
        <v>121</v>
      </c>
      <c r="BA12" s="26" t="s">
        <v>119</v>
      </c>
      <c r="BB12" s="26" t="s">
        <v>120</v>
      </c>
      <c r="BC12" s="26" t="s">
        <v>121</v>
      </c>
      <c r="BK12" s="26" t="s">
        <v>119</v>
      </c>
      <c r="BL12" s="26" t="s">
        <v>120</v>
      </c>
      <c r="BM12" s="26" t="s">
        <v>121</v>
      </c>
      <c r="BU12" s="26" t="s">
        <v>119</v>
      </c>
      <c r="BV12" s="26" t="s">
        <v>120</v>
      </c>
      <c r="BW12" s="26" t="s">
        <v>121</v>
      </c>
      <c r="CE12" s="26" t="s">
        <v>119</v>
      </c>
      <c r="CF12" s="26" t="s">
        <v>120</v>
      </c>
      <c r="CG12" s="26" t="s">
        <v>121</v>
      </c>
      <c r="CO12" s="26" t="s">
        <v>119</v>
      </c>
      <c r="CP12" s="26" t="s">
        <v>120</v>
      </c>
      <c r="CQ12" s="26" t="s">
        <v>121</v>
      </c>
      <c r="CY12" s="26" t="s">
        <v>119</v>
      </c>
      <c r="CZ12" s="26" t="s">
        <v>120</v>
      </c>
      <c r="DA12" s="26" t="s">
        <v>121</v>
      </c>
      <c r="DI12" s="26" t="s">
        <v>119</v>
      </c>
      <c r="DJ12" s="26" t="s">
        <v>120</v>
      </c>
      <c r="DK12" s="26" t="s">
        <v>121</v>
      </c>
      <c r="DS12" s="26" t="s">
        <v>119</v>
      </c>
      <c r="DT12" s="26" t="s">
        <v>120</v>
      </c>
      <c r="DU12" s="26" t="s">
        <v>121</v>
      </c>
      <c r="EC12" s="26" t="s">
        <v>119</v>
      </c>
      <c r="ED12" s="26" t="s">
        <v>120</v>
      </c>
      <c r="EE12" s="26" t="s">
        <v>121</v>
      </c>
      <c r="EM12" s="26" t="s">
        <v>119</v>
      </c>
      <c r="EN12" s="26" t="s">
        <v>120</v>
      </c>
      <c r="EO12" s="26" t="s">
        <v>121</v>
      </c>
      <c r="EW12" s="26" t="s">
        <v>119</v>
      </c>
      <c r="EX12" s="26" t="s">
        <v>120</v>
      </c>
      <c r="EY12" s="26" t="s">
        <v>121</v>
      </c>
      <c r="FG12" s="26" t="s">
        <v>119</v>
      </c>
      <c r="FH12" s="26" t="s">
        <v>120</v>
      </c>
      <c r="FI12" s="26" t="s">
        <v>121</v>
      </c>
      <c r="FQ12" s="26" t="s">
        <v>119</v>
      </c>
      <c r="FR12" s="26" t="s">
        <v>120</v>
      </c>
      <c r="FS12" s="26" t="s">
        <v>121</v>
      </c>
      <c r="GA12" s="26" t="s">
        <v>119</v>
      </c>
      <c r="GB12" s="26" t="s">
        <v>120</v>
      </c>
      <c r="GC12" s="26" t="s">
        <v>121</v>
      </c>
      <c r="GK12" s="26" t="s">
        <v>119</v>
      </c>
      <c r="GL12" s="26" t="s">
        <v>120</v>
      </c>
      <c r="GM12" s="26" t="s">
        <v>121</v>
      </c>
      <c r="GU12" s="26" t="s">
        <v>119</v>
      </c>
      <c r="GV12" s="26" t="s">
        <v>120</v>
      </c>
      <c r="GW12" s="26" t="s">
        <v>121</v>
      </c>
    </row>
    <row r="13" spans="2:205">
      <c r="B13" s="26">
        <v>1</v>
      </c>
      <c r="C13" s="26">
        <v>3</v>
      </c>
      <c r="D13" s="26">
        <v>-2</v>
      </c>
      <c r="E13" s="26">
        <v>0</v>
      </c>
      <c r="L13" s="26">
        <v>1</v>
      </c>
      <c r="M13" s="26">
        <v>3</v>
      </c>
      <c r="N13" s="26">
        <v>-2</v>
      </c>
      <c r="O13" s="26">
        <v>0</v>
      </c>
      <c r="V13" s="26">
        <v>1</v>
      </c>
      <c r="W13" s="26">
        <v>3</v>
      </c>
      <c r="X13" s="26">
        <v>-2</v>
      </c>
      <c r="Y13" s="26">
        <v>0</v>
      </c>
      <c r="AF13" s="26">
        <v>1</v>
      </c>
      <c r="AG13" s="26">
        <v>3</v>
      </c>
      <c r="AH13" s="26">
        <v>-2</v>
      </c>
      <c r="AI13" s="26">
        <v>0</v>
      </c>
      <c r="AP13" s="26">
        <v>1</v>
      </c>
      <c r="AQ13" s="26">
        <v>3</v>
      </c>
      <c r="AR13" s="26">
        <v>-2</v>
      </c>
      <c r="AS13" s="26">
        <v>0</v>
      </c>
      <c r="AZ13" s="26">
        <v>1</v>
      </c>
      <c r="BA13" s="26">
        <v>3</v>
      </c>
      <c r="BB13" s="26">
        <v>-2</v>
      </c>
      <c r="BC13" s="26">
        <v>0</v>
      </c>
      <c r="BJ13" s="26">
        <v>1</v>
      </c>
      <c r="BK13" s="26">
        <v>3</v>
      </c>
      <c r="BL13" s="26">
        <v>-2</v>
      </c>
      <c r="BM13" s="26">
        <v>0</v>
      </c>
      <c r="BT13" s="26">
        <v>1</v>
      </c>
      <c r="BU13" s="26">
        <v>3</v>
      </c>
      <c r="BV13" s="26">
        <v>-2</v>
      </c>
      <c r="BW13" s="26">
        <v>0</v>
      </c>
      <c r="CD13" s="26">
        <v>1</v>
      </c>
      <c r="CE13" s="26">
        <v>3</v>
      </c>
      <c r="CF13" s="26">
        <v>-2</v>
      </c>
      <c r="CG13" s="26">
        <v>0</v>
      </c>
      <c r="CN13" s="26">
        <v>1</v>
      </c>
      <c r="CO13" s="26">
        <v>3</v>
      </c>
      <c r="CP13" s="26">
        <v>-2</v>
      </c>
      <c r="CQ13" s="26">
        <v>0</v>
      </c>
      <c r="CX13" s="26">
        <v>1</v>
      </c>
      <c r="CY13" s="26">
        <v>3</v>
      </c>
      <c r="CZ13" s="26">
        <v>-2</v>
      </c>
      <c r="DA13" s="26">
        <v>0</v>
      </c>
      <c r="DH13" s="26">
        <v>1</v>
      </c>
      <c r="DI13" s="26">
        <v>3</v>
      </c>
      <c r="DJ13" s="26">
        <v>-2</v>
      </c>
      <c r="DK13" s="26">
        <v>0</v>
      </c>
      <c r="DR13" s="26">
        <v>1</v>
      </c>
      <c r="DS13" s="26">
        <v>3</v>
      </c>
      <c r="DT13" s="26">
        <v>-2</v>
      </c>
      <c r="DU13" s="26">
        <v>0</v>
      </c>
      <c r="EB13" s="26">
        <v>1</v>
      </c>
      <c r="EC13" s="26">
        <v>3</v>
      </c>
      <c r="ED13" s="26">
        <v>-2</v>
      </c>
      <c r="EE13" s="26">
        <v>0</v>
      </c>
      <c r="EL13" s="26">
        <v>1</v>
      </c>
      <c r="EM13" s="26">
        <v>3</v>
      </c>
      <c r="EN13" s="26">
        <v>-2</v>
      </c>
      <c r="EO13" s="26">
        <v>0</v>
      </c>
      <c r="EV13" s="26">
        <v>1</v>
      </c>
      <c r="EW13" s="26">
        <v>3</v>
      </c>
      <c r="EX13" s="26">
        <v>-2</v>
      </c>
      <c r="EY13" s="26">
        <v>0</v>
      </c>
      <c r="FF13" s="26">
        <v>1</v>
      </c>
      <c r="FG13" s="26">
        <v>3</v>
      </c>
      <c r="FH13" s="26">
        <v>-2</v>
      </c>
      <c r="FI13" s="26">
        <v>0</v>
      </c>
      <c r="FP13" s="26">
        <v>1</v>
      </c>
      <c r="FQ13" s="26">
        <v>3</v>
      </c>
      <c r="FR13" s="26">
        <v>-2</v>
      </c>
      <c r="FS13" s="26">
        <v>0</v>
      </c>
      <c r="FZ13" s="26">
        <v>1</v>
      </c>
      <c r="GA13" s="26">
        <v>3</v>
      </c>
      <c r="GB13" s="26">
        <v>-2</v>
      </c>
      <c r="GC13" s="26">
        <v>0</v>
      </c>
      <c r="GJ13" s="26">
        <v>1</v>
      </c>
      <c r="GK13" s="26">
        <v>3</v>
      </c>
      <c r="GL13" s="26">
        <v>-2</v>
      </c>
      <c r="GM13" s="26">
        <v>0</v>
      </c>
      <c r="GT13" s="26">
        <v>1</v>
      </c>
      <c r="GU13" s="26">
        <v>3</v>
      </c>
      <c r="GV13" s="26">
        <v>-2</v>
      </c>
      <c r="GW13" s="26">
        <v>0</v>
      </c>
    </row>
    <row r="14" spans="2:205">
      <c r="B14" s="26">
        <v>2</v>
      </c>
      <c r="C14" s="26">
        <v>0</v>
      </c>
      <c r="D14" s="26">
        <v>-1</v>
      </c>
      <c r="E14" s="26">
        <v>0</v>
      </c>
      <c r="L14" s="26">
        <v>2</v>
      </c>
      <c r="M14" s="26">
        <v>0</v>
      </c>
      <c r="N14" s="26">
        <v>-1</v>
      </c>
      <c r="O14" s="26">
        <v>0</v>
      </c>
      <c r="V14" s="26">
        <v>2</v>
      </c>
      <c r="W14" s="26">
        <v>0</v>
      </c>
      <c r="X14" s="26">
        <v>-1</v>
      </c>
      <c r="Y14" s="26">
        <v>0</v>
      </c>
      <c r="AF14" s="26">
        <v>2</v>
      </c>
      <c r="AG14" s="26">
        <v>0</v>
      </c>
      <c r="AH14" s="26">
        <v>-1</v>
      </c>
      <c r="AI14" s="26">
        <v>0</v>
      </c>
      <c r="AP14" s="26">
        <v>2</v>
      </c>
      <c r="AQ14" s="26">
        <v>0</v>
      </c>
      <c r="AR14" s="26">
        <v>-1</v>
      </c>
      <c r="AS14" s="26">
        <v>0</v>
      </c>
      <c r="AZ14" s="26">
        <v>2</v>
      </c>
      <c r="BA14" s="26">
        <v>0</v>
      </c>
      <c r="BB14" s="26">
        <v>-1</v>
      </c>
      <c r="BC14" s="26">
        <v>0</v>
      </c>
      <c r="BJ14" s="26">
        <v>2</v>
      </c>
      <c r="BK14" s="26">
        <v>0</v>
      </c>
      <c r="BL14" s="26">
        <v>-1</v>
      </c>
      <c r="BM14" s="26">
        <v>0</v>
      </c>
      <c r="BT14" s="26">
        <v>2</v>
      </c>
      <c r="BU14" s="26">
        <v>0</v>
      </c>
      <c r="BV14" s="26">
        <v>-1</v>
      </c>
      <c r="BW14" s="26">
        <v>0</v>
      </c>
      <c r="CD14" s="26">
        <v>2</v>
      </c>
      <c r="CE14" s="26">
        <v>0</v>
      </c>
      <c r="CF14" s="26">
        <v>-1</v>
      </c>
      <c r="CG14" s="26">
        <v>0</v>
      </c>
      <c r="CN14" s="26">
        <v>2</v>
      </c>
      <c r="CO14" s="26">
        <v>0</v>
      </c>
      <c r="CP14" s="26">
        <v>-1</v>
      </c>
      <c r="CQ14" s="26">
        <v>0</v>
      </c>
      <c r="CX14" s="26">
        <v>2</v>
      </c>
      <c r="CY14" s="26">
        <v>0</v>
      </c>
      <c r="CZ14" s="26">
        <v>-1</v>
      </c>
      <c r="DA14" s="26">
        <v>0</v>
      </c>
      <c r="DH14" s="26">
        <v>2</v>
      </c>
      <c r="DI14" s="26">
        <v>0</v>
      </c>
      <c r="DJ14" s="26">
        <v>-1</v>
      </c>
      <c r="DK14" s="26">
        <v>0</v>
      </c>
      <c r="DR14" s="26">
        <v>2</v>
      </c>
      <c r="DS14" s="26">
        <v>0</v>
      </c>
      <c r="DT14" s="26">
        <v>-1</v>
      </c>
      <c r="DU14" s="26">
        <v>0</v>
      </c>
      <c r="EB14" s="26">
        <v>2</v>
      </c>
      <c r="EC14" s="26">
        <v>0</v>
      </c>
      <c r="ED14" s="26">
        <v>-1</v>
      </c>
      <c r="EE14" s="26">
        <v>0</v>
      </c>
      <c r="EL14" s="26">
        <v>2</v>
      </c>
      <c r="EM14" s="26">
        <v>0</v>
      </c>
      <c r="EN14" s="26">
        <v>-1</v>
      </c>
      <c r="EO14" s="26">
        <v>0</v>
      </c>
      <c r="EV14" s="26">
        <v>2</v>
      </c>
      <c r="EW14" s="26">
        <v>0</v>
      </c>
      <c r="EX14" s="26">
        <v>-1</v>
      </c>
      <c r="EY14" s="26">
        <v>0</v>
      </c>
      <c r="FF14" s="26">
        <v>2</v>
      </c>
      <c r="FG14" s="26">
        <v>0</v>
      </c>
      <c r="FH14" s="26">
        <v>-1</v>
      </c>
      <c r="FI14" s="26">
        <v>0</v>
      </c>
      <c r="FP14" s="26">
        <v>2</v>
      </c>
      <c r="FQ14" s="26">
        <v>0</v>
      </c>
      <c r="FR14" s="26">
        <v>-1</v>
      </c>
      <c r="FS14" s="26">
        <v>0</v>
      </c>
      <c r="FZ14" s="26">
        <v>2</v>
      </c>
      <c r="GA14" s="26">
        <v>0</v>
      </c>
      <c r="GB14" s="26">
        <v>-1</v>
      </c>
      <c r="GC14" s="26">
        <v>0</v>
      </c>
      <c r="GJ14" s="26">
        <v>2</v>
      </c>
      <c r="GK14" s="26">
        <v>0</v>
      </c>
      <c r="GL14" s="26">
        <v>-1</v>
      </c>
      <c r="GM14" s="26">
        <v>0</v>
      </c>
      <c r="GT14" s="26">
        <v>2</v>
      </c>
      <c r="GU14" s="26">
        <v>0</v>
      </c>
      <c r="GV14" s="26">
        <v>-1</v>
      </c>
      <c r="GW14" s="26">
        <v>0</v>
      </c>
    </row>
    <row r="15" spans="2:205">
      <c r="B15" s="26">
        <v>3</v>
      </c>
      <c r="C15" s="26">
        <v>3</v>
      </c>
      <c r="D15" s="26">
        <v>-1</v>
      </c>
      <c r="E15" s="26">
        <v>0</v>
      </c>
      <c r="L15" s="26">
        <v>3</v>
      </c>
      <c r="M15" s="26">
        <v>3</v>
      </c>
      <c r="N15" s="26">
        <v>-1</v>
      </c>
      <c r="O15" s="26">
        <v>0</v>
      </c>
      <c r="V15" s="26">
        <v>3</v>
      </c>
      <c r="W15" s="26">
        <v>3</v>
      </c>
      <c r="X15" s="26">
        <v>-1</v>
      </c>
      <c r="Y15" s="26">
        <v>0</v>
      </c>
      <c r="AF15" s="26">
        <v>3</v>
      </c>
      <c r="AG15" s="26">
        <v>3</v>
      </c>
      <c r="AH15" s="26">
        <v>-1</v>
      </c>
      <c r="AI15" s="26">
        <v>0</v>
      </c>
      <c r="AP15" s="26">
        <v>3</v>
      </c>
      <c r="AQ15" s="26">
        <v>3</v>
      </c>
      <c r="AR15" s="26">
        <v>-1</v>
      </c>
      <c r="AS15" s="26">
        <v>0</v>
      </c>
      <c r="AZ15" s="26">
        <v>3</v>
      </c>
      <c r="BA15" s="26">
        <v>3</v>
      </c>
      <c r="BB15" s="26">
        <v>-1</v>
      </c>
      <c r="BC15" s="26">
        <v>0</v>
      </c>
      <c r="BJ15" s="26">
        <v>3</v>
      </c>
      <c r="BK15" s="26">
        <v>3</v>
      </c>
      <c r="BL15" s="26">
        <v>-1</v>
      </c>
      <c r="BM15" s="26">
        <v>0</v>
      </c>
      <c r="BT15" s="26">
        <v>3</v>
      </c>
      <c r="BU15" s="26">
        <v>3</v>
      </c>
      <c r="BV15" s="26">
        <v>-1</v>
      </c>
      <c r="BW15" s="26">
        <v>0</v>
      </c>
      <c r="CD15" s="26">
        <v>3</v>
      </c>
      <c r="CE15" s="26">
        <v>3</v>
      </c>
      <c r="CF15" s="26">
        <v>-1</v>
      </c>
      <c r="CG15" s="26">
        <v>0</v>
      </c>
      <c r="CN15" s="26">
        <v>3</v>
      </c>
      <c r="CO15" s="26">
        <v>3</v>
      </c>
      <c r="CP15" s="26">
        <v>-1</v>
      </c>
      <c r="CQ15" s="26">
        <v>0</v>
      </c>
      <c r="CX15" s="26">
        <v>3</v>
      </c>
      <c r="CY15" s="26">
        <v>3</v>
      </c>
      <c r="CZ15" s="26">
        <v>-1</v>
      </c>
      <c r="DA15" s="26">
        <v>0</v>
      </c>
      <c r="DH15" s="26">
        <v>3</v>
      </c>
      <c r="DI15" s="26">
        <v>3</v>
      </c>
      <c r="DJ15" s="26">
        <v>-1</v>
      </c>
      <c r="DK15" s="26">
        <v>0</v>
      </c>
      <c r="DR15" s="26">
        <v>3</v>
      </c>
      <c r="DS15" s="26">
        <v>3</v>
      </c>
      <c r="DT15" s="26">
        <v>-1</v>
      </c>
      <c r="DU15" s="26">
        <v>0</v>
      </c>
      <c r="EB15" s="26">
        <v>3</v>
      </c>
      <c r="EC15" s="26">
        <v>3</v>
      </c>
      <c r="ED15" s="26">
        <v>-1</v>
      </c>
      <c r="EE15" s="26">
        <v>0</v>
      </c>
      <c r="EL15" s="26">
        <v>3</v>
      </c>
      <c r="EM15" s="26">
        <v>3</v>
      </c>
      <c r="EN15" s="26">
        <v>-1</v>
      </c>
      <c r="EO15" s="26">
        <v>0</v>
      </c>
      <c r="EV15" s="26">
        <v>3</v>
      </c>
      <c r="EW15" s="26">
        <v>3</v>
      </c>
      <c r="EX15" s="26">
        <v>-1</v>
      </c>
      <c r="EY15" s="26">
        <v>0</v>
      </c>
      <c r="FF15" s="26">
        <v>3</v>
      </c>
      <c r="FG15" s="26">
        <v>3</v>
      </c>
      <c r="FH15" s="26">
        <v>-1</v>
      </c>
      <c r="FI15" s="26">
        <v>0</v>
      </c>
      <c r="FP15" s="26">
        <v>3</v>
      </c>
      <c r="FQ15" s="26">
        <v>3</v>
      </c>
      <c r="FR15" s="26">
        <v>-1</v>
      </c>
      <c r="FS15" s="26">
        <v>0</v>
      </c>
      <c r="FZ15" s="26">
        <v>3</v>
      </c>
      <c r="GA15" s="26">
        <v>3</v>
      </c>
      <c r="GB15" s="26">
        <v>-1</v>
      </c>
      <c r="GC15" s="26">
        <v>0</v>
      </c>
      <c r="GJ15" s="26">
        <v>3</v>
      </c>
      <c r="GK15" s="26">
        <v>3</v>
      </c>
      <c r="GL15" s="26">
        <v>-1</v>
      </c>
      <c r="GM15" s="26">
        <v>0</v>
      </c>
      <c r="GT15" s="26">
        <v>3</v>
      </c>
      <c r="GU15" s="26">
        <v>3</v>
      </c>
      <c r="GV15" s="26">
        <v>-1</v>
      </c>
      <c r="GW15" s="26">
        <v>0</v>
      </c>
    </row>
    <row r="16" spans="2:205">
      <c r="B16" s="26">
        <v>4</v>
      </c>
      <c r="C16" s="26">
        <v>4.5</v>
      </c>
      <c r="D16" s="26">
        <v>-1</v>
      </c>
      <c r="E16" s="26">
        <v>0</v>
      </c>
      <c r="L16" s="26">
        <v>4</v>
      </c>
      <c r="M16" s="26">
        <v>4.5</v>
      </c>
      <c r="N16" s="26">
        <v>-1</v>
      </c>
      <c r="O16" s="26">
        <v>0</v>
      </c>
      <c r="V16" s="26">
        <v>4</v>
      </c>
      <c r="W16" s="26">
        <v>4.5</v>
      </c>
      <c r="X16" s="26">
        <v>-1</v>
      </c>
      <c r="Y16" s="26">
        <v>0</v>
      </c>
      <c r="AF16" s="26">
        <v>4</v>
      </c>
      <c r="AG16" s="26">
        <v>4.5</v>
      </c>
      <c r="AH16" s="26">
        <v>-1</v>
      </c>
      <c r="AI16" s="26">
        <v>0</v>
      </c>
      <c r="AP16" s="26">
        <v>4</v>
      </c>
      <c r="AQ16" s="26">
        <v>4.5</v>
      </c>
      <c r="AR16" s="26">
        <v>-1</v>
      </c>
      <c r="AS16" s="26">
        <v>0</v>
      </c>
      <c r="AZ16" s="26">
        <v>4</v>
      </c>
      <c r="BA16" s="26">
        <v>4.5</v>
      </c>
      <c r="BB16" s="26">
        <v>-1</v>
      </c>
      <c r="BC16" s="26">
        <v>0</v>
      </c>
      <c r="BJ16" s="26">
        <v>4</v>
      </c>
      <c r="BK16" s="26">
        <v>4.5</v>
      </c>
      <c r="BL16" s="26">
        <v>-1</v>
      </c>
      <c r="BM16" s="26">
        <v>0</v>
      </c>
      <c r="BT16" s="26">
        <v>4</v>
      </c>
      <c r="BU16" s="26">
        <v>4.5</v>
      </c>
      <c r="BV16" s="26">
        <v>-1</v>
      </c>
      <c r="BW16" s="26">
        <v>0</v>
      </c>
      <c r="CD16" s="26">
        <v>4</v>
      </c>
      <c r="CE16" s="26">
        <v>4.5</v>
      </c>
      <c r="CF16" s="26">
        <v>-1</v>
      </c>
      <c r="CG16" s="26">
        <v>0</v>
      </c>
      <c r="CN16" s="26">
        <v>4</v>
      </c>
      <c r="CO16" s="26">
        <v>4.5</v>
      </c>
      <c r="CP16" s="26">
        <v>-1</v>
      </c>
      <c r="CQ16" s="26">
        <v>0</v>
      </c>
      <c r="CX16" s="26">
        <v>4</v>
      </c>
      <c r="CY16" s="26">
        <v>4.5</v>
      </c>
      <c r="CZ16" s="26">
        <v>-1</v>
      </c>
      <c r="DA16" s="26">
        <v>0</v>
      </c>
      <c r="DH16" s="26">
        <v>4</v>
      </c>
      <c r="DI16" s="26">
        <v>4.5</v>
      </c>
      <c r="DJ16" s="26">
        <v>-1</v>
      </c>
      <c r="DK16" s="26">
        <v>0</v>
      </c>
      <c r="DR16" s="26">
        <v>4</v>
      </c>
      <c r="DS16" s="26">
        <v>4.5</v>
      </c>
      <c r="DT16" s="26">
        <v>-1</v>
      </c>
      <c r="DU16" s="26">
        <v>0</v>
      </c>
      <c r="EB16" s="26">
        <v>4</v>
      </c>
      <c r="EC16" s="26">
        <v>4.5</v>
      </c>
      <c r="ED16" s="26">
        <v>-1</v>
      </c>
      <c r="EE16" s="26">
        <v>0</v>
      </c>
      <c r="EL16" s="26">
        <v>4</v>
      </c>
      <c r="EM16" s="26">
        <v>4.5</v>
      </c>
      <c r="EN16" s="26">
        <v>-1</v>
      </c>
      <c r="EO16" s="26">
        <v>0</v>
      </c>
      <c r="EV16" s="26">
        <v>4</v>
      </c>
      <c r="EW16" s="26">
        <v>4.5</v>
      </c>
      <c r="EX16" s="26">
        <v>-1</v>
      </c>
      <c r="EY16" s="26">
        <v>0</v>
      </c>
      <c r="FF16" s="26">
        <v>4</v>
      </c>
      <c r="FG16" s="26">
        <v>4.5</v>
      </c>
      <c r="FH16" s="26">
        <v>-1</v>
      </c>
      <c r="FI16" s="26">
        <v>0</v>
      </c>
      <c r="FP16" s="26">
        <v>4</v>
      </c>
      <c r="FQ16" s="26">
        <v>4.5</v>
      </c>
      <c r="FR16" s="26">
        <v>-1</v>
      </c>
      <c r="FS16" s="26">
        <v>0</v>
      </c>
      <c r="FZ16" s="26">
        <v>4</v>
      </c>
      <c r="GA16" s="26">
        <v>4.5</v>
      </c>
      <c r="GB16" s="26">
        <v>-1</v>
      </c>
      <c r="GC16" s="26">
        <v>0</v>
      </c>
      <c r="GJ16" s="26">
        <v>4</v>
      </c>
      <c r="GK16" s="26">
        <v>4.5</v>
      </c>
      <c r="GL16" s="26">
        <v>-1</v>
      </c>
      <c r="GM16" s="26">
        <v>0</v>
      </c>
      <c r="GT16" s="26">
        <v>4</v>
      </c>
      <c r="GU16" s="26">
        <v>4.5</v>
      </c>
      <c r="GV16" s="26">
        <v>-1</v>
      </c>
      <c r="GW16" s="26">
        <v>0</v>
      </c>
    </row>
    <row r="17" spans="2:205">
      <c r="B17" s="26">
        <v>5</v>
      </c>
      <c r="C17" s="26">
        <v>0</v>
      </c>
      <c r="D17" s="26">
        <v>0</v>
      </c>
      <c r="E17" s="26">
        <v>0</v>
      </c>
      <c r="L17" s="26">
        <v>5</v>
      </c>
      <c r="M17" s="26">
        <v>0</v>
      </c>
      <c r="N17" s="26">
        <v>0</v>
      </c>
      <c r="O17" s="26">
        <v>0</v>
      </c>
      <c r="V17" s="26">
        <v>5</v>
      </c>
      <c r="W17" s="26">
        <v>0</v>
      </c>
      <c r="X17" s="26">
        <v>0</v>
      </c>
      <c r="Y17" s="26">
        <v>0</v>
      </c>
      <c r="AF17" s="26">
        <v>5</v>
      </c>
      <c r="AG17" s="26">
        <v>0</v>
      </c>
      <c r="AH17" s="26">
        <v>0</v>
      </c>
      <c r="AI17" s="26">
        <v>0</v>
      </c>
      <c r="AP17" s="26">
        <v>5</v>
      </c>
      <c r="AQ17" s="26">
        <v>0</v>
      </c>
      <c r="AR17" s="26">
        <v>0</v>
      </c>
      <c r="AS17" s="26">
        <v>0</v>
      </c>
      <c r="AZ17" s="26">
        <v>5</v>
      </c>
      <c r="BA17" s="26">
        <v>0</v>
      </c>
      <c r="BB17" s="26">
        <v>0</v>
      </c>
      <c r="BC17" s="26">
        <v>0</v>
      </c>
      <c r="BJ17" s="26">
        <v>5</v>
      </c>
      <c r="BK17" s="26">
        <v>0</v>
      </c>
      <c r="BL17" s="26">
        <v>0</v>
      </c>
      <c r="BM17" s="26">
        <v>0</v>
      </c>
      <c r="BT17" s="26">
        <v>5</v>
      </c>
      <c r="BU17" s="26">
        <v>0</v>
      </c>
      <c r="BV17" s="26">
        <v>0</v>
      </c>
      <c r="BW17" s="26">
        <v>0</v>
      </c>
      <c r="CD17" s="26">
        <v>5</v>
      </c>
      <c r="CE17" s="26">
        <v>0</v>
      </c>
      <c r="CF17" s="26">
        <v>0</v>
      </c>
      <c r="CG17" s="26">
        <v>0</v>
      </c>
      <c r="CN17" s="26">
        <v>5</v>
      </c>
      <c r="CO17" s="26">
        <v>0</v>
      </c>
      <c r="CP17" s="26">
        <v>0</v>
      </c>
      <c r="CQ17" s="26">
        <v>0</v>
      </c>
      <c r="CX17" s="26">
        <v>5</v>
      </c>
      <c r="CY17" s="26">
        <v>0</v>
      </c>
      <c r="CZ17" s="26">
        <v>0</v>
      </c>
      <c r="DA17" s="26">
        <v>0</v>
      </c>
      <c r="DH17" s="26">
        <v>5</v>
      </c>
      <c r="DI17" s="26">
        <v>0</v>
      </c>
      <c r="DJ17" s="26">
        <v>0</v>
      </c>
      <c r="DK17" s="26">
        <v>0</v>
      </c>
      <c r="DR17" s="26">
        <v>5</v>
      </c>
      <c r="DS17" s="26">
        <v>0</v>
      </c>
      <c r="DT17" s="26">
        <v>0</v>
      </c>
      <c r="DU17" s="26">
        <v>0</v>
      </c>
      <c r="EB17" s="26">
        <v>5</v>
      </c>
      <c r="EC17" s="26">
        <v>0</v>
      </c>
      <c r="ED17" s="26">
        <v>0</v>
      </c>
      <c r="EE17" s="26">
        <v>0</v>
      </c>
      <c r="EL17" s="26">
        <v>5</v>
      </c>
      <c r="EM17" s="26">
        <v>0</v>
      </c>
      <c r="EN17" s="26">
        <v>0</v>
      </c>
      <c r="EO17" s="26">
        <v>0</v>
      </c>
      <c r="EV17" s="26">
        <v>5</v>
      </c>
      <c r="EW17" s="26">
        <v>0</v>
      </c>
      <c r="EX17" s="26">
        <v>0</v>
      </c>
      <c r="EY17" s="26">
        <v>0</v>
      </c>
      <c r="FF17" s="26">
        <v>5</v>
      </c>
      <c r="FG17" s="26">
        <v>0</v>
      </c>
      <c r="FH17" s="26">
        <v>0</v>
      </c>
      <c r="FI17" s="26">
        <v>0</v>
      </c>
      <c r="FP17" s="26">
        <v>5</v>
      </c>
      <c r="FQ17" s="26">
        <v>0</v>
      </c>
      <c r="FR17" s="26">
        <v>0</v>
      </c>
      <c r="FS17" s="26">
        <v>0</v>
      </c>
      <c r="FZ17" s="26">
        <v>5</v>
      </c>
      <c r="GA17" s="26">
        <v>0</v>
      </c>
      <c r="GB17" s="26">
        <v>0</v>
      </c>
      <c r="GC17" s="26">
        <v>0</v>
      </c>
      <c r="GJ17" s="26">
        <v>5</v>
      </c>
      <c r="GK17" s="26">
        <v>0</v>
      </c>
      <c r="GL17" s="26">
        <v>0</v>
      </c>
      <c r="GM17" s="26">
        <v>0</v>
      </c>
      <c r="GT17" s="26">
        <v>5</v>
      </c>
      <c r="GU17" s="26">
        <v>0</v>
      </c>
      <c r="GV17" s="26">
        <v>0</v>
      </c>
      <c r="GW17" s="26">
        <v>0</v>
      </c>
    </row>
    <row r="18" spans="2:205">
      <c r="B18" s="26">
        <v>6</v>
      </c>
      <c r="C18" s="26">
        <v>4.5</v>
      </c>
      <c r="D18" s="26">
        <v>0</v>
      </c>
      <c r="E18" s="26">
        <v>0</v>
      </c>
      <c r="L18" s="26">
        <v>6</v>
      </c>
      <c r="M18" s="26">
        <v>4.5</v>
      </c>
      <c r="N18" s="26">
        <v>0</v>
      </c>
      <c r="O18" s="26">
        <v>0</v>
      </c>
      <c r="V18" s="26">
        <v>6</v>
      </c>
      <c r="W18" s="26">
        <v>4.5</v>
      </c>
      <c r="X18" s="26">
        <v>0</v>
      </c>
      <c r="Y18" s="26">
        <v>0</v>
      </c>
      <c r="AF18" s="26">
        <v>6</v>
      </c>
      <c r="AG18" s="26">
        <v>4.5</v>
      </c>
      <c r="AH18" s="26">
        <v>0</v>
      </c>
      <c r="AI18" s="26">
        <v>0</v>
      </c>
      <c r="AP18" s="26">
        <v>6</v>
      </c>
      <c r="AQ18" s="26">
        <v>4.5</v>
      </c>
      <c r="AR18" s="26">
        <v>0</v>
      </c>
      <c r="AS18" s="26">
        <v>0</v>
      </c>
      <c r="AZ18" s="26">
        <v>6</v>
      </c>
      <c r="BA18" s="26">
        <v>4.5</v>
      </c>
      <c r="BB18" s="26">
        <v>0</v>
      </c>
      <c r="BC18" s="26">
        <v>0</v>
      </c>
      <c r="BJ18" s="26">
        <v>6</v>
      </c>
      <c r="BK18" s="26">
        <v>4.5</v>
      </c>
      <c r="BL18" s="26">
        <v>0</v>
      </c>
      <c r="BM18" s="26">
        <v>0</v>
      </c>
      <c r="BT18" s="26">
        <v>6</v>
      </c>
      <c r="BU18" s="26">
        <v>4.5</v>
      </c>
      <c r="BV18" s="26">
        <v>0</v>
      </c>
      <c r="BW18" s="26">
        <v>0</v>
      </c>
      <c r="CD18" s="26">
        <v>6</v>
      </c>
      <c r="CE18" s="26">
        <v>4.5</v>
      </c>
      <c r="CF18" s="26">
        <v>0</v>
      </c>
      <c r="CG18" s="26">
        <v>0</v>
      </c>
      <c r="CN18" s="26">
        <v>6</v>
      </c>
      <c r="CO18" s="26">
        <v>4.5</v>
      </c>
      <c r="CP18" s="26">
        <v>0</v>
      </c>
      <c r="CQ18" s="26">
        <v>0</v>
      </c>
      <c r="CX18" s="26">
        <v>6</v>
      </c>
      <c r="CY18" s="26">
        <v>4.5</v>
      </c>
      <c r="CZ18" s="26">
        <v>0</v>
      </c>
      <c r="DA18" s="26">
        <v>0</v>
      </c>
      <c r="DH18" s="26">
        <v>6</v>
      </c>
      <c r="DI18" s="26">
        <v>4.5</v>
      </c>
      <c r="DJ18" s="26">
        <v>0</v>
      </c>
      <c r="DK18" s="26">
        <v>0</v>
      </c>
      <c r="DR18" s="26">
        <v>6</v>
      </c>
      <c r="DS18" s="26">
        <v>4.5</v>
      </c>
      <c r="DT18" s="26">
        <v>0</v>
      </c>
      <c r="DU18" s="26">
        <v>0</v>
      </c>
      <c r="EB18" s="26">
        <v>6</v>
      </c>
      <c r="EC18" s="26">
        <v>4.5</v>
      </c>
      <c r="ED18" s="26">
        <v>0</v>
      </c>
      <c r="EE18" s="26">
        <v>0</v>
      </c>
      <c r="EL18" s="26">
        <v>6</v>
      </c>
      <c r="EM18" s="26">
        <v>4.5</v>
      </c>
      <c r="EN18" s="26">
        <v>0</v>
      </c>
      <c r="EO18" s="26">
        <v>0</v>
      </c>
      <c r="EV18" s="26">
        <v>6</v>
      </c>
      <c r="EW18" s="26">
        <v>4.5</v>
      </c>
      <c r="EX18" s="26">
        <v>0</v>
      </c>
      <c r="EY18" s="26">
        <v>0</v>
      </c>
      <c r="FF18" s="26">
        <v>6</v>
      </c>
      <c r="FG18" s="26">
        <v>4.5</v>
      </c>
      <c r="FH18" s="26">
        <v>0</v>
      </c>
      <c r="FI18" s="26">
        <v>0</v>
      </c>
      <c r="FP18" s="26">
        <v>6</v>
      </c>
      <c r="FQ18" s="26">
        <v>4.5</v>
      </c>
      <c r="FR18" s="26">
        <v>0</v>
      </c>
      <c r="FS18" s="26">
        <v>0</v>
      </c>
      <c r="FZ18" s="26">
        <v>6</v>
      </c>
      <c r="GA18" s="26">
        <v>4.5</v>
      </c>
      <c r="GB18" s="26">
        <v>0</v>
      </c>
      <c r="GC18" s="26">
        <v>0</v>
      </c>
      <c r="GJ18" s="26">
        <v>6</v>
      </c>
      <c r="GK18" s="26">
        <v>4.5</v>
      </c>
      <c r="GL18" s="26">
        <v>0</v>
      </c>
      <c r="GM18" s="26">
        <v>0</v>
      </c>
      <c r="GT18" s="26">
        <v>6</v>
      </c>
      <c r="GU18" s="26">
        <v>4.5</v>
      </c>
      <c r="GV18" s="26">
        <v>0</v>
      </c>
      <c r="GW18" s="26">
        <v>0</v>
      </c>
    </row>
    <row r="19" spans="2:205">
      <c r="B19" s="26">
        <v>7</v>
      </c>
      <c r="C19" s="26">
        <v>0</v>
      </c>
      <c r="D19" s="26">
        <v>2.2400000000000002</v>
      </c>
      <c r="E19" s="26">
        <v>0</v>
      </c>
      <c r="L19" s="26">
        <v>7</v>
      </c>
      <c r="M19" s="26">
        <v>0</v>
      </c>
      <c r="N19" s="26">
        <v>2.2400000000000002</v>
      </c>
      <c r="O19" s="26">
        <v>0</v>
      </c>
      <c r="V19" s="26">
        <v>7</v>
      </c>
      <c r="W19" s="26">
        <v>0</v>
      </c>
      <c r="X19" s="26">
        <v>2.2400000000000002</v>
      </c>
      <c r="Y19" s="26">
        <v>0</v>
      </c>
      <c r="AF19" s="26">
        <v>7</v>
      </c>
      <c r="AG19" s="26">
        <v>0</v>
      </c>
      <c r="AH19" s="26">
        <v>2.2400000000000002</v>
      </c>
      <c r="AI19" s="26">
        <v>0</v>
      </c>
      <c r="AP19" s="26">
        <v>7</v>
      </c>
      <c r="AQ19" s="26">
        <v>0</v>
      </c>
      <c r="AR19" s="26">
        <v>2.2400000000000002</v>
      </c>
      <c r="AS19" s="26">
        <v>0</v>
      </c>
      <c r="AZ19" s="26">
        <v>7</v>
      </c>
      <c r="BA19" s="26">
        <v>0</v>
      </c>
      <c r="BB19" s="26">
        <v>2.2400000000000002</v>
      </c>
      <c r="BC19" s="26">
        <v>0</v>
      </c>
      <c r="BJ19" s="26">
        <v>7</v>
      </c>
      <c r="BK19" s="26">
        <v>0</v>
      </c>
      <c r="BL19" s="26">
        <v>2.2400000000000002</v>
      </c>
      <c r="BM19" s="26">
        <v>0</v>
      </c>
      <c r="BT19" s="26">
        <v>7</v>
      </c>
      <c r="BU19" s="26">
        <v>0</v>
      </c>
      <c r="BV19" s="26">
        <v>2.2400000000000002</v>
      </c>
      <c r="BW19" s="26">
        <v>0</v>
      </c>
      <c r="CD19" s="26">
        <v>7</v>
      </c>
      <c r="CE19" s="26">
        <v>0</v>
      </c>
      <c r="CF19" s="26">
        <v>2.2400000000000002</v>
      </c>
      <c r="CG19" s="26">
        <v>0</v>
      </c>
      <c r="CN19" s="26">
        <v>7</v>
      </c>
      <c r="CO19" s="26">
        <v>0</v>
      </c>
      <c r="CP19" s="26">
        <v>2.2400000000000002</v>
      </c>
      <c r="CQ19" s="26">
        <v>0</v>
      </c>
      <c r="CX19" s="26">
        <v>7</v>
      </c>
      <c r="CY19" s="26">
        <v>0</v>
      </c>
      <c r="CZ19" s="26">
        <v>2.2400000000000002</v>
      </c>
      <c r="DA19" s="26">
        <v>0</v>
      </c>
      <c r="DH19" s="26">
        <v>7</v>
      </c>
      <c r="DI19" s="26">
        <v>0</v>
      </c>
      <c r="DJ19" s="26">
        <v>2.2400000000000002</v>
      </c>
      <c r="DK19" s="26">
        <v>0</v>
      </c>
      <c r="DR19" s="26">
        <v>7</v>
      </c>
      <c r="DS19" s="26">
        <v>0</v>
      </c>
      <c r="DT19" s="26">
        <v>2.2400000000000002</v>
      </c>
      <c r="DU19" s="26">
        <v>0</v>
      </c>
      <c r="EB19" s="26">
        <v>7</v>
      </c>
      <c r="EC19" s="26">
        <v>0</v>
      </c>
      <c r="ED19" s="26">
        <v>2.2400000000000002</v>
      </c>
      <c r="EE19" s="26">
        <v>0</v>
      </c>
      <c r="EL19" s="26">
        <v>7</v>
      </c>
      <c r="EM19" s="26">
        <v>0</v>
      </c>
      <c r="EN19" s="26">
        <v>2.2400000000000002</v>
      </c>
      <c r="EO19" s="26">
        <v>0</v>
      </c>
      <c r="EV19" s="26">
        <v>7</v>
      </c>
      <c r="EW19" s="26">
        <v>0</v>
      </c>
      <c r="EX19" s="26">
        <v>2.2400000000000002</v>
      </c>
      <c r="EY19" s="26">
        <v>0</v>
      </c>
      <c r="FF19" s="26">
        <v>7</v>
      </c>
      <c r="FG19" s="26">
        <v>0</v>
      </c>
      <c r="FH19" s="26">
        <v>2.2400000000000002</v>
      </c>
      <c r="FI19" s="26">
        <v>0</v>
      </c>
      <c r="FP19" s="26">
        <v>7</v>
      </c>
      <c r="FQ19" s="26">
        <v>0</v>
      </c>
      <c r="FR19" s="26">
        <v>2.2400000000000002</v>
      </c>
      <c r="FS19" s="26">
        <v>0</v>
      </c>
      <c r="FZ19" s="26">
        <v>7</v>
      </c>
      <c r="GA19" s="26">
        <v>0</v>
      </c>
      <c r="GB19" s="26">
        <v>2.2400000000000002</v>
      </c>
      <c r="GC19" s="26">
        <v>0</v>
      </c>
      <c r="GJ19" s="26">
        <v>7</v>
      </c>
      <c r="GK19" s="26">
        <v>0</v>
      </c>
      <c r="GL19" s="26">
        <v>2.2400000000000002</v>
      </c>
      <c r="GM19" s="26">
        <v>0</v>
      </c>
      <c r="GT19" s="26">
        <v>7</v>
      </c>
      <c r="GU19" s="26">
        <v>0</v>
      </c>
      <c r="GV19" s="26">
        <v>2.2400000000000002</v>
      </c>
      <c r="GW19" s="26">
        <v>0</v>
      </c>
    </row>
    <row r="20" spans="2:205">
      <c r="B20" s="26">
        <v>8</v>
      </c>
      <c r="C20" s="26">
        <v>4.5</v>
      </c>
      <c r="D20" s="26">
        <v>2.2400000000000002</v>
      </c>
      <c r="E20" s="26">
        <v>0</v>
      </c>
      <c r="L20" s="26">
        <v>8</v>
      </c>
      <c r="M20" s="26">
        <v>4.5</v>
      </c>
      <c r="N20" s="26">
        <v>2.2400000000000002</v>
      </c>
      <c r="O20" s="26">
        <v>0</v>
      </c>
      <c r="V20" s="26">
        <v>8</v>
      </c>
      <c r="W20" s="26">
        <v>4.5</v>
      </c>
      <c r="X20" s="26">
        <v>2.2400000000000002</v>
      </c>
      <c r="Y20" s="26">
        <v>0</v>
      </c>
      <c r="AF20" s="26">
        <v>8</v>
      </c>
      <c r="AG20" s="26">
        <v>4.5</v>
      </c>
      <c r="AH20" s="26">
        <v>2.2400000000000002</v>
      </c>
      <c r="AI20" s="26">
        <v>0</v>
      </c>
      <c r="AP20" s="26">
        <v>8</v>
      </c>
      <c r="AQ20" s="26">
        <v>4.5</v>
      </c>
      <c r="AR20" s="26">
        <v>2.2400000000000002</v>
      </c>
      <c r="AS20" s="26">
        <v>0</v>
      </c>
      <c r="AZ20" s="26">
        <v>8</v>
      </c>
      <c r="BA20" s="26">
        <v>4.5</v>
      </c>
      <c r="BB20" s="26">
        <v>2.2400000000000002</v>
      </c>
      <c r="BC20" s="26">
        <v>0</v>
      </c>
      <c r="BJ20" s="26">
        <v>8</v>
      </c>
      <c r="BK20" s="26">
        <v>4.5</v>
      </c>
      <c r="BL20" s="26">
        <v>2.2400000000000002</v>
      </c>
      <c r="BM20" s="26">
        <v>0</v>
      </c>
      <c r="BT20" s="26">
        <v>8</v>
      </c>
      <c r="BU20" s="26">
        <v>4.5</v>
      </c>
      <c r="BV20" s="26">
        <v>2.2400000000000002</v>
      </c>
      <c r="BW20" s="26">
        <v>0</v>
      </c>
      <c r="CD20" s="26">
        <v>8</v>
      </c>
      <c r="CE20" s="26">
        <v>4.5</v>
      </c>
      <c r="CF20" s="26">
        <v>2.2400000000000002</v>
      </c>
      <c r="CG20" s="26">
        <v>0</v>
      </c>
      <c r="CN20" s="26">
        <v>8</v>
      </c>
      <c r="CO20" s="26">
        <v>4.5</v>
      </c>
      <c r="CP20" s="26">
        <v>2.2400000000000002</v>
      </c>
      <c r="CQ20" s="26">
        <v>0</v>
      </c>
      <c r="CX20" s="26">
        <v>8</v>
      </c>
      <c r="CY20" s="26">
        <v>4.5</v>
      </c>
      <c r="CZ20" s="26">
        <v>2.2400000000000002</v>
      </c>
      <c r="DA20" s="26">
        <v>0</v>
      </c>
      <c r="DH20" s="26">
        <v>8</v>
      </c>
      <c r="DI20" s="26">
        <v>4.5</v>
      </c>
      <c r="DJ20" s="26">
        <v>2.2400000000000002</v>
      </c>
      <c r="DK20" s="26">
        <v>0</v>
      </c>
      <c r="DR20" s="26">
        <v>8</v>
      </c>
      <c r="DS20" s="26">
        <v>4.5</v>
      </c>
      <c r="DT20" s="26">
        <v>2.2400000000000002</v>
      </c>
      <c r="DU20" s="26">
        <v>0</v>
      </c>
      <c r="EB20" s="26">
        <v>8</v>
      </c>
      <c r="EC20" s="26">
        <v>4.5</v>
      </c>
      <c r="ED20" s="26">
        <v>2.2400000000000002</v>
      </c>
      <c r="EE20" s="26">
        <v>0</v>
      </c>
      <c r="EL20" s="26">
        <v>8</v>
      </c>
      <c r="EM20" s="26">
        <v>4.5</v>
      </c>
      <c r="EN20" s="26">
        <v>2.2400000000000002</v>
      </c>
      <c r="EO20" s="26">
        <v>0</v>
      </c>
      <c r="EV20" s="26">
        <v>8</v>
      </c>
      <c r="EW20" s="26">
        <v>4.5</v>
      </c>
      <c r="EX20" s="26">
        <v>2.2400000000000002</v>
      </c>
      <c r="EY20" s="26">
        <v>0</v>
      </c>
      <c r="FF20" s="26">
        <v>8</v>
      </c>
      <c r="FG20" s="26">
        <v>4.5</v>
      </c>
      <c r="FH20" s="26">
        <v>2.2400000000000002</v>
      </c>
      <c r="FI20" s="26">
        <v>0</v>
      </c>
      <c r="FP20" s="26">
        <v>8</v>
      </c>
      <c r="FQ20" s="26">
        <v>4.5</v>
      </c>
      <c r="FR20" s="26">
        <v>2.2400000000000002</v>
      </c>
      <c r="FS20" s="26">
        <v>0</v>
      </c>
      <c r="FZ20" s="26">
        <v>8</v>
      </c>
      <c r="GA20" s="26">
        <v>4.5</v>
      </c>
      <c r="GB20" s="26">
        <v>2.2400000000000002</v>
      </c>
      <c r="GC20" s="26">
        <v>0</v>
      </c>
      <c r="GJ20" s="26">
        <v>8</v>
      </c>
      <c r="GK20" s="26">
        <v>4.5</v>
      </c>
      <c r="GL20" s="26">
        <v>2.2400000000000002</v>
      </c>
      <c r="GM20" s="26">
        <v>0</v>
      </c>
      <c r="GT20" s="26">
        <v>8</v>
      </c>
      <c r="GU20" s="26">
        <v>4.5</v>
      </c>
      <c r="GV20" s="26">
        <v>2.2400000000000002</v>
      </c>
      <c r="GW20" s="26">
        <v>0</v>
      </c>
    </row>
    <row r="21" spans="2:205">
      <c r="B21" s="26">
        <v>9</v>
      </c>
      <c r="C21" s="26">
        <v>0</v>
      </c>
      <c r="D21" s="26">
        <v>5.84</v>
      </c>
      <c r="E21" s="26">
        <v>0</v>
      </c>
      <c r="L21" s="26">
        <v>9</v>
      </c>
      <c r="M21" s="26">
        <v>0</v>
      </c>
      <c r="N21" s="26">
        <v>5.84</v>
      </c>
      <c r="O21" s="26">
        <v>0</v>
      </c>
      <c r="V21" s="26">
        <v>9</v>
      </c>
      <c r="W21" s="26">
        <v>0</v>
      </c>
      <c r="X21" s="26">
        <v>5.84</v>
      </c>
      <c r="Y21" s="26">
        <v>0</v>
      </c>
      <c r="AF21" s="26">
        <v>9</v>
      </c>
      <c r="AG21" s="26">
        <v>0</v>
      </c>
      <c r="AH21" s="26">
        <v>5.84</v>
      </c>
      <c r="AI21" s="26">
        <v>0</v>
      </c>
      <c r="AP21" s="26">
        <v>9</v>
      </c>
      <c r="AQ21" s="26">
        <v>0</v>
      </c>
      <c r="AR21" s="26">
        <v>5.84</v>
      </c>
      <c r="AS21" s="26">
        <v>0</v>
      </c>
      <c r="AZ21" s="26">
        <v>9</v>
      </c>
      <c r="BA21" s="26">
        <v>0</v>
      </c>
      <c r="BB21" s="26">
        <v>5.84</v>
      </c>
      <c r="BC21" s="26">
        <v>0</v>
      </c>
      <c r="BJ21" s="26">
        <v>9</v>
      </c>
      <c r="BK21" s="26">
        <v>0</v>
      </c>
      <c r="BL21" s="26">
        <v>5.84</v>
      </c>
      <c r="BM21" s="26">
        <v>0</v>
      </c>
      <c r="BT21" s="26">
        <v>9</v>
      </c>
      <c r="BU21" s="26">
        <v>0</v>
      </c>
      <c r="BV21" s="26">
        <v>5.84</v>
      </c>
      <c r="BW21" s="26">
        <v>0</v>
      </c>
      <c r="CD21" s="26">
        <v>9</v>
      </c>
      <c r="CE21" s="26">
        <v>0</v>
      </c>
      <c r="CF21" s="26">
        <v>5.84</v>
      </c>
      <c r="CG21" s="26">
        <v>0</v>
      </c>
      <c r="CN21" s="26">
        <v>9</v>
      </c>
      <c r="CO21" s="26">
        <v>0</v>
      </c>
      <c r="CP21" s="26">
        <v>5.84</v>
      </c>
      <c r="CQ21" s="26">
        <v>0</v>
      </c>
      <c r="CX21" s="26">
        <v>9</v>
      </c>
      <c r="CY21" s="26">
        <v>0</v>
      </c>
      <c r="CZ21" s="26">
        <v>5.84</v>
      </c>
      <c r="DA21" s="26">
        <v>0</v>
      </c>
      <c r="DH21" s="26">
        <v>9</v>
      </c>
      <c r="DI21" s="26">
        <v>0</v>
      </c>
      <c r="DJ21" s="26">
        <v>5.84</v>
      </c>
      <c r="DK21" s="26">
        <v>0</v>
      </c>
      <c r="DR21" s="26">
        <v>9</v>
      </c>
      <c r="DS21" s="26">
        <v>0</v>
      </c>
      <c r="DT21" s="26">
        <v>5.84</v>
      </c>
      <c r="DU21" s="26">
        <v>0</v>
      </c>
      <c r="EB21" s="26">
        <v>9</v>
      </c>
      <c r="EC21" s="26">
        <v>0</v>
      </c>
      <c r="ED21" s="26">
        <v>5.84</v>
      </c>
      <c r="EE21" s="26">
        <v>0</v>
      </c>
      <c r="EL21" s="26">
        <v>9</v>
      </c>
      <c r="EM21" s="26">
        <v>0</v>
      </c>
      <c r="EN21" s="26">
        <v>5.84</v>
      </c>
      <c r="EO21" s="26">
        <v>0</v>
      </c>
      <c r="EV21" s="26">
        <v>9</v>
      </c>
      <c r="EW21" s="26">
        <v>0</v>
      </c>
      <c r="EX21" s="26">
        <v>5.84</v>
      </c>
      <c r="EY21" s="26">
        <v>0</v>
      </c>
      <c r="FF21" s="26">
        <v>9</v>
      </c>
      <c r="FG21" s="26">
        <v>0</v>
      </c>
      <c r="FH21" s="26">
        <v>5.84</v>
      </c>
      <c r="FI21" s="26">
        <v>0</v>
      </c>
      <c r="FP21" s="26">
        <v>9</v>
      </c>
      <c r="FQ21" s="26">
        <v>0</v>
      </c>
      <c r="FR21" s="26">
        <v>5.84</v>
      </c>
      <c r="FS21" s="26">
        <v>0</v>
      </c>
      <c r="FZ21" s="26">
        <v>9</v>
      </c>
      <c r="GA21" s="26">
        <v>0</v>
      </c>
      <c r="GB21" s="26">
        <v>5.84</v>
      </c>
      <c r="GC21" s="26">
        <v>0</v>
      </c>
      <c r="GJ21" s="26">
        <v>9</v>
      </c>
      <c r="GK21" s="26">
        <v>0</v>
      </c>
      <c r="GL21" s="26">
        <v>5.84</v>
      </c>
      <c r="GM21" s="26">
        <v>0</v>
      </c>
      <c r="GT21" s="26">
        <v>9</v>
      </c>
      <c r="GU21" s="26">
        <v>0</v>
      </c>
      <c r="GV21" s="26">
        <v>5.84</v>
      </c>
      <c r="GW21" s="26">
        <v>0</v>
      </c>
    </row>
    <row r="22" spans="2:205">
      <c r="B22" s="26">
        <v>10</v>
      </c>
      <c r="C22" s="26">
        <v>4.5</v>
      </c>
      <c r="D22" s="26">
        <v>5.84</v>
      </c>
      <c r="E22" s="26">
        <v>0</v>
      </c>
      <c r="L22" s="26">
        <v>10</v>
      </c>
      <c r="M22" s="26">
        <v>4.5</v>
      </c>
      <c r="N22" s="26">
        <v>5.84</v>
      </c>
      <c r="O22" s="26">
        <v>0</v>
      </c>
      <c r="V22" s="26">
        <v>10</v>
      </c>
      <c r="W22" s="26">
        <v>4.5</v>
      </c>
      <c r="X22" s="26">
        <v>5.84</v>
      </c>
      <c r="Y22" s="26">
        <v>0</v>
      </c>
      <c r="AF22" s="26">
        <v>10</v>
      </c>
      <c r="AG22" s="26">
        <v>4.5</v>
      </c>
      <c r="AH22" s="26">
        <v>5.84</v>
      </c>
      <c r="AI22" s="26">
        <v>0</v>
      </c>
      <c r="AP22" s="26">
        <v>10</v>
      </c>
      <c r="AQ22" s="26">
        <v>4.5</v>
      </c>
      <c r="AR22" s="26">
        <v>5.84</v>
      </c>
      <c r="AS22" s="26">
        <v>0</v>
      </c>
      <c r="AZ22" s="26">
        <v>10</v>
      </c>
      <c r="BA22" s="26">
        <v>4.5</v>
      </c>
      <c r="BB22" s="26">
        <v>5.84</v>
      </c>
      <c r="BC22" s="26">
        <v>0</v>
      </c>
      <c r="BJ22" s="26">
        <v>10</v>
      </c>
      <c r="BK22" s="26">
        <v>4.5</v>
      </c>
      <c r="BL22" s="26">
        <v>5.84</v>
      </c>
      <c r="BM22" s="26">
        <v>0</v>
      </c>
      <c r="BT22" s="26">
        <v>10</v>
      </c>
      <c r="BU22" s="26">
        <v>4.5</v>
      </c>
      <c r="BV22" s="26">
        <v>5.84</v>
      </c>
      <c r="BW22" s="26">
        <v>0</v>
      </c>
      <c r="CD22" s="26">
        <v>10</v>
      </c>
      <c r="CE22" s="26">
        <v>4.5</v>
      </c>
      <c r="CF22" s="26">
        <v>5.84</v>
      </c>
      <c r="CG22" s="26">
        <v>0</v>
      </c>
      <c r="CN22" s="26">
        <v>10</v>
      </c>
      <c r="CO22" s="26">
        <v>4.5</v>
      </c>
      <c r="CP22" s="26">
        <v>5.84</v>
      </c>
      <c r="CQ22" s="26">
        <v>0</v>
      </c>
      <c r="CX22" s="26">
        <v>10</v>
      </c>
      <c r="CY22" s="26">
        <v>4.5</v>
      </c>
      <c r="CZ22" s="26">
        <v>5.84</v>
      </c>
      <c r="DA22" s="26">
        <v>0</v>
      </c>
      <c r="DH22" s="26">
        <v>10</v>
      </c>
      <c r="DI22" s="26">
        <v>4.5</v>
      </c>
      <c r="DJ22" s="26">
        <v>5.84</v>
      </c>
      <c r="DK22" s="26">
        <v>0</v>
      </c>
      <c r="DR22" s="26">
        <v>10</v>
      </c>
      <c r="DS22" s="26">
        <v>4.5</v>
      </c>
      <c r="DT22" s="26">
        <v>5.84</v>
      </c>
      <c r="DU22" s="26">
        <v>0</v>
      </c>
      <c r="EB22" s="26">
        <v>10</v>
      </c>
      <c r="EC22" s="26">
        <v>4.5</v>
      </c>
      <c r="ED22" s="26">
        <v>5.84</v>
      </c>
      <c r="EE22" s="26">
        <v>0</v>
      </c>
      <c r="EL22" s="26">
        <v>10</v>
      </c>
      <c r="EM22" s="26">
        <v>4.5</v>
      </c>
      <c r="EN22" s="26">
        <v>5.84</v>
      </c>
      <c r="EO22" s="26">
        <v>0</v>
      </c>
      <c r="EV22" s="26">
        <v>10</v>
      </c>
      <c r="EW22" s="26">
        <v>4.5</v>
      </c>
      <c r="EX22" s="26">
        <v>5.84</v>
      </c>
      <c r="EY22" s="26">
        <v>0</v>
      </c>
      <c r="FF22" s="26">
        <v>10</v>
      </c>
      <c r="FG22" s="26">
        <v>4.5</v>
      </c>
      <c r="FH22" s="26">
        <v>5.84</v>
      </c>
      <c r="FI22" s="26">
        <v>0</v>
      </c>
      <c r="FP22" s="26">
        <v>10</v>
      </c>
      <c r="FQ22" s="26">
        <v>4.5</v>
      </c>
      <c r="FR22" s="26">
        <v>5.84</v>
      </c>
      <c r="FS22" s="26">
        <v>0</v>
      </c>
      <c r="FZ22" s="26">
        <v>10</v>
      </c>
      <c r="GA22" s="26">
        <v>4.5</v>
      </c>
      <c r="GB22" s="26">
        <v>5.84</v>
      </c>
      <c r="GC22" s="26">
        <v>0</v>
      </c>
      <c r="GJ22" s="26">
        <v>10</v>
      </c>
      <c r="GK22" s="26">
        <v>4.5</v>
      </c>
      <c r="GL22" s="26">
        <v>5.84</v>
      </c>
      <c r="GM22" s="26">
        <v>0</v>
      </c>
      <c r="GT22" s="26">
        <v>10</v>
      </c>
      <c r="GU22" s="26">
        <v>4.5</v>
      </c>
      <c r="GV22" s="26">
        <v>5.84</v>
      </c>
      <c r="GW22" s="26">
        <v>0</v>
      </c>
    </row>
    <row r="23" spans="2:205">
      <c r="B23" s="26">
        <v>11</v>
      </c>
      <c r="C23" s="26">
        <v>0</v>
      </c>
      <c r="D23" s="26">
        <v>8.5399999999999991</v>
      </c>
      <c r="E23" s="26">
        <v>0</v>
      </c>
      <c r="L23" s="26">
        <v>11</v>
      </c>
      <c r="M23" s="26">
        <v>0</v>
      </c>
      <c r="N23" s="26">
        <v>8.5399999999999991</v>
      </c>
      <c r="O23" s="26">
        <v>0</v>
      </c>
      <c r="V23" s="26">
        <v>11</v>
      </c>
      <c r="W23" s="26">
        <v>0</v>
      </c>
      <c r="X23" s="26">
        <v>8.5399999999999991</v>
      </c>
      <c r="Y23" s="26">
        <v>0</v>
      </c>
      <c r="AF23" s="26">
        <v>11</v>
      </c>
      <c r="AG23" s="26">
        <v>0</v>
      </c>
      <c r="AH23" s="26">
        <v>8.5399999999999991</v>
      </c>
      <c r="AI23" s="26">
        <v>0</v>
      </c>
      <c r="AP23" s="26">
        <v>11</v>
      </c>
      <c r="AQ23" s="26">
        <v>0</v>
      </c>
      <c r="AR23" s="26">
        <v>8.5399999999999991</v>
      </c>
      <c r="AS23" s="26">
        <v>0</v>
      </c>
      <c r="AZ23" s="26">
        <v>11</v>
      </c>
      <c r="BA23" s="26">
        <v>0</v>
      </c>
      <c r="BB23" s="26">
        <v>8.5399999999999991</v>
      </c>
      <c r="BC23" s="26">
        <v>0</v>
      </c>
      <c r="BJ23" s="26">
        <v>11</v>
      </c>
      <c r="BK23" s="26">
        <v>0</v>
      </c>
      <c r="BL23" s="26">
        <v>8.5399999999999991</v>
      </c>
      <c r="BM23" s="26">
        <v>0</v>
      </c>
      <c r="BT23" s="26">
        <v>11</v>
      </c>
      <c r="BU23" s="26">
        <v>0</v>
      </c>
      <c r="BV23" s="26">
        <v>8.5399999999999991</v>
      </c>
      <c r="BW23" s="26">
        <v>0</v>
      </c>
      <c r="CD23" s="26">
        <v>11</v>
      </c>
      <c r="CE23" s="26">
        <v>0</v>
      </c>
      <c r="CF23" s="26">
        <v>8.5399999999999991</v>
      </c>
      <c r="CG23" s="26">
        <v>0</v>
      </c>
      <c r="CN23" s="26">
        <v>11</v>
      </c>
      <c r="CO23" s="26">
        <v>0</v>
      </c>
      <c r="CP23" s="26">
        <v>8.5399999999999991</v>
      </c>
      <c r="CQ23" s="26">
        <v>0</v>
      </c>
      <c r="CX23" s="26">
        <v>11</v>
      </c>
      <c r="CY23" s="26">
        <v>0</v>
      </c>
      <c r="CZ23" s="26">
        <v>8.5399999999999991</v>
      </c>
      <c r="DA23" s="26">
        <v>0</v>
      </c>
      <c r="DH23" s="26">
        <v>11</v>
      </c>
      <c r="DI23" s="26">
        <v>0</v>
      </c>
      <c r="DJ23" s="26">
        <v>8.5399999999999991</v>
      </c>
      <c r="DK23" s="26">
        <v>0</v>
      </c>
      <c r="DR23" s="26">
        <v>11</v>
      </c>
      <c r="DS23" s="26">
        <v>0</v>
      </c>
      <c r="DT23" s="26">
        <v>8.5399999999999991</v>
      </c>
      <c r="DU23" s="26">
        <v>0</v>
      </c>
      <c r="EB23" s="26">
        <v>11</v>
      </c>
      <c r="EC23" s="26">
        <v>0</v>
      </c>
      <c r="ED23" s="26">
        <v>8.5399999999999991</v>
      </c>
      <c r="EE23" s="26">
        <v>0</v>
      </c>
      <c r="EL23" s="26">
        <v>11</v>
      </c>
      <c r="EM23" s="26">
        <v>0</v>
      </c>
      <c r="EN23" s="26">
        <v>8.5399999999999991</v>
      </c>
      <c r="EO23" s="26">
        <v>0</v>
      </c>
      <c r="EV23" s="26">
        <v>11</v>
      </c>
      <c r="EW23" s="26">
        <v>0</v>
      </c>
      <c r="EX23" s="26">
        <v>8.5399999999999991</v>
      </c>
      <c r="EY23" s="26">
        <v>0</v>
      </c>
      <c r="FF23" s="26">
        <v>11</v>
      </c>
      <c r="FG23" s="26">
        <v>0</v>
      </c>
      <c r="FH23" s="26">
        <v>8.5399999999999991</v>
      </c>
      <c r="FI23" s="26">
        <v>0</v>
      </c>
      <c r="FP23" s="26">
        <v>11</v>
      </c>
      <c r="FQ23" s="26">
        <v>0</v>
      </c>
      <c r="FR23" s="26">
        <v>8.5399999999999991</v>
      </c>
      <c r="FS23" s="26">
        <v>0</v>
      </c>
      <c r="FZ23" s="26">
        <v>11</v>
      </c>
      <c r="GA23" s="26">
        <v>0</v>
      </c>
      <c r="GB23" s="26">
        <v>8.5399999999999991</v>
      </c>
      <c r="GC23" s="26">
        <v>0</v>
      </c>
      <c r="GJ23" s="26">
        <v>11</v>
      </c>
      <c r="GK23" s="26">
        <v>0</v>
      </c>
      <c r="GL23" s="26">
        <v>8.5399999999999991</v>
      </c>
      <c r="GM23" s="26">
        <v>0</v>
      </c>
      <c r="GT23" s="26">
        <v>11</v>
      </c>
      <c r="GU23" s="26">
        <v>0</v>
      </c>
      <c r="GV23" s="26">
        <v>8.5399999999999991</v>
      </c>
      <c r="GW23" s="26">
        <v>0</v>
      </c>
    </row>
    <row r="24" spans="2:205">
      <c r="B24" s="26">
        <v>12</v>
      </c>
      <c r="C24" s="26">
        <v>4.5</v>
      </c>
      <c r="D24" s="26">
        <v>8.5399999999999991</v>
      </c>
      <c r="E24" s="26">
        <v>0</v>
      </c>
      <c r="L24" s="26">
        <v>12</v>
      </c>
      <c r="M24" s="26">
        <v>4.5</v>
      </c>
      <c r="N24" s="26">
        <v>8.5399999999999991</v>
      </c>
      <c r="O24" s="26">
        <v>0</v>
      </c>
      <c r="V24" s="26">
        <v>12</v>
      </c>
      <c r="W24" s="26">
        <v>4.5</v>
      </c>
      <c r="X24" s="26">
        <v>8.5399999999999991</v>
      </c>
      <c r="Y24" s="26">
        <v>0</v>
      </c>
      <c r="AF24" s="26">
        <v>12</v>
      </c>
      <c r="AG24" s="26">
        <v>4.5</v>
      </c>
      <c r="AH24" s="26">
        <v>8.5399999999999991</v>
      </c>
      <c r="AI24" s="26">
        <v>0</v>
      </c>
      <c r="AP24" s="26">
        <v>12</v>
      </c>
      <c r="AQ24" s="26">
        <v>4.5</v>
      </c>
      <c r="AR24" s="26">
        <v>8.5399999999999991</v>
      </c>
      <c r="AS24" s="26">
        <v>0</v>
      </c>
      <c r="AZ24" s="26">
        <v>12</v>
      </c>
      <c r="BA24" s="26">
        <v>4.5</v>
      </c>
      <c r="BB24" s="26">
        <v>8.5399999999999991</v>
      </c>
      <c r="BC24" s="26">
        <v>0</v>
      </c>
      <c r="BJ24" s="26">
        <v>12</v>
      </c>
      <c r="BK24" s="26">
        <v>4.5</v>
      </c>
      <c r="BL24" s="26">
        <v>8.5399999999999991</v>
      </c>
      <c r="BM24" s="26">
        <v>0</v>
      </c>
      <c r="BT24" s="26">
        <v>12</v>
      </c>
      <c r="BU24" s="26">
        <v>4.5</v>
      </c>
      <c r="BV24" s="26">
        <v>8.5399999999999991</v>
      </c>
      <c r="BW24" s="26">
        <v>0</v>
      </c>
      <c r="CD24" s="26">
        <v>12</v>
      </c>
      <c r="CE24" s="26">
        <v>4.5</v>
      </c>
      <c r="CF24" s="26">
        <v>8.5399999999999991</v>
      </c>
      <c r="CG24" s="26">
        <v>0</v>
      </c>
      <c r="CN24" s="26">
        <v>12</v>
      </c>
      <c r="CO24" s="26">
        <v>4.5</v>
      </c>
      <c r="CP24" s="26">
        <v>8.5399999999999991</v>
      </c>
      <c r="CQ24" s="26">
        <v>0</v>
      </c>
      <c r="CX24" s="26">
        <v>12</v>
      </c>
      <c r="CY24" s="26">
        <v>4.5</v>
      </c>
      <c r="CZ24" s="26">
        <v>8.5399999999999991</v>
      </c>
      <c r="DA24" s="26">
        <v>0</v>
      </c>
      <c r="DH24" s="26">
        <v>12</v>
      </c>
      <c r="DI24" s="26">
        <v>4.5</v>
      </c>
      <c r="DJ24" s="26">
        <v>8.5399999999999991</v>
      </c>
      <c r="DK24" s="26">
        <v>0</v>
      </c>
      <c r="DR24" s="26">
        <v>12</v>
      </c>
      <c r="DS24" s="26">
        <v>4.5</v>
      </c>
      <c r="DT24" s="26">
        <v>8.5399999999999991</v>
      </c>
      <c r="DU24" s="26">
        <v>0</v>
      </c>
      <c r="EB24" s="26">
        <v>12</v>
      </c>
      <c r="EC24" s="26">
        <v>4.5</v>
      </c>
      <c r="ED24" s="26">
        <v>8.5399999999999991</v>
      </c>
      <c r="EE24" s="26">
        <v>0</v>
      </c>
      <c r="EL24" s="26">
        <v>12</v>
      </c>
      <c r="EM24" s="26">
        <v>4.5</v>
      </c>
      <c r="EN24" s="26">
        <v>8.5399999999999991</v>
      </c>
      <c r="EO24" s="26">
        <v>0</v>
      </c>
      <c r="EV24" s="26">
        <v>12</v>
      </c>
      <c r="EW24" s="26">
        <v>4.5</v>
      </c>
      <c r="EX24" s="26">
        <v>8.5399999999999991</v>
      </c>
      <c r="EY24" s="26">
        <v>0</v>
      </c>
      <c r="FF24" s="26">
        <v>12</v>
      </c>
      <c r="FG24" s="26">
        <v>4.5</v>
      </c>
      <c r="FH24" s="26">
        <v>8.5399999999999991</v>
      </c>
      <c r="FI24" s="26">
        <v>0</v>
      </c>
      <c r="FP24" s="26">
        <v>12</v>
      </c>
      <c r="FQ24" s="26">
        <v>4.5</v>
      </c>
      <c r="FR24" s="26">
        <v>8.5399999999999991</v>
      </c>
      <c r="FS24" s="26">
        <v>0</v>
      </c>
      <c r="FZ24" s="26">
        <v>12</v>
      </c>
      <c r="GA24" s="26">
        <v>4.5</v>
      </c>
      <c r="GB24" s="26">
        <v>8.5399999999999991</v>
      </c>
      <c r="GC24" s="26">
        <v>0</v>
      </c>
      <c r="GJ24" s="26">
        <v>12</v>
      </c>
      <c r="GK24" s="26">
        <v>4.5</v>
      </c>
      <c r="GL24" s="26">
        <v>8.5399999999999991</v>
      </c>
      <c r="GM24" s="26">
        <v>0</v>
      </c>
      <c r="GT24" s="26">
        <v>12</v>
      </c>
      <c r="GU24" s="26">
        <v>4.5</v>
      </c>
      <c r="GV24" s="26">
        <v>8.5399999999999991</v>
      </c>
      <c r="GW24" s="26">
        <v>0</v>
      </c>
    </row>
    <row r="25" spans="2:205">
      <c r="B25" s="26">
        <v>13</v>
      </c>
      <c r="C25" s="26">
        <v>0</v>
      </c>
      <c r="D25" s="26">
        <v>11.34</v>
      </c>
      <c r="E25" s="26">
        <v>0</v>
      </c>
      <c r="L25" s="26">
        <v>13</v>
      </c>
      <c r="M25" s="26">
        <v>0</v>
      </c>
      <c r="N25" s="26">
        <v>11.34</v>
      </c>
      <c r="O25" s="26">
        <v>0</v>
      </c>
      <c r="V25" s="26">
        <v>13</v>
      </c>
      <c r="W25" s="26">
        <v>0</v>
      </c>
      <c r="X25" s="26">
        <v>11.34</v>
      </c>
      <c r="Y25" s="26">
        <v>0</v>
      </c>
      <c r="AF25" s="26">
        <v>13</v>
      </c>
      <c r="AG25" s="26">
        <v>0</v>
      </c>
      <c r="AH25" s="26">
        <v>11.34</v>
      </c>
      <c r="AI25" s="26">
        <v>0</v>
      </c>
      <c r="AP25" s="26">
        <v>13</v>
      </c>
      <c r="AQ25" s="26">
        <v>0</v>
      </c>
      <c r="AR25" s="26">
        <v>11.34</v>
      </c>
      <c r="AS25" s="26">
        <v>0</v>
      </c>
      <c r="AZ25" s="26">
        <v>13</v>
      </c>
      <c r="BA25" s="26">
        <v>0</v>
      </c>
      <c r="BB25" s="26">
        <v>11.34</v>
      </c>
      <c r="BC25" s="26">
        <v>0</v>
      </c>
      <c r="BJ25" s="26">
        <v>13</v>
      </c>
      <c r="BK25" s="26">
        <v>0</v>
      </c>
      <c r="BL25" s="26">
        <v>11.34</v>
      </c>
      <c r="BM25" s="26">
        <v>0</v>
      </c>
      <c r="BT25" s="26">
        <v>13</v>
      </c>
      <c r="BU25" s="26">
        <v>0</v>
      </c>
      <c r="BV25" s="26">
        <v>11.34</v>
      </c>
      <c r="BW25" s="26">
        <v>0</v>
      </c>
      <c r="CD25" s="26">
        <v>13</v>
      </c>
      <c r="CE25" s="26">
        <v>0</v>
      </c>
      <c r="CF25" s="26">
        <v>11.34</v>
      </c>
      <c r="CG25" s="26">
        <v>0</v>
      </c>
      <c r="CN25" s="26">
        <v>13</v>
      </c>
      <c r="CO25" s="26">
        <v>0</v>
      </c>
      <c r="CP25" s="26">
        <v>11.34</v>
      </c>
      <c r="CQ25" s="26">
        <v>0</v>
      </c>
      <c r="CX25" s="26">
        <v>13</v>
      </c>
      <c r="CY25" s="26">
        <v>0</v>
      </c>
      <c r="CZ25" s="26">
        <v>11.34</v>
      </c>
      <c r="DA25" s="26">
        <v>0</v>
      </c>
      <c r="DH25" s="26">
        <v>13</v>
      </c>
      <c r="DI25" s="26">
        <v>0</v>
      </c>
      <c r="DJ25" s="26">
        <v>11.34</v>
      </c>
      <c r="DK25" s="26">
        <v>0</v>
      </c>
      <c r="DR25" s="26">
        <v>13</v>
      </c>
      <c r="DS25" s="26">
        <v>0</v>
      </c>
      <c r="DT25" s="26">
        <v>11.34</v>
      </c>
      <c r="DU25" s="26">
        <v>0</v>
      </c>
      <c r="EB25" s="26">
        <v>13</v>
      </c>
      <c r="EC25" s="26">
        <v>0</v>
      </c>
      <c r="ED25" s="26">
        <v>11.34</v>
      </c>
      <c r="EE25" s="26">
        <v>0</v>
      </c>
      <c r="EL25" s="26">
        <v>13</v>
      </c>
      <c r="EM25" s="26">
        <v>0</v>
      </c>
      <c r="EN25" s="26">
        <v>11.34</v>
      </c>
      <c r="EO25" s="26">
        <v>0</v>
      </c>
      <c r="EV25" s="26">
        <v>13</v>
      </c>
      <c r="EW25" s="26">
        <v>0</v>
      </c>
      <c r="EX25" s="26">
        <v>11.34</v>
      </c>
      <c r="EY25" s="26">
        <v>0</v>
      </c>
      <c r="FF25" s="26">
        <v>13</v>
      </c>
      <c r="FG25" s="26">
        <v>0</v>
      </c>
      <c r="FH25" s="26">
        <v>11.34</v>
      </c>
      <c r="FI25" s="26">
        <v>0</v>
      </c>
      <c r="FP25" s="26">
        <v>13</v>
      </c>
      <c r="FQ25" s="26">
        <v>0</v>
      </c>
      <c r="FR25" s="26">
        <v>11.34</v>
      </c>
      <c r="FS25" s="26">
        <v>0</v>
      </c>
      <c r="FZ25" s="26">
        <v>13</v>
      </c>
      <c r="GA25" s="26">
        <v>0</v>
      </c>
      <c r="GB25" s="26">
        <v>11.34</v>
      </c>
      <c r="GC25" s="26">
        <v>0</v>
      </c>
      <c r="GJ25" s="26">
        <v>13</v>
      </c>
      <c r="GK25" s="26">
        <v>0</v>
      </c>
      <c r="GL25" s="26">
        <v>11.34</v>
      </c>
      <c r="GM25" s="26">
        <v>0</v>
      </c>
      <c r="GT25" s="26">
        <v>13</v>
      </c>
      <c r="GU25" s="26">
        <v>0</v>
      </c>
      <c r="GV25" s="26">
        <v>11.34</v>
      </c>
      <c r="GW25" s="26">
        <v>0</v>
      </c>
    </row>
    <row r="26" spans="2:205">
      <c r="B26" s="26">
        <v>14</v>
      </c>
      <c r="C26" s="26">
        <v>4.5</v>
      </c>
      <c r="D26" s="26">
        <v>11.34</v>
      </c>
      <c r="E26" s="26">
        <v>0</v>
      </c>
      <c r="L26" s="26">
        <v>14</v>
      </c>
      <c r="M26" s="26">
        <v>4.5</v>
      </c>
      <c r="N26" s="26">
        <v>11.34</v>
      </c>
      <c r="O26" s="26">
        <v>0</v>
      </c>
      <c r="V26" s="26">
        <v>14</v>
      </c>
      <c r="W26" s="26">
        <v>4.5</v>
      </c>
      <c r="X26" s="26">
        <v>11.34</v>
      </c>
      <c r="Y26" s="26">
        <v>0</v>
      </c>
      <c r="AF26" s="26">
        <v>14</v>
      </c>
      <c r="AG26" s="26">
        <v>4.5</v>
      </c>
      <c r="AH26" s="26">
        <v>11.34</v>
      </c>
      <c r="AI26" s="26">
        <v>0</v>
      </c>
      <c r="AP26" s="26">
        <v>14</v>
      </c>
      <c r="AQ26" s="26">
        <v>4.5</v>
      </c>
      <c r="AR26" s="26">
        <v>11.34</v>
      </c>
      <c r="AS26" s="26">
        <v>0</v>
      </c>
      <c r="AZ26" s="26">
        <v>14</v>
      </c>
      <c r="BA26" s="26">
        <v>4.5</v>
      </c>
      <c r="BB26" s="26">
        <v>11.34</v>
      </c>
      <c r="BC26" s="26">
        <v>0</v>
      </c>
      <c r="BJ26" s="26">
        <v>14</v>
      </c>
      <c r="BK26" s="26">
        <v>4.5</v>
      </c>
      <c r="BL26" s="26">
        <v>11.34</v>
      </c>
      <c r="BM26" s="26">
        <v>0</v>
      </c>
      <c r="BT26" s="26">
        <v>14</v>
      </c>
      <c r="BU26" s="26">
        <v>4.5</v>
      </c>
      <c r="BV26" s="26">
        <v>11.34</v>
      </c>
      <c r="BW26" s="26">
        <v>0</v>
      </c>
      <c r="CD26" s="26">
        <v>14</v>
      </c>
      <c r="CE26" s="26">
        <v>4.5</v>
      </c>
      <c r="CF26" s="26">
        <v>11.34</v>
      </c>
      <c r="CG26" s="26">
        <v>0</v>
      </c>
      <c r="CN26" s="26">
        <v>14</v>
      </c>
      <c r="CO26" s="26">
        <v>4.5</v>
      </c>
      <c r="CP26" s="26">
        <v>11.34</v>
      </c>
      <c r="CQ26" s="26">
        <v>0</v>
      </c>
      <c r="CX26" s="26">
        <v>14</v>
      </c>
      <c r="CY26" s="26">
        <v>4.5</v>
      </c>
      <c r="CZ26" s="26">
        <v>11.34</v>
      </c>
      <c r="DA26" s="26">
        <v>0</v>
      </c>
      <c r="DH26" s="26">
        <v>14</v>
      </c>
      <c r="DI26" s="26">
        <v>4.5</v>
      </c>
      <c r="DJ26" s="26">
        <v>11.34</v>
      </c>
      <c r="DK26" s="26">
        <v>0</v>
      </c>
      <c r="DR26" s="26">
        <v>14</v>
      </c>
      <c r="DS26" s="26">
        <v>4.5</v>
      </c>
      <c r="DT26" s="26">
        <v>11.34</v>
      </c>
      <c r="DU26" s="26">
        <v>0</v>
      </c>
      <c r="EB26" s="26">
        <v>14</v>
      </c>
      <c r="EC26" s="26">
        <v>4.5</v>
      </c>
      <c r="ED26" s="26">
        <v>11.34</v>
      </c>
      <c r="EE26" s="26">
        <v>0</v>
      </c>
      <c r="EL26" s="26">
        <v>14</v>
      </c>
      <c r="EM26" s="26">
        <v>4.5</v>
      </c>
      <c r="EN26" s="26">
        <v>11.34</v>
      </c>
      <c r="EO26" s="26">
        <v>0</v>
      </c>
      <c r="EV26" s="26">
        <v>14</v>
      </c>
      <c r="EW26" s="26">
        <v>4.5</v>
      </c>
      <c r="EX26" s="26">
        <v>11.34</v>
      </c>
      <c r="EY26" s="26">
        <v>0</v>
      </c>
      <c r="FF26" s="26">
        <v>14</v>
      </c>
      <c r="FG26" s="26">
        <v>4.5</v>
      </c>
      <c r="FH26" s="26">
        <v>11.34</v>
      </c>
      <c r="FI26" s="26">
        <v>0</v>
      </c>
      <c r="FP26" s="26">
        <v>14</v>
      </c>
      <c r="FQ26" s="26">
        <v>4.5</v>
      </c>
      <c r="FR26" s="26">
        <v>11.34</v>
      </c>
      <c r="FS26" s="26">
        <v>0</v>
      </c>
      <c r="FZ26" s="26">
        <v>14</v>
      </c>
      <c r="GA26" s="26">
        <v>4.5</v>
      </c>
      <c r="GB26" s="26">
        <v>11.34</v>
      </c>
      <c r="GC26" s="26">
        <v>0</v>
      </c>
      <c r="GJ26" s="26">
        <v>14</v>
      </c>
      <c r="GK26" s="26">
        <v>4.5</v>
      </c>
      <c r="GL26" s="26">
        <v>11.34</v>
      </c>
      <c r="GM26" s="26">
        <v>0</v>
      </c>
      <c r="GT26" s="26">
        <v>14</v>
      </c>
      <c r="GU26" s="26">
        <v>4.5</v>
      </c>
      <c r="GV26" s="26">
        <v>11.34</v>
      </c>
      <c r="GW26" s="26">
        <v>0</v>
      </c>
    </row>
    <row r="27" spans="2:205">
      <c r="B27" s="26">
        <v>15</v>
      </c>
      <c r="C27" s="26">
        <v>0</v>
      </c>
      <c r="D27" s="26">
        <v>19.5</v>
      </c>
      <c r="E27" s="26">
        <v>0</v>
      </c>
      <c r="L27" s="26">
        <v>15</v>
      </c>
      <c r="M27" s="26">
        <v>0</v>
      </c>
      <c r="N27" s="26">
        <v>19.5</v>
      </c>
      <c r="O27" s="26">
        <v>0</v>
      </c>
      <c r="V27" s="26">
        <v>15</v>
      </c>
      <c r="W27" s="26">
        <v>0</v>
      </c>
      <c r="X27" s="26">
        <v>19.5</v>
      </c>
      <c r="Y27" s="26">
        <v>0</v>
      </c>
      <c r="AF27" s="26">
        <v>15</v>
      </c>
      <c r="AG27" s="26">
        <v>0</v>
      </c>
      <c r="AH27" s="26">
        <v>19.5</v>
      </c>
      <c r="AI27" s="26">
        <v>0</v>
      </c>
      <c r="AP27" s="26">
        <v>15</v>
      </c>
      <c r="AQ27" s="26">
        <v>0</v>
      </c>
      <c r="AR27" s="26">
        <v>19.5</v>
      </c>
      <c r="AS27" s="26">
        <v>0</v>
      </c>
      <c r="AZ27" s="26">
        <v>15</v>
      </c>
      <c r="BA27" s="26">
        <v>0</v>
      </c>
      <c r="BB27" s="26">
        <v>19.5</v>
      </c>
      <c r="BC27" s="26">
        <v>0</v>
      </c>
      <c r="BJ27" s="26">
        <v>15</v>
      </c>
      <c r="BK27" s="26">
        <v>0</v>
      </c>
      <c r="BL27" s="26">
        <v>19.5</v>
      </c>
      <c r="BM27" s="26">
        <v>0</v>
      </c>
      <c r="BT27" s="26">
        <v>15</v>
      </c>
      <c r="BU27" s="26">
        <v>0</v>
      </c>
      <c r="BV27" s="26">
        <v>19.5</v>
      </c>
      <c r="BW27" s="26">
        <v>0</v>
      </c>
      <c r="CD27" s="26">
        <v>15</v>
      </c>
      <c r="CE27" s="26">
        <v>0</v>
      </c>
      <c r="CF27" s="26">
        <v>19.5</v>
      </c>
      <c r="CG27" s="26">
        <v>0</v>
      </c>
      <c r="CN27" s="26">
        <v>15</v>
      </c>
      <c r="CO27" s="26">
        <v>0</v>
      </c>
      <c r="CP27" s="26">
        <v>19.5</v>
      </c>
      <c r="CQ27" s="26">
        <v>0</v>
      </c>
      <c r="CX27" s="26">
        <v>15</v>
      </c>
      <c r="CY27" s="26">
        <v>0</v>
      </c>
      <c r="CZ27" s="26">
        <v>19.5</v>
      </c>
      <c r="DA27" s="26">
        <v>0</v>
      </c>
      <c r="DH27" s="26">
        <v>15</v>
      </c>
      <c r="DI27" s="26">
        <v>0</v>
      </c>
      <c r="DJ27" s="26">
        <v>19.5</v>
      </c>
      <c r="DK27" s="26">
        <v>0</v>
      </c>
      <c r="DR27" s="26">
        <v>15</v>
      </c>
      <c r="DS27" s="26">
        <v>0</v>
      </c>
      <c r="DT27" s="26">
        <v>19.5</v>
      </c>
      <c r="DU27" s="26">
        <v>0</v>
      </c>
      <c r="EB27" s="26">
        <v>15</v>
      </c>
      <c r="EC27" s="26">
        <v>0</v>
      </c>
      <c r="ED27" s="26">
        <v>19.5</v>
      </c>
      <c r="EE27" s="26">
        <v>0</v>
      </c>
      <c r="EL27" s="26">
        <v>15</v>
      </c>
      <c r="EM27" s="26">
        <v>0</v>
      </c>
      <c r="EN27" s="26">
        <v>19.5</v>
      </c>
      <c r="EO27" s="26">
        <v>0</v>
      </c>
      <c r="EV27" s="26">
        <v>15</v>
      </c>
      <c r="EW27" s="26">
        <v>0</v>
      </c>
      <c r="EX27" s="26">
        <v>19.5</v>
      </c>
      <c r="EY27" s="26">
        <v>0</v>
      </c>
      <c r="FF27" s="26">
        <v>15</v>
      </c>
      <c r="FG27" s="26">
        <v>0</v>
      </c>
      <c r="FH27" s="26">
        <v>19.5</v>
      </c>
      <c r="FI27" s="26">
        <v>0</v>
      </c>
      <c r="FP27" s="26">
        <v>15</v>
      </c>
      <c r="FQ27" s="26">
        <v>0</v>
      </c>
      <c r="FR27" s="26">
        <v>19.5</v>
      </c>
      <c r="FS27" s="26">
        <v>0</v>
      </c>
      <c r="FZ27" s="26">
        <v>15</v>
      </c>
      <c r="GA27" s="26">
        <v>0</v>
      </c>
      <c r="GB27" s="26">
        <v>19.5</v>
      </c>
      <c r="GC27" s="26">
        <v>0</v>
      </c>
      <c r="GJ27" s="26">
        <v>15</v>
      </c>
      <c r="GK27" s="26">
        <v>0</v>
      </c>
      <c r="GL27" s="26">
        <v>19.5</v>
      </c>
      <c r="GM27" s="26">
        <v>0</v>
      </c>
      <c r="GT27" s="26">
        <v>15</v>
      </c>
      <c r="GU27" s="26">
        <v>0</v>
      </c>
      <c r="GV27" s="26">
        <v>19.5</v>
      </c>
      <c r="GW27" s="26">
        <v>0</v>
      </c>
    </row>
    <row r="28" spans="2:205">
      <c r="B28" s="26">
        <v>16</v>
      </c>
      <c r="C28" s="26">
        <v>4.5</v>
      </c>
      <c r="D28" s="26">
        <v>19.5</v>
      </c>
      <c r="E28" s="26">
        <v>0</v>
      </c>
      <c r="L28" s="26">
        <v>16</v>
      </c>
      <c r="M28" s="26">
        <v>4.5</v>
      </c>
      <c r="N28" s="26">
        <v>19.5</v>
      </c>
      <c r="O28" s="26">
        <v>0</v>
      </c>
      <c r="V28" s="26">
        <v>16</v>
      </c>
      <c r="W28" s="26">
        <v>4.5</v>
      </c>
      <c r="X28" s="26">
        <v>19.5</v>
      </c>
      <c r="Y28" s="26">
        <v>0</v>
      </c>
      <c r="AF28" s="26">
        <v>16</v>
      </c>
      <c r="AG28" s="26">
        <v>4.5</v>
      </c>
      <c r="AH28" s="26">
        <v>19.5</v>
      </c>
      <c r="AI28" s="26">
        <v>0</v>
      </c>
      <c r="AP28" s="26">
        <v>16</v>
      </c>
      <c r="AQ28" s="26">
        <v>4.5</v>
      </c>
      <c r="AR28" s="26">
        <v>19.5</v>
      </c>
      <c r="AS28" s="26">
        <v>0</v>
      </c>
      <c r="AZ28" s="26">
        <v>16</v>
      </c>
      <c r="BA28" s="26">
        <v>4.5</v>
      </c>
      <c r="BB28" s="26">
        <v>19.5</v>
      </c>
      <c r="BC28" s="26">
        <v>0</v>
      </c>
      <c r="BJ28" s="26">
        <v>16</v>
      </c>
      <c r="BK28" s="26">
        <v>4.5</v>
      </c>
      <c r="BL28" s="26">
        <v>19.5</v>
      </c>
      <c r="BM28" s="26">
        <v>0</v>
      </c>
      <c r="BT28" s="26">
        <v>16</v>
      </c>
      <c r="BU28" s="26">
        <v>4.5</v>
      </c>
      <c r="BV28" s="26">
        <v>19.5</v>
      </c>
      <c r="BW28" s="26">
        <v>0</v>
      </c>
      <c r="CD28" s="26">
        <v>16</v>
      </c>
      <c r="CE28" s="26">
        <v>4.5</v>
      </c>
      <c r="CF28" s="26">
        <v>19.5</v>
      </c>
      <c r="CG28" s="26">
        <v>0</v>
      </c>
      <c r="CN28" s="26">
        <v>16</v>
      </c>
      <c r="CO28" s="26">
        <v>4.5</v>
      </c>
      <c r="CP28" s="26">
        <v>19.5</v>
      </c>
      <c r="CQ28" s="26">
        <v>0</v>
      </c>
      <c r="CX28" s="26">
        <v>16</v>
      </c>
      <c r="CY28" s="26">
        <v>4.5</v>
      </c>
      <c r="CZ28" s="26">
        <v>19.5</v>
      </c>
      <c r="DA28" s="26">
        <v>0</v>
      </c>
      <c r="DH28" s="26">
        <v>16</v>
      </c>
      <c r="DI28" s="26">
        <v>4.5</v>
      </c>
      <c r="DJ28" s="26">
        <v>19.5</v>
      </c>
      <c r="DK28" s="26">
        <v>0</v>
      </c>
      <c r="DR28" s="26">
        <v>16</v>
      </c>
      <c r="DS28" s="26">
        <v>4.5</v>
      </c>
      <c r="DT28" s="26">
        <v>19.5</v>
      </c>
      <c r="DU28" s="26">
        <v>0</v>
      </c>
      <c r="EB28" s="26">
        <v>16</v>
      </c>
      <c r="EC28" s="26">
        <v>4.5</v>
      </c>
      <c r="ED28" s="26">
        <v>19.5</v>
      </c>
      <c r="EE28" s="26">
        <v>0</v>
      </c>
      <c r="EL28" s="26">
        <v>16</v>
      </c>
      <c r="EM28" s="26">
        <v>4.5</v>
      </c>
      <c r="EN28" s="26">
        <v>19.5</v>
      </c>
      <c r="EO28" s="26">
        <v>0</v>
      </c>
      <c r="EV28" s="26">
        <v>16</v>
      </c>
      <c r="EW28" s="26">
        <v>4.5</v>
      </c>
      <c r="EX28" s="26">
        <v>19.5</v>
      </c>
      <c r="EY28" s="26">
        <v>0</v>
      </c>
      <c r="FF28" s="26">
        <v>16</v>
      </c>
      <c r="FG28" s="26">
        <v>4.5</v>
      </c>
      <c r="FH28" s="26">
        <v>19.5</v>
      </c>
      <c r="FI28" s="26">
        <v>0</v>
      </c>
      <c r="FP28" s="26">
        <v>16</v>
      </c>
      <c r="FQ28" s="26">
        <v>4.5</v>
      </c>
      <c r="FR28" s="26">
        <v>19.5</v>
      </c>
      <c r="FS28" s="26">
        <v>0</v>
      </c>
      <c r="FZ28" s="26">
        <v>16</v>
      </c>
      <c r="GA28" s="26">
        <v>4.5</v>
      </c>
      <c r="GB28" s="26">
        <v>19.5</v>
      </c>
      <c r="GC28" s="26">
        <v>0</v>
      </c>
      <c r="GJ28" s="26">
        <v>16</v>
      </c>
      <c r="GK28" s="26">
        <v>4.5</v>
      </c>
      <c r="GL28" s="26">
        <v>19.5</v>
      </c>
      <c r="GM28" s="26">
        <v>0</v>
      </c>
      <c r="GT28" s="26">
        <v>16</v>
      </c>
      <c r="GU28" s="26">
        <v>4.5</v>
      </c>
      <c r="GV28" s="26">
        <v>19.5</v>
      </c>
      <c r="GW28" s="26">
        <v>0</v>
      </c>
    </row>
    <row r="29" spans="2:205">
      <c r="B29" s="26">
        <v>17</v>
      </c>
      <c r="C29" s="26">
        <v>0</v>
      </c>
      <c r="D29" s="26">
        <v>21</v>
      </c>
      <c r="E29" s="26">
        <v>0</v>
      </c>
      <c r="L29" s="26">
        <v>17</v>
      </c>
      <c r="M29" s="26">
        <v>0</v>
      </c>
      <c r="N29" s="26">
        <v>21</v>
      </c>
      <c r="O29" s="26">
        <v>0</v>
      </c>
      <c r="V29" s="26">
        <v>17</v>
      </c>
      <c r="W29" s="26">
        <v>0</v>
      </c>
      <c r="X29" s="26">
        <v>21</v>
      </c>
      <c r="Y29" s="26">
        <v>0</v>
      </c>
      <c r="AF29" s="26">
        <v>17</v>
      </c>
      <c r="AG29" s="26">
        <v>0</v>
      </c>
      <c r="AH29" s="26">
        <v>21</v>
      </c>
      <c r="AI29" s="26">
        <v>0</v>
      </c>
      <c r="AP29" s="26">
        <v>17</v>
      </c>
      <c r="AQ29" s="26">
        <v>0</v>
      </c>
      <c r="AR29" s="26">
        <v>21</v>
      </c>
      <c r="AS29" s="26">
        <v>0</v>
      </c>
      <c r="AZ29" s="26">
        <v>17</v>
      </c>
      <c r="BA29" s="26">
        <v>0</v>
      </c>
      <c r="BB29" s="26">
        <v>21</v>
      </c>
      <c r="BC29" s="26">
        <v>0</v>
      </c>
      <c r="BJ29" s="26">
        <v>17</v>
      </c>
      <c r="BK29" s="26">
        <v>0</v>
      </c>
      <c r="BL29" s="26">
        <v>21</v>
      </c>
      <c r="BM29" s="26">
        <v>0</v>
      </c>
      <c r="BT29" s="26">
        <v>17</v>
      </c>
      <c r="BU29" s="26">
        <v>0</v>
      </c>
      <c r="BV29" s="26">
        <v>21</v>
      </c>
      <c r="BW29" s="26">
        <v>0</v>
      </c>
      <c r="CD29" s="26">
        <v>17</v>
      </c>
      <c r="CE29" s="26">
        <v>0</v>
      </c>
      <c r="CF29" s="26">
        <v>21</v>
      </c>
      <c r="CG29" s="26">
        <v>0</v>
      </c>
      <c r="CN29" s="26">
        <v>17</v>
      </c>
      <c r="CO29" s="26">
        <v>0</v>
      </c>
      <c r="CP29" s="26">
        <v>21</v>
      </c>
      <c r="CQ29" s="26">
        <v>0</v>
      </c>
      <c r="CX29" s="26">
        <v>17</v>
      </c>
      <c r="CY29" s="26">
        <v>0</v>
      </c>
      <c r="CZ29" s="26">
        <v>21</v>
      </c>
      <c r="DA29" s="26">
        <v>0</v>
      </c>
      <c r="DH29" s="26">
        <v>17</v>
      </c>
      <c r="DI29" s="26">
        <v>0</v>
      </c>
      <c r="DJ29" s="26">
        <v>21</v>
      </c>
      <c r="DK29" s="26">
        <v>0</v>
      </c>
      <c r="DR29" s="26">
        <v>17</v>
      </c>
      <c r="DS29" s="26">
        <v>0</v>
      </c>
      <c r="DT29" s="26">
        <v>21</v>
      </c>
      <c r="DU29" s="26">
        <v>0</v>
      </c>
      <c r="EB29" s="26">
        <v>17</v>
      </c>
      <c r="EC29" s="26">
        <v>0</v>
      </c>
      <c r="ED29" s="26">
        <v>21</v>
      </c>
      <c r="EE29" s="26">
        <v>0</v>
      </c>
      <c r="EL29" s="26">
        <v>17</v>
      </c>
      <c r="EM29" s="26">
        <v>0</v>
      </c>
      <c r="EN29" s="26">
        <v>21</v>
      </c>
      <c r="EO29" s="26">
        <v>0</v>
      </c>
      <c r="EV29" s="26">
        <v>17</v>
      </c>
      <c r="EW29" s="26">
        <v>0</v>
      </c>
      <c r="EX29" s="26">
        <v>21</v>
      </c>
      <c r="EY29" s="26">
        <v>0</v>
      </c>
      <c r="FF29" s="26">
        <v>17</v>
      </c>
      <c r="FG29" s="26">
        <v>0</v>
      </c>
      <c r="FH29" s="26">
        <v>21</v>
      </c>
      <c r="FI29" s="26">
        <v>0</v>
      </c>
      <c r="FP29" s="26">
        <v>17</v>
      </c>
      <c r="FQ29" s="26">
        <v>0</v>
      </c>
      <c r="FR29" s="26">
        <v>21</v>
      </c>
      <c r="FS29" s="26">
        <v>0</v>
      </c>
      <c r="FZ29" s="26">
        <v>17</v>
      </c>
      <c r="GA29" s="26">
        <v>0</v>
      </c>
      <c r="GB29" s="26">
        <v>21</v>
      </c>
      <c r="GC29" s="26">
        <v>0</v>
      </c>
      <c r="GJ29" s="26">
        <v>17</v>
      </c>
      <c r="GK29" s="26">
        <v>0</v>
      </c>
      <c r="GL29" s="26">
        <v>21</v>
      </c>
      <c r="GM29" s="26">
        <v>0</v>
      </c>
      <c r="GT29" s="26">
        <v>17</v>
      </c>
      <c r="GU29" s="26">
        <v>0</v>
      </c>
      <c r="GV29" s="26">
        <v>21</v>
      </c>
      <c r="GW29" s="26">
        <v>0</v>
      </c>
    </row>
    <row r="30" spans="2:205">
      <c r="B30" s="26">
        <v>18</v>
      </c>
      <c r="C30" s="26">
        <v>4.5</v>
      </c>
      <c r="D30" s="26">
        <v>21</v>
      </c>
      <c r="E30" s="26">
        <v>0</v>
      </c>
      <c r="L30" s="26">
        <v>18</v>
      </c>
      <c r="M30" s="26">
        <v>4.5</v>
      </c>
      <c r="N30" s="26">
        <v>21</v>
      </c>
      <c r="O30" s="26">
        <v>0</v>
      </c>
      <c r="V30" s="26">
        <v>18</v>
      </c>
      <c r="W30" s="26">
        <v>4.5</v>
      </c>
      <c r="X30" s="26">
        <v>21</v>
      </c>
      <c r="Y30" s="26">
        <v>0</v>
      </c>
      <c r="AF30" s="26">
        <v>18</v>
      </c>
      <c r="AG30" s="26">
        <v>4.5</v>
      </c>
      <c r="AH30" s="26">
        <v>21</v>
      </c>
      <c r="AI30" s="26">
        <v>0</v>
      </c>
      <c r="AP30" s="26">
        <v>18</v>
      </c>
      <c r="AQ30" s="26">
        <v>4.5</v>
      </c>
      <c r="AR30" s="26">
        <v>21</v>
      </c>
      <c r="AS30" s="26">
        <v>0</v>
      </c>
      <c r="AZ30" s="26">
        <v>18</v>
      </c>
      <c r="BA30" s="26">
        <v>4.5</v>
      </c>
      <c r="BB30" s="26">
        <v>21</v>
      </c>
      <c r="BC30" s="26">
        <v>0</v>
      </c>
      <c r="BJ30" s="26">
        <v>18</v>
      </c>
      <c r="BK30" s="26">
        <v>4.5</v>
      </c>
      <c r="BL30" s="26">
        <v>21</v>
      </c>
      <c r="BM30" s="26">
        <v>0</v>
      </c>
      <c r="BT30" s="26">
        <v>18</v>
      </c>
      <c r="BU30" s="26">
        <v>4.5</v>
      </c>
      <c r="BV30" s="26">
        <v>21</v>
      </c>
      <c r="BW30" s="26">
        <v>0</v>
      </c>
      <c r="CD30" s="26">
        <v>18</v>
      </c>
      <c r="CE30" s="26">
        <v>4.5</v>
      </c>
      <c r="CF30" s="26">
        <v>21</v>
      </c>
      <c r="CG30" s="26">
        <v>0</v>
      </c>
      <c r="CN30" s="26">
        <v>18</v>
      </c>
      <c r="CO30" s="26">
        <v>4.5</v>
      </c>
      <c r="CP30" s="26">
        <v>21</v>
      </c>
      <c r="CQ30" s="26">
        <v>0</v>
      </c>
      <c r="CX30" s="26">
        <v>18</v>
      </c>
      <c r="CY30" s="26">
        <v>4.5</v>
      </c>
      <c r="CZ30" s="26">
        <v>21</v>
      </c>
      <c r="DA30" s="26">
        <v>0</v>
      </c>
      <c r="DH30" s="26">
        <v>18</v>
      </c>
      <c r="DI30" s="26">
        <v>4.5</v>
      </c>
      <c r="DJ30" s="26">
        <v>21</v>
      </c>
      <c r="DK30" s="26">
        <v>0</v>
      </c>
      <c r="DR30" s="26">
        <v>18</v>
      </c>
      <c r="DS30" s="26">
        <v>4.5</v>
      </c>
      <c r="DT30" s="26">
        <v>21</v>
      </c>
      <c r="DU30" s="26">
        <v>0</v>
      </c>
      <c r="EB30" s="26">
        <v>18</v>
      </c>
      <c r="EC30" s="26">
        <v>4.5</v>
      </c>
      <c r="ED30" s="26">
        <v>21</v>
      </c>
      <c r="EE30" s="26">
        <v>0</v>
      </c>
      <c r="EL30" s="26">
        <v>18</v>
      </c>
      <c r="EM30" s="26">
        <v>4.5</v>
      </c>
      <c r="EN30" s="26">
        <v>21</v>
      </c>
      <c r="EO30" s="26">
        <v>0</v>
      </c>
      <c r="EV30" s="26">
        <v>18</v>
      </c>
      <c r="EW30" s="26">
        <v>4.5</v>
      </c>
      <c r="EX30" s="26">
        <v>21</v>
      </c>
      <c r="EY30" s="26">
        <v>0</v>
      </c>
      <c r="FF30" s="26">
        <v>18</v>
      </c>
      <c r="FG30" s="26">
        <v>4.5</v>
      </c>
      <c r="FH30" s="26">
        <v>21</v>
      </c>
      <c r="FI30" s="26">
        <v>0</v>
      </c>
      <c r="FP30" s="26">
        <v>18</v>
      </c>
      <c r="FQ30" s="26">
        <v>4.5</v>
      </c>
      <c r="FR30" s="26">
        <v>21</v>
      </c>
      <c r="FS30" s="26">
        <v>0</v>
      </c>
      <c r="FZ30" s="26">
        <v>18</v>
      </c>
      <c r="GA30" s="26">
        <v>4.5</v>
      </c>
      <c r="GB30" s="26">
        <v>21</v>
      </c>
      <c r="GC30" s="26">
        <v>0</v>
      </c>
      <c r="GJ30" s="26">
        <v>18</v>
      </c>
      <c r="GK30" s="26">
        <v>4.5</v>
      </c>
      <c r="GL30" s="26">
        <v>21</v>
      </c>
      <c r="GM30" s="26">
        <v>0</v>
      </c>
      <c r="GT30" s="26">
        <v>18</v>
      </c>
      <c r="GU30" s="26">
        <v>4.5</v>
      </c>
      <c r="GV30" s="26">
        <v>21</v>
      </c>
      <c r="GW30" s="26">
        <v>0</v>
      </c>
    </row>
    <row r="33" spans="2:208">
      <c r="B33" s="26" t="s">
        <v>122</v>
      </c>
      <c r="L33" s="26" t="s">
        <v>122</v>
      </c>
      <c r="V33" s="26" t="s">
        <v>122</v>
      </c>
      <c r="AF33" s="26" t="s">
        <v>122</v>
      </c>
      <c r="AP33" s="26" t="s">
        <v>122</v>
      </c>
      <c r="AZ33" s="26" t="s">
        <v>122</v>
      </c>
      <c r="BJ33" s="26" t="s">
        <v>122</v>
      </c>
      <c r="BT33" s="26" t="s">
        <v>122</v>
      </c>
      <c r="CD33" s="26" t="s">
        <v>122</v>
      </c>
      <c r="CN33" s="26" t="s">
        <v>122</v>
      </c>
      <c r="CX33" s="26" t="s">
        <v>122</v>
      </c>
      <c r="DH33" s="26" t="s">
        <v>122</v>
      </c>
      <c r="DR33" s="26" t="s">
        <v>122</v>
      </c>
      <c r="EB33" s="26" t="s">
        <v>122</v>
      </c>
      <c r="EL33" s="26" t="s">
        <v>122</v>
      </c>
      <c r="EV33" s="26" t="s">
        <v>122</v>
      </c>
      <c r="FF33" s="26" t="s">
        <v>122</v>
      </c>
      <c r="FP33" s="26" t="s">
        <v>122</v>
      </c>
      <c r="FZ33" s="26" t="s">
        <v>122</v>
      </c>
      <c r="GJ33" s="26" t="s">
        <v>122</v>
      </c>
      <c r="GT33" s="26" t="s">
        <v>122</v>
      </c>
    </row>
    <row r="34" spans="2:208">
      <c r="C34" s="26" t="s">
        <v>119</v>
      </c>
      <c r="D34" s="26" t="s">
        <v>120</v>
      </c>
      <c r="E34" s="26" t="s">
        <v>121</v>
      </c>
      <c r="F34" s="26" t="s">
        <v>123</v>
      </c>
      <c r="G34" s="26" t="s">
        <v>124</v>
      </c>
      <c r="H34" s="26" t="s">
        <v>125</v>
      </c>
      <c r="M34" s="26" t="s">
        <v>119</v>
      </c>
      <c r="N34" s="26" t="s">
        <v>120</v>
      </c>
      <c r="O34" s="26" t="s">
        <v>121</v>
      </c>
      <c r="P34" s="26" t="s">
        <v>123</v>
      </c>
      <c r="Q34" s="26" t="s">
        <v>124</v>
      </c>
      <c r="R34" s="26" t="s">
        <v>125</v>
      </c>
      <c r="W34" s="26" t="s">
        <v>119</v>
      </c>
      <c r="X34" s="26" t="s">
        <v>120</v>
      </c>
      <c r="Y34" s="26" t="s">
        <v>121</v>
      </c>
      <c r="Z34" s="26" t="s">
        <v>123</v>
      </c>
      <c r="AA34" s="26" t="s">
        <v>124</v>
      </c>
      <c r="AB34" s="26" t="s">
        <v>125</v>
      </c>
      <c r="AG34" s="26" t="s">
        <v>119</v>
      </c>
      <c r="AH34" s="26" t="s">
        <v>120</v>
      </c>
      <c r="AI34" s="26" t="s">
        <v>121</v>
      </c>
      <c r="AJ34" s="26" t="s">
        <v>123</v>
      </c>
      <c r="AK34" s="26" t="s">
        <v>124</v>
      </c>
      <c r="AL34" s="26" t="s">
        <v>125</v>
      </c>
      <c r="AQ34" s="26" t="s">
        <v>119</v>
      </c>
      <c r="AR34" s="26" t="s">
        <v>120</v>
      </c>
      <c r="AS34" s="26" t="s">
        <v>121</v>
      </c>
      <c r="AT34" s="26" t="s">
        <v>123</v>
      </c>
      <c r="AU34" s="26" t="s">
        <v>124</v>
      </c>
      <c r="AV34" s="26" t="s">
        <v>125</v>
      </c>
      <c r="BA34" s="26" t="s">
        <v>119</v>
      </c>
      <c r="BB34" s="26" t="s">
        <v>120</v>
      </c>
      <c r="BC34" s="26" t="s">
        <v>121</v>
      </c>
      <c r="BD34" s="26" t="s">
        <v>123</v>
      </c>
      <c r="BE34" s="26" t="s">
        <v>124</v>
      </c>
      <c r="BF34" s="26" t="s">
        <v>125</v>
      </c>
      <c r="BK34" s="26" t="s">
        <v>119</v>
      </c>
      <c r="BL34" s="26" t="s">
        <v>120</v>
      </c>
      <c r="BM34" s="26" t="s">
        <v>121</v>
      </c>
      <c r="BN34" s="26" t="s">
        <v>123</v>
      </c>
      <c r="BO34" s="26" t="s">
        <v>124</v>
      </c>
      <c r="BP34" s="26" t="s">
        <v>125</v>
      </c>
      <c r="BU34" s="26" t="s">
        <v>119</v>
      </c>
      <c r="BV34" s="26" t="s">
        <v>120</v>
      </c>
      <c r="BW34" s="26" t="s">
        <v>121</v>
      </c>
      <c r="BX34" s="26" t="s">
        <v>123</v>
      </c>
      <c r="BY34" s="26" t="s">
        <v>124</v>
      </c>
      <c r="BZ34" s="26" t="s">
        <v>125</v>
      </c>
      <c r="CE34" s="26" t="s">
        <v>119</v>
      </c>
      <c r="CF34" s="26" t="s">
        <v>120</v>
      </c>
      <c r="CG34" s="26" t="s">
        <v>121</v>
      </c>
      <c r="CH34" s="26" t="s">
        <v>123</v>
      </c>
      <c r="CI34" s="26" t="s">
        <v>124</v>
      </c>
      <c r="CJ34" s="26" t="s">
        <v>125</v>
      </c>
      <c r="CO34" s="26" t="s">
        <v>119</v>
      </c>
      <c r="CP34" s="26" t="s">
        <v>120</v>
      </c>
      <c r="CQ34" s="26" t="s">
        <v>121</v>
      </c>
      <c r="CR34" s="26" t="s">
        <v>123</v>
      </c>
      <c r="CS34" s="26" t="s">
        <v>124</v>
      </c>
      <c r="CT34" s="26" t="s">
        <v>125</v>
      </c>
      <c r="CY34" s="26" t="s">
        <v>119</v>
      </c>
      <c r="CZ34" s="26" t="s">
        <v>120</v>
      </c>
      <c r="DA34" s="26" t="s">
        <v>121</v>
      </c>
      <c r="DB34" s="26" t="s">
        <v>123</v>
      </c>
      <c r="DC34" s="26" t="s">
        <v>124</v>
      </c>
      <c r="DD34" s="26" t="s">
        <v>125</v>
      </c>
      <c r="DI34" s="26" t="s">
        <v>119</v>
      </c>
      <c r="DJ34" s="26" t="s">
        <v>120</v>
      </c>
      <c r="DK34" s="26" t="s">
        <v>121</v>
      </c>
      <c r="DL34" s="26" t="s">
        <v>123</v>
      </c>
      <c r="DM34" s="26" t="s">
        <v>124</v>
      </c>
      <c r="DN34" s="26" t="s">
        <v>125</v>
      </c>
      <c r="DS34" s="26" t="s">
        <v>119</v>
      </c>
      <c r="DT34" s="26" t="s">
        <v>120</v>
      </c>
      <c r="DU34" s="26" t="s">
        <v>121</v>
      </c>
      <c r="DV34" s="26" t="s">
        <v>123</v>
      </c>
      <c r="DW34" s="26" t="s">
        <v>124</v>
      </c>
      <c r="DX34" s="26" t="s">
        <v>125</v>
      </c>
      <c r="EC34" s="26" t="s">
        <v>119</v>
      </c>
      <c r="ED34" s="26" t="s">
        <v>120</v>
      </c>
      <c r="EE34" s="26" t="s">
        <v>121</v>
      </c>
      <c r="EF34" s="26" t="s">
        <v>123</v>
      </c>
      <c r="EG34" s="26" t="s">
        <v>124</v>
      </c>
      <c r="EH34" s="26" t="s">
        <v>125</v>
      </c>
      <c r="EM34" s="26" t="s">
        <v>119</v>
      </c>
      <c r="EN34" s="26" t="s">
        <v>120</v>
      </c>
      <c r="EO34" s="26" t="s">
        <v>121</v>
      </c>
      <c r="EP34" s="26" t="s">
        <v>123</v>
      </c>
      <c r="EQ34" s="26" t="s">
        <v>124</v>
      </c>
      <c r="ER34" s="26" t="s">
        <v>125</v>
      </c>
      <c r="EW34" s="26" t="s">
        <v>119</v>
      </c>
      <c r="EX34" s="26" t="s">
        <v>120</v>
      </c>
      <c r="EY34" s="26" t="s">
        <v>121</v>
      </c>
      <c r="EZ34" s="26" t="s">
        <v>123</v>
      </c>
      <c r="FA34" s="26" t="s">
        <v>124</v>
      </c>
      <c r="FB34" s="26" t="s">
        <v>125</v>
      </c>
      <c r="FG34" s="26" t="s">
        <v>119</v>
      </c>
      <c r="FH34" s="26" t="s">
        <v>120</v>
      </c>
      <c r="FI34" s="26" t="s">
        <v>121</v>
      </c>
      <c r="FJ34" s="26" t="s">
        <v>123</v>
      </c>
      <c r="FK34" s="26" t="s">
        <v>124</v>
      </c>
      <c r="FL34" s="26" t="s">
        <v>125</v>
      </c>
      <c r="FQ34" s="26" t="s">
        <v>119</v>
      </c>
      <c r="FR34" s="26" t="s">
        <v>120</v>
      </c>
      <c r="FS34" s="26" t="s">
        <v>121</v>
      </c>
      <c r="FT34" s="26" t="s">
        <v>123</v>
      </c>
      <c r="FU34" s="26" t="s">
        <v>124</v>
      </c>
      <c r="FV34" s="26" t="s">
        <v>125</v>
      </c>
      <c r="GA34" s="26" t="s">
        <v>119</v>
      </c>
      <c r="GB34" s="26" t="s">
        <v>120</v>
      </c>
      <c r="GC34" s="26" t="s">
        <v>121</v>
      </c>
      <c r="GD34" s="26" t="s">
        <v>123</v>
      </c>
      <c r="GE34" s="26" t="s">
        <v>124</v>
      </c>
      <c r="GF34" s="26" t="s">
        <v>125</v>
      </c>
      <c r="GK34" s="26" t="s">
        <v>119</v>
      </c>
      <c r="GL34" s="26" t="s">
        <v>120</v>
      </c>
      <c r="GM34" s="26" t="s">
        <v>121</v>
      </c>
      <c r="GN34" s="26" t="s">
        <v>123</v>
      </c>
      <c r="GO34" s="26" t="s">
        <v>124</v>
      </c>
      <c r="GP34" s="26" t="s">
        <v>125</v>
      </c>
      <c r="GU34" s="26" t="s">
        <v>119</v>
      </c>
      <c r="GV34" s="26" t="s">
        <v>120</v>
      </c>
      <c r="GW34" s="26" t="s">
        <v>121</v>
      </c>
      <c r="GX34" s="26" t="s">
        <v>123</v>
      </c>
      <c r="GY34" s="26" t="s">
        <v>124</v>
      </c>
      <c r="GZ34" s="26" t="s">
        <v>125</v>
      </c>
    </row>
    <row r="35" spans="2:208">
      <c r="B35" s="26">
        <v>1</v>
      </c>
      <c r="C35" s="26">
        <v>8.6794467642903328E-4</v>
      </c>
      <c r="D35" s="26">
        <v>2.1581151522696018E-3</v>
      </c>
      <c r="E35" s="26">
        <v>0</v>
      </c>
      <c r="F35" s="26">
        <v>0</v>
      </c>
      <c r="G35" s="26">
        <v>0</v>
      </c>
      <c r="H35" s="26">
        <v>1.3688270701095462E-4</v>
      </c>
      <c r="L35" s="26">
        <v>1</v>
      </c>
      <c r="M35" s="26">
        <v>-7.5635837856680155E-4</v>
      </c>
      <c r="N35" s="26">
        <v>1.8380435649305582E-3</v>
      </c>
      <c r="O35" s="26">
        <v>0</v>
      </c>
      <c r="P35" s="26">
        <v>0</v>
      </c>
      <c r="Q35" s="26">
        <v>0</v>
      </c>
      <c r="R35" s="26">
        <v>-1.1956393427681178E-4</v>
      </c>
      <c r="V35" s="26">
        <v>1</v>
      </c>
      <c r="W35" s="26">
        <v>9.7970350054765731E-8</v>
      </c>
      <c r="X35" s="26">
        <v>-8.998661651276052E-4</v>
      </c>
      <c r="Y35" s="26">
        <v>0</v>
      </c>
      <c r="Z35" s="26">
        <v>0</v>
      </c>
      <c r="AA35" s="26">
        <v>0</v>
      </c>
      <c r="AB35" s="26">
        <v>8.3076976409302006E-8</v>
      </c>
      <c r="AF35" s="26">
        <v>1</v>
      </c>
      <c r="AG35" s="26">
        <v>1.2489810785609734E-7</v>
      </c>
      <c r="AH35" s="26">
        <v>-1.1615271214395761E-3</v>
      </c>
      <c r="AI35" s="26">
        <v>0</v>
      </c>
      <c r="AJ35" s="26">
        <v>0</v>
      </c>
      <c r="AK35" s="26">
        <v>0</v>
      </c>
      <c r="AL35" s="26">
        <v>1.06987606329767E-7</v>
      </c>
      <c r="AP35" s="26">
        <v>1</v>
      </c>
      <c r="AQ35" s="26">
        <v>1.8420671403873712E-4</v>
      </c>
      <c r="AR35" s="26">
        <v>2.2994088067207485E-4</v>
      </c>
      <c r="AS35" s="26">
        <v>0</v>
      </c>
      <c r="AT35" s="26">
        <v>0</v>
      </c>
      <c r="AU35" s="26">
        <v>0</v>
      </c>
      <c r="AV35" s="26">
        <v>3.1908235541777685E-5</v>
      </c>
      <c r="AZ35" s="26">
        <v>1</v>
      </c>
      <c r="BA35" s="26">
        <v>2.0870681328233331E-4</v>
      </c>
      <c r="BB35" s="26">
        <v>2.6052311295643449E-4</v>
      </c>
      <c r="BC35" s="26">
        <v>0</v>
      </c>
      <c r="BD35" s="26">
        <v>0</v>
      </c>
      <c r="BE35" s="26">
        <v>0</v>
      </c>
      <c r="BF35" s="26">
        <v>3.6152134271105751E-5</v>
      </c>
      <c r="BJ35" s="26">
        <v>1</v>
      </c>
      <c r="BK35" s="26">
        <v>2.1681195357814431E-4</v>
      </c>
      <c r="BL35" s="26">
        <v>2.7064050664193928E-4</v>
      </c>
      <c r="BM35" s="26">
        <v>0</v>
      </c>
      <c r="BN35" s="26">
        <v>0</v>
      </c>
      <c r="BO35" s="26">
        <v>0</v>
      </c>
      <c r="BP35" s="26">
        <v>3.7556106690317392E-5</v>
      </c>
      <c r="BT35" s="26">
        <v>1</v>
      </c>
      <c r="BU35" s="26">
        <v>2.1681195357814431E-4</v>
      </c>
      <c r="BV35" s="26">
        <v>2.7064050664193928E-4</v>
      </c>
      <c r="BW35" s="26">
        <v>0</v>
      </c>
      <c r="BX35" s="26">
        <v>0</v>
      </c>
      <c r="BY35" s="26">
        <v>0</v>
      </c>
      <c r="BZ35" s="26">
        <v>3.7556106690317392E-5</v>
      </c>
      <c r="CD35" s="26">
        <v>1</v>
      </c>
      <c r="CE35" s="26">
        <v>2.1681195357814431E-4</v>
      </c>
      <c r="CF35" s="26">
        <v>2.7064050664193928E-4</v>
      </c>
      <c r="CG35" s="26">
        <v>0</v>
      </c>
      <c r="CH35" s="26">
        <v>0</v>
      </c>
      <c r="CI35" s="26">
        <v>0</v>
      </c>
      <c r="CJ35" s="26">
        <v>3.7556106690317392E-5</v>
      </c>
      <c r="CN35" s="26">
        <v>1</v>
      </c>
      <c r="CO35" s="26">
        <v>5.13313221745193E-4</v>
      </c>
      <c r="CP35" s="26">
        <v>2.9191043722676113E-5</v>
      </c>
      <c r="CQ35" s="26">
        <v>0</v>
      </c>
      <c r="CR35" s="26">
        <v>0</v>
      </c>
      <c r="CS35" s="26">
        <v>0</v>
      </c>
      <c r="CT35" s="26">
        <v>3.8946018321439624E-5</v>
      </c>
      <c r="CX35" s="26">
        <v>1</v>
      </c>
      <c r="CY35" s="26">
        <v>6.4164155628532171E-4</v>
      </c>
      <c r="CZ35" s="26">
        <v>3.648880374385044E-5</v>
      </c>
      <c r="DA35" s="26">
        <v>0</v>
      </c>
      <c r="DB35" s="26">
        <v>0</v>
      </c>
      <c r="DC35" s="26">
        <v>0</v>
      </c>
      <c r="DD35" s="26">
        <v>4.868252290179953E-5</v>
      </c>
      <c r="DH35" s="26">
        <v>1</v>
      </c>
      <c r="DI35" s="26">
        <v>2.2163293324410915E-3</v>
      </c>
      <c r="DJ35" s="26">
        <v>1.2872062507085502E-4</v>
      </c>
      <c r="DK35" s="26">
        <v>0</v>
      </c>
      <c r="DL35" s="26">
        <v>0</v>
      </c>
      <c r="DM35" s="26">
        <v>0</v>
      </c>
      <c r="DN35" s="26">
        <v>1.717396080493927E-4</v>
      </c>
      <c r="DR35" s="26">
        <v>1</v>
      </c>
      <c r="DS35" s="26">
        <v>2.5576103944331408E-3</v>
      </c>
      <c r="DT35" s="26">
        <v>1.4839682262390852E-4</v>
      </c>
      <c r="DU35" s="26">
        <v>0</v>
      </c>
      <c r="DV35" s="26">
        <v>0</v>
      </c>
      <c r="DW35" s="26">
        <v>0</v>
      </c>
      <c r="DX35" s="26">
        <v>1.9799148140009493E-4</v>
      </c>
      <c r="EB35" s="26">
        <v>1</v>
      </c>
      <c r="EC35" s="26">
        <v>3.499612445011735E-3</v>
      </c>
      <c r="ED35" s="26">
        <v>2.016982325585559E-4</v>
      </c>
      <c r="EE35" s="26">
        <v>0</v>
      </c>
      <c r="EF35" s="26">
        <v>0</v>
      </c>
      <c r="EG35" s="26">
        <v>0</v>
      </c>
      <c r="EH35" s="26">
        <v>2.6910463930107653E-4</v>
      </c>
      <c r="EL35" s="26">
        <v>1</v>
      </c>
      <c r="EM35" s="26">
        <v>3.6516552790999413E-3</v>
      </c>
      <c r="EN35" s="26">
        <v>2.1034452947787941E-4</v>
      </c>
      <c r="EO35" s="26">
        <v>0</v>
      </c>
      <c r="EP35" s="26">
        <v>0</v>
      </c>
      <c r="EQ35" s="26">
        <v>0</v>
      </c>
      <c r="ER35" s="26">
        <v>2.8064034995622933E-4</v>
      </c>
      <c r="EV35" s="26">
        <v>1</v>
      </c>
      <c r="EW35" s="26">
        <v>3.8766192737966776E-3</v>
      </c>
      <c r="EX35" s="26">
        <v>2.2340600844472647E-4</v>
      </c>
      <c r="EY35" s="26">
        <v>0</v>
      </c>
      <c r="EZ35" s="26">
        <v>0</v>
      </c>
      <c r="FA35" s="26">
        <v>0</v>
      </c>
      <c r="FB35" s="26">
        <v>2.9806702514179051E-4</v>
      </c>
      <c r="FF35" s="26">
        <v>1</v>
      </c>
      <c r="FG35" s="26">
        <v>3.6054570227861404E-3</v>
      </c>
      <c r="FH35" s="26">
        <v>2.0771734125446528E-4</v>
      </c>
      <c r="FI35" s="26">
        <v>0</v>
      </c>
      <c r="FJ35" s="26">
        <v>0</v>
      </c>
      <c r="FK35" s="26">
        <v>0</v>
      </c>
      <c r="FL35" s="26">
        <v>2.7713520103134215E-4</v>
      </c>
      <c r="FP35" s="26">
        <v>1</v>
      </c>
      <c r="FQ35" s="26">
        <v>4.0555503219366074E-3</v>
      </c>
      <c r="FR35" s="26">
        <v>3.321496769785881E-4</v>
      </c>
      <c r="FS35" s="26">
        <v>0</v>
      </c>
      <c r="FT35" s="26">
        <v>0</v>
      </c>
      <c r="FU35" s="26">
        <v>0</v>
      </c>
      <c r="FV35" s="26">
        <v>1.553820475237444E-4</v>
      </c>
      <c r="FZ35" s="26">
        <v>1</v>
      </c>
      <c r="GA35" s="26">
        <v>2.627477515488863E-3</v>
      </c>
      <c r="GB35" s="26">
        <v>2.1761997777502984E-4</v>
      </c>
      <c r="GC35" s="26">
        <v>0</v>
      </c>
      <c r="GD35" s="26">
        <v>0</v>
      </c>
      <c r="GE35" s="26">
        <v>0</v>
      </c>
      <c r="GF35" s="26">
        <v>1.086277625290677E-4</v>
      </c>
      <c r="GJ35" s="26">
        <v>1</v>
      </c>
      <c r="GK35" s="26">
        <v>2.4056443944573402E-3</v>
      </c>
      <c r="GL35" s="26">
        <v>1.9837792206089944E-4</v>
      </c>
      <c r="GM35" s="26">
        <v>0</v>
      </c>
      <c r="GN35" s="26">
        <v>0</v>
      </c>
      <c r="GO35" s="26">
        <v>0</v>
      </c>
      <c r="GP35" s="26">
        <v>9.6626754384487867E-5</v>
      </c>
      <c r="GT35" s="26">
        <v>1</v>
      </c>
      <c r="GU35" s="26">
        <v>4.3682428076863289E-4</v>
      </c>
      <c r="GV35" s="26">
        <v>3.5521974496077746E-5</v>
      </c>
      <c r="GW35" s="26">
        <v>0</v>
      </c>
      <c r="GX35" s="26">
        <v>0</v>
      </c>
      <c r="GY35" s="26">
        <v>0</v>
      </c>
      <c r="GZ35" s="26">
        <v>1.8537510186433792E-5</v>
      </c>
    </row>
    <row r="36" spans="2:208">
      <c r="B36" s="26">
        <v>2</v>
      </c>
      <c r="C36" s="26">
        <v>7.3106196941807866E-4</v>
      </c>
      <c r="D36" s="26">
        <v>1.7466687131673098E-3</v>
      </c>
      <c r="E36" s="26">
        <v>0</v>
      </c>
      <c r="F36" s="26">
        <v>0</v>
      </c>
      <c r="G36" s="26">
        <v>0</v>
      </c>
      <c r="H36" s="26">
        <v>1.3727633631788194E-4</v>
      </c>
      <c r="L36" s="26">
        <v>2</v>
      </c>
      <c r="M36" s="26">
        <v>-6.3679442973807454E-4</v>
      </c>
      <c r="N36" s="26">
        <v>2.1956616546958685E-3</v>
      </c>
      <c r="O36" s="26">
        <v>0</v>
      </c>
      <c r="P36" s="26">
        <v>0</v>
      </c>
      <c r="Q36" s="26">
        <v>0</v>
      </c>
      <c r="R36" s="26">
        <v>-1.1902235564775765E-4</v>
      </c>
      <c r="V36" s="26">
        <v>2</v>
      </c>
      <c r="W36" s="26">
        <v>1.4883902998974463E-8</v>
      </c>
      <c r="X36" s="26">
        <v>-8.996872347779572E-4</v>
      </c>
      <c r="Y36" s="26">
        <v>0</v>
      </c>
      <c r="Z36" s="26">
        <v>0</v>
      </c>
      <c r="AA36" s="26">
        <v>0</v>
      </c>
      <c r="AB36" s="26">
        <v>-1.3099555928874906E-7</v>
      </c>
      <c r="AF36" s="26">
        <v>2</v>
      </c>
      <c r="AG36" s="26">
        <v>1.7898273085847904E-8</v>
      </c>
      <c r="AH36" s="26">
        <v>-1.1612953385338187E-3</v>
      </c>
      <c r="AI36" s="26">
        <v>0</v>
      </c>
      <c r="AJ36" s="26">
        <v>0</v>
      </c>
      <c r="AK36" s="26">
        <v>0</v>
      </c>
      <c r="AL36" s="26">
        <v>-1.6933222468651365E-7</v>
      </c>
      <c r="AP36" s="26">
        <v>2</v>
      </c>
      <c r="AQ36" s="26">
        <v>1.5229848213493824E-4</v>
      </c>
      <c r="AR36" s="26">
        <v>1.3411774125415832E-4</v>
      </c>
      <c r="AS36" s="26">
        <v>0</v>
      </c>
      <c r="AT36" s="26">
        <v>0</v>
      </c>
      <c r="AU36" s="26">
        <v>0</v>
      </c>
      <c r="AV36" s="26">
        <v>3.1956005841493607E-5</v>
      </c>
      <c r="AZ36" s="26">
        <v>2</v>
      </c>
      <c r="BA36" s="26">
        <v>1.7255467537324876E-4</v>
      </c>
      <c r="BB36" s="26">
        <v>1.5195515879895538E-4</v>
      </c>
      <c r="BC36" s="26">
        <v>0</v>
      </c>
      <c r="BD36" s="26">
        <v>0</v>
      </c>
      <c r="BE36" s="26">
        <v>0</v>
      </c>
      <c r="BF36" s="26">
        <v>3.6206256481818855E-5</v>
      </c>
      <c r="BJ36" s="26">
        <v>2</v>
      </c>
      <c r="BK36" s="26">
        <v>1.7925584688782692E-4</v>
      </c>
      <c r="BL36" s="26">
        <v>1.5785632422193885E-4</v>
      </c>
      <c r="BM36" s="26">
        <v>0</v>
      </c>
      <c r="BN36" s="26">
        <v>0</v>
      </c>
      <c r="BO36" s="26">
        <v>0</v>
      </c>
      <c r="BP36" s="26">
        <v>3.7612331652780995E-5</v>
      </c>
      <c r="BT36" s="26">
        <v>2</v>
      </c>
      <c r="BU36" s="26">
        <v>1.7925584688782692E-4</v>
      </c>
      <c r="BV36" s="26">
        <v>1.5785632422193885E-4</v>
      </c>
      <c r="BW36" s="26">
        <v>0</v>
      </c>
      <c r="BX36" s="26">
        <v>0</v>
      </c>
      <c r="BY36" s="26">
        <v>0</v>
      </c>
      <c r="BZ36" s="26">
        <v>3.7612331652780995E-5</v>
      </c>
      <c r="CD36" s="26">
        <v>2</v>
      </c>
      <c r="CE36" s="26">
        <v>1.7925584688782692E-4</v>
      </c>
      <c r="CF36" s="26">
        <v>1.5785632422193885E-4</v>
      </c>
      <c r="CG36" s="26">
        <v>0</v>
      </c>
      <c r="CH36" s="26">
        <v>0</v>
      </c>
      <c r="CI36" s="26">
        <v>0</v>
      </c>
      <c r="CJ36" s="26">
        <v>3.7612331652780995E-5</v>
      </c>
      <c r="CN36" s="26">
        <v>2</v>
      </c>
      <c r="CO36" s="26">
        <v>4.7436120803467929E-4</v>
      </c>
      <c r="CP36" s="26">
        <v>-8.760942000662908E-5</v>
      </c>
      <c r="CQ36" s="26">
        <v>0</v>
      </c>
      <c r="CR36" s="26">
        <v>0</v>
      </c>
      <c r="CS36" s="26">
        <v>0</v>
      </c>
      <c r="CT36" s="26">
        <v>3.8932619645493105E-5</v>
      </c>
      <c r="CX36" s="26">
        <v>2</v>
      </c>
      <c r="CY36" s="26">
        <v>5.9295154642313719E-4</v>
      </c>
      <c r="CZ36" s="26">
        <v>-1.0951176955131814E-4</v>
      </c>
      <c r="DA36" s="26">
        <v>0</v>
      </c>
      <c r="DB36" s="26">
        <v>0</v>
      </c>
      <c r="DC36" s="26">
        <v>0</v>
      </c>
      <c r="DD36" s="26">
        <v>4.866577364737168E-5</v>
      </c>
      <c r="DH36" s="26">
        <v>2</v>
      </c>
      <c r="DI36" s="26">
        <v>2.0445643458515406E-3</v>
      </c>
      <c r="DJ36" s="26">
        <v>-3.8632538053207099E-4</v>
      </c>
      <c r="DK36" s="26">
        <v>0</v>
      </c>
      <c r="DL36" s="26">
        <v>0</v>
      </c>
      <c r="DM36" s="26">
        <v>0</v>
      </c>
      <c r="DN36" s="26">
        <v>1.71675841556862E-4</v>
      </c>
      <c r="DR36" s="26">
        <v>2</v>
      </c>
      <c r="DS36" s="26">
        <v>2.3595895618200302E-3</v>
      </c>
      <c r="DT36" s="26">
        <v>-4.4537876965478063E-4</v>
      </c>
      <c r="DU36" s="26">
        <v>0</v>
      </c>
      <c r="DV36" s="26">
        <v>0</v>
      </c>
      <c r="DW36" s="26">
        <v>0</v>
      </c>
      <c r="DX36" s="26">
        <v>1.979182125069201E-4</v>
      </c>
      <c r="EB36" s="26">
        <v>2</v>
      </c>
      <c r="EC36" s="26">
        <v>3.2304674386978149E-3</v>
      </c>
      <c r="ED36" s="26">
        <v>-6.0534896329045296E-4</v>
      </c>
      <c r="EE36" s="26">
        <v>0</v>
      </c>
      <c r="EF36" s="26">
        <v>0</v>
      </c>
      <c r="EG36" s="26">
        <v>0</v>
      </c>
      <c r="EH36" s="26">
        <v>2.6900737429969013E-4</v>
      </c>
      <c r="EL36" s="26">
        <v>2</v>
      </c>
      <c r="EM36" s="26">
        <v>3.3709725830703974E-3</v>
      </c>
      <c r="EN36" s="26">
        <v>-6.3129857880994678E-4</v>
      </c>
      <c r="EO36" s="26">
        <v>0</v>
      </c>
      <c r="EP36" s="26">
        <v>0</v>
      </c>
      <c r="EQ36" s="26">
        <v>0</v>
      </c>
      <c r="ER36" s="26">
        <v>2.8053909773007035E-4</v>
      </c>
      <c r="EV36" s="26">
        <v>2</v>
      </c>
      <c r="EW36" s="26">
        <v>3.5785073414444923E-3</v>
      </c>
      <c r="EX36" s="26">
        <v>-6.7049957579001784E-4</v>
      </c>
      <c r="EY36" s="26">
        <v>0</v>
      </c>
      <c r="EZ36" s="26">
        <v>0</v>
      </c>
      <c r="FA36" s="26">
        <v>0</v>
      </c>
      <c r="FB36" s="26">
        <v>2.9795931186527014E-4</v>
      </c>
      <c r="FF36" s="26">
        <v>2</v>
      </c>
      <c r="FG36" s="26">
        <v>3.3282800577580929E-3</v>
      </c>
      <c r="FH36" s="26">
        <v>-6.2341371085494757E-4</v>
      </c>
      <c r="FI36" s="26">
        <v>0</v>
      </c>
      <c r="FJ36" s="26">
        <v>0</v>
      </c>
      <c r="FK36" s="26">
        <v>0</v>
      </c>
      <c r="FL36" s="26">
        <v>2.7703517116606236E-4</v>
      </c>
      <c r="FP36" s="26">
        <v>2</v>
      </c>
      <c r="FQ36" s="26">
        <v>3.9001274853944778E-3</v>
      </c>
      <c r="FR36" s="26">
        <v>-1.3422135089058429E-4</v>
      </c>
      <c r="FS36" s="26">
        <v>0</v>
      </c>
      <c r="FT36" s="26">
        <v>0</v>
      </c>
      <c r="FU36" s="26">
        <v>0</v>
      </c>
      <c r="FV36" s="26">
        <v>1.5554262790828943E-4</v>
      </c>
      <c r="FZ36" s="26">
        <v>2</v>
      </c>
      <c r="GA36" s="26">
        <v>2.5188240688294172E-3</v>
      </c>
      <c r="GB36" s="26">
        <v>-1.0839154856512323E-4</v>
      </c>
      <c r="GC36" s="26">
        <v>0</v>
      </c>
      <c r="GD36" s="26">
        <v>0</v>
      </c>
      <c r="GE36" s="26">
        <v>0</v>
      </c>
      <c r="GF36" s="26">
        <v>1.087218479369767E-4</v>
      </c>
      <c r="GJ36" s="26">
        <v>2</v>
      </c>
      <c r="GK36" s="26">
        <v>2.3089938331395388E-3</v>
      </c>
      <c r="GL36" s="26">
        <v>-9.1625945060513914E-5</v>
      </c>
      <c r="GM36" s="26">
        <v>0</v>
      </c>
      <c r="GN36" s="26">
        <v>0</v>
      </c>
      <c r="GO36" s="26">
        <v>0</v>
      </c>
      <c r="GP36" s="26">
        <v>9.6716430562082678E-5</v>
      </c>
      <c r="GT36" s="26">
        <v>2</v>
      </c>
      <c r="GU36" s="26">
        <v>4.1827990207821131E-4</v>
      </c>
      <c r="GV36" s="26">
        <v>-2.0118524844292551E-5</v>
      </c>
      <c r="GW36" s="26">
        <v>0</v>
      </c>
      <c r="GX36" s="26">
        <v>0</v>
      </c>
      <c r="GY36" s="26">
        <v>0</v>
      </c>
      <c r="GZ36" s="26">
        <v>1.855883419921156E-5</v>
      </c>
    </row>
    <row r="37" spans="2:208">
      <c r="B37" s="26">
        <v>3</v>
      </c>
      <c r="C37" s="26">
        <v>7.3106196941807866E-4</v>
      </c>
      <c r="D37" s="26">
        <v>2.1581151522696018E-3</v>
      </c>
      <c r="E37" s="26">
        <v>0</v>
      </c>
      <c r="F37" s="26">
        <v>0</v>
      </c>
      <c r="G37" s="26">
        <v>0</v>
      </c>
      <c r="H37" s="26">
        <v>1.3688270701095462E-4</v>
      </c>
      <c r="L37" s="26">
        <v>3</v>
      </c>
      <c r="M37" s="26">
        <v>-6.3679442973807454E-4</v>
      </c>
      <c r="N37" s="26">
        <v>1.8380435649305582E-3</v>
      </c>
      <c r="O37" s="26">
        <v>0</v>
      </c>
      <c r="P37" s="26">
        <v>0</v>
      </c>
      <c r="Q37" s="26">
        <v>0</v>
      </c>
      <c r="R37" s="26">
        <v>-1.1956393427681178E-4</v>
      </c>
      <c r="V37" s="26">
        <v>3</v>
      </c>
      <c r="W37" s="26">
        <v>1.4893378974534244E-8</v>
      </c>
      <c r="X37" s="26">
        <v>-8.998661651276052E-4</v>
      </c>
      <c r="Y37" s="26">
        <v>0</v>
      </c>
      <c r="Z37" s="26">
        <v>0</v>
      </c>
      <c r="AA37" s="26">
        <v>0</v>
      </c>
      <c r="AB37" s="26">
        <v>8.3076976409302006E-8</v>
      </c>
      <c r="AF37" s="26">
        <v>3</v>
      </c>
      <c r="AG37" s="26">
        <v>1.7910505079044015E-8</v>
      </c>
      <c r="AH37" s="26">
        <v>-1.1615271214395761E-3</v>
      </c>
      <c r="AI37" s="26">
        <v>0</v>
      </c>
      <c r="AJ37" s="26">
        <v>0</v>
      </c>
      <c r="AK37" s="26">
        <v>0</v>
      </c>
      <c r="AL37" s="26">
        <v>1.06987606329767E-7</v>
      </c>
      <c r="AP37" s="26">
        <v>3</v>
      </c>
      <c r="AQ37" s="26">
        <v>1.5229848213493824E-4</v>
      </c>
      <c r="AR37" s="26">
        <v>2.2994088067207485E-4</v>
      </c>
      <c r="AS37" s="26">
        <v>0</v>
      </c>
      <c r="AT37" s="26">
        <v>0</v>
      </c>
      <c r="AU37" s="26">
        <v>0</v>
      </c>
      <c r="AV37" s="26">
        <v>3.1908235541777685E-5</v>
      </c>
      <c r="AZ37" s="26">
        <v>3</v>
      </c>
      <c r="BA37" s="26">
        <v>1.7255467537324876E-4</v>
      </c>
      <c r="BB37" s="26">
        <v>2.6052311295643449E-4</v>
      </c>
      <c r="BC37" s="26">
        <v>0</v>
      </c>
      <c r="BD37" s="26">
        <v>0</v>
      </c>
      <c r="BE37" s="26">
        <v>0</v>
      </c>
      <c r="BF37" s="26">
        <v>3.6152134271105751E-5</v>
      </c>
      <c r="BJ37" s="26">
        <v>3</v>
      </c>
      <c r="BK37" s="26">
        <v>1.7925584688782692E-4</v>
      </c>
      <c r="BL37" s="26">
        <v>2.7064050664193928E-4</v>
      </c>
      <c r="BM37" s="26">
        <v>0</v>
      </c>
      <c r="BN37" s="26">
        <v>0</v>
      </c>
      <c r="BO37" s="26">
        <v>0</v>
      </c>
      <c r="BP37" s="26">
        <v>3.7556106690317392E-5</v>
      </c>
      <c r="BT37" s="26">
        <v>3</v>
      </c>
      <c r="BU37" s="26">
        <v>1.7925584688782692E-4</v>
      </c>
      <c r="BV37" s="26">
        <v>2.7064050664193928E-4</v>
      </c>
      <c r="BW37" s="26">
        <v>0</v>
      </c>
      <c r="BX37" s="26">
        <v>0</v>
      </c>
      <c r="BY37" s="26">
        <v>0</v>
      </c>
      <c r="BZ37" s="26">
        <v>3.7556106690317392E-5</v>
      </c>
      <c r="CD37" s="26">
        <v>3</v>
      </c>
      <c r="CE37" s="26">
        <v>1.7925584688782692E-4</v>
      </c>
      <c r="CF37" s="26">
        <v>2.7064050664193928E-4</v>
      </c>
      <c r="CG37" s="26">
        <v>0</v>
      </c>
      <c r="CH37" s="26">
        <v>0</v>
      </c>
      <c r="CI37" s="26">
        <v>0</v>
      </c>
      <c r="CJ37" s="26">
        <v>3.7556106690317392E-5</v>
      </c>
      <c r="CN37" s="26">
        <v>3</v>
      </c>
      <c r="CO37" s="26">
        <v>4.7436723252758384E-4</v>
      </c>
      <c r="CP37" s="26">
        <v>2.9191043722676113E-5</v>
      </c>
      <c r="CQ37" s="26">
        <v>0</v>
      </c>
      <c r="CR37" s="26">
        <v>0</v>
      </c>
      <c r="CS37" s="26">
        <v>0</v>
      </c>
      <c r="CT37" s="26">
        <v>3.8946018321439624E-5</v>
      </c>
      <c r="CX37" s="26">
        <v>3</v>
      </c>
      <c r="CY37" s="26">
        <v>5.9295905521139503E-4</v>
      </c>
      <c r="CZ37" s="26">
        <v>3.648880374385044E-5</v>
      </c>
      <c r="DA37" s="26">
        <v>0</v>
      </c>
      <c r="DB37" s="26">
        <v>0</v>
      </c>
      <c r="DC37" s="26">
        <v>0</v>
      </c>
      <c r="DD37" s="26">
        <v>4.868252290179953E-5</v>
      </c>
      <c r="DH37" s="26">
        <v>3</v>
      </c>
      <c r="DI37" s="26">
        <v>2.0445897243916988E-3</v>
      </c>
      <c r="DJ37" s="26">
        <v>1.2872062507085502E-4</v>
      </c>
      <c r="DK37" s="26">
        <v>0</v>
      </c>
      <c r="DL37" s="26">
        <v>0</v>
      </c>
      <c r="DM37" s="26">
        <v>0</v>
      </c>
      <c r="DN37" s="26">
        <v>1.717396080493927E-4</v>
      </c>
      <c r="DR37" s="26">
        <v>3</v>
      </c>
      <c r="DS37" s="26">
        <v>2.3596188984811306E-3</v>
      </c>
      <c r="DT37" s="26">
        <v>1.4839682262390852E-4</v>
      </c>
      <c r="DU37" s="26">
        <v>0</v>
      </c>
      <c r="DV37" s="26">
        <v>0</v>
      </c>
      <c r="DW37" s="26">
        <v>0</v>
      </c>
      <c r="DX37" s="26">
        <v>1.9799148140009493E-4</v>
      </c>
      <c r="EB37" s="26">
        <v>3</v>
      </c>
      <c r="EC37" s="26">
        <v>3.2305079512298107E-3</v>
      </c>
      <c r="ED37" s="26">
        <v>2.016982325585559E-4</v>
      </c>
      <c r="EE37" s="26">
        <v>0</v>
      </c>
      <c r="EF37" s="26">
        <v>0</v>
      </c>
      <c r="EG37" s="26">
        <v>0</v>
      </c>
      <c r="EH37" s="26">
        <v>2.6910463930107653E-4</v>
      </c>
      <c r="EL37" s="26">
        <v>3</v>
      </c>
      <c r="EM37" s="26">
        <v>3.3710149582475424E-3</v>
      </c>
      <c r="EN37" s="26">
        <v>2.1034452947787941E-4</v>
      </c>
      <c r="EO37" s="26">
        <v>0</v>
      </c>
      <c r="EP37" s="26">
        <v>0</v>
      </c>
      <c r="EQ37" s="26">
        <v>0</v>
      </c>
      <c r="ER37" s="26">
        <v>2.8064034995622933E-4</v>
      </c>
      <c r="EV37" s="26">
        <v>3</v>
      </c>
      <c r="EW37" s="26">
        <v>3.5785522777587175E-3</v>
      </c>
      <c r="EX37" s="26">
        <v>2.2340600844472647E-4</v>
      </c>
      <c r="EY37" s="26">
        <v>0</v>
      </c>
      <c r="EZ37" s="26">
        <v>0</v>
      </c>
      <c r="FA37" s="26">
        <v>0</v>
      </c>
      <c r="FB37" s="26">
        <v>2.9806702514179051E-4</v>
      </c>
      <c r="FF37" s="26">
        <v>3</v>
      </c>
      <c r="FG37" s="26">
        <v>3.3283217344433069E-3</v>
      </c>
      <c r="FH37" s="26">
        <v>2.0771734125446528E-4</v>
      </c>
      <c r="FI37" s="26">
        <v>0</v>
      </c>
      <c r="FJ37" s="26">
        <v>0</v>
      </c>
      <c r="FK37" s="26">
        <v>0</v>
      </c>
      <c r="FL37" s="26">
        <v>2.7713520103134215E-4</v>
      </c>
      <c r="FP37" s="26">
        <v>3</v>
      </c>
      <c r="FQ37" s="26">
        <v>3.9001682307571173E-3</v>
      </c>
      <c r="FR37" s="26">
        <v>3.321496769785881E-4</v>
      </c>
      <c r="FS37" s="26">
        <v>0</v>
      </c>
      <c r="FT37" s="26">
        <v>0</v>
      </c>
      <c r="FU37" s="26">
        <v>0</v>
      </c>
      <c r="FV37" s="26">
        <v>1.553820475237444E-4</v>
      </c>
      <c r="FZ37" s="26">
        <v>3</v>
      </c>
      <c r="GA37" s="26">
        <v>2.5188496802002192E-3</v>
      </c>
      <c r="GB37" s="26">
        <v>2.1761997777502984E-4</v>
      </c>
      <c r="GC37" s="26">
        <v>0</v>
      </c>
      <c r="GD37" s="26">
        <v>0</v>
      </c>
      <c r="GE37" s="26">
        <v>0</v>
      </c>
      <c r="GF37" s="26">
        <v>1.086277625290677E-4</v>
      </c>
      <c r="GJ37" s="26">
        <v>3</v>
      </c>
      <c r="GK37" s="26">
        <v>2.3090175818651915E-3</v>
      </c>
      <c r="GL37" s="26">
        <v>1.9837792206089944E-4</v>
      </c>
      <c r="GM37" s="26">
        <v>0</v>
      </c>
      <c r="GN37" s="26">
        <v>0</v>
      </c>
      <c r="GO37" s="26">
        <v>0</v>
      </c>
      <c r="GP37" s="26">
        <v>9.6626754384487867E-5</v>
      </c>
      <c r="GT37" s="26">
        <v>3</v>
      </c>
      <c r="GU37" s="26">
        <v>4.182867705821991E-4</v>
      </c>
      <c r="GV37" s="26">
        <v>3.5521974496077746E-5</v>
      </c>
      <c r="GW37" s="26">
        <v>0</v>
      </c>
      <c r="GX37" s="26">
        <v>0</v>
      </c>
      <c r="GY37" s="26">
        <v>0</v>
      </c>
      <c r="GZ37" s="26">
        <v>1.8537510186433792E-5</v>
      </c>
    </row>
    <row r="38" spans="2:208">
      <c r="B38" s="26">
        <v>4</v>
      </c>
      <c r="C38" s="26">
        <v>7.3106196941807866E-4</v>
      </c>
      <c r="D38" s="26">
        <v>2.3632904049009085E-3</v>
      </c>
      <c r="E38" s="26">
        <v>0</v>
      </c>
      <c r="F38" s="26">
        <v>0</v>
      </c>
      <c r="G38" s="26">
        <v>0</v>
      </c>
      <c r="H38" s="26">
        <v>1.3673117791768163E-4</v>
      </c>
      <c r="L38" s="26">
        <v>4</v>
      </c>
      <c r="M38" s="26">
        <v>-6.3679448794573545E-4</v>
      </c>
      <c r="N38" s="26">
        <v>1.6586062265560031E-3</v>
      </c>
      <c r="O38" s="26">
        <v>0</v>
      </c>
      <c r="P38" s="26">
        <v>0</v>
      </c>
      <c r="Q38" s="26">
        <v>0</v>
      </c>
      <c r="R38" s="26">
        <v>-1.1965297744609416E-4</v>
      </c>
      <c r="V38" s="26">
        <v>4</v>
      </c>
      <c r="W38" s="26">
        <v>1.4898117406403344E-8</v>
      </c>
      <c r="X38" s="26">
        <v>-8.9968804968520999E-4</v>
      </c>
      <c r="Y38" s="26">
        <v>0</v>
      </c>
      <c r="Z38" s="26">
        <v>0</v>
      </c>
      <c r="AA38" s="26">
        <v>0</v>
      </c>
      <c r="AB38" s="26">
        <v>1.3657681563472579E-7</v>
      </c>
      <c r="AF38" s="26">
        <v>4</v>
      </c>
      <c r="AG38" s="26">
        <v>1.791662107564207E-8</v>
      </c>
      <c r="AH38" s="26">
        <v>-1.1612975504249334E-3</v>
      </c>
      <c r="AI38" s="26">
        <v>0</v>
      </c>
      <c r="AJ38" s="26">
        <v>0</v>
      </c>
      <c r="AK38" s="26">
        <v>0</v>
      </c>
      <c r="AL38" s="26">
        <v>1.7604405400106771E-7</v>
      </c>
      <c r="AP38" s="26">
        <v>4</v>
      </c>
      <c r="AQ38" s="26">
        <v>1.5229848213493824E-4</v>
      </c>
      <c r="AR38" s="26">
        <v>2.7777336072176695E-4</v>
      </c>
      <c r="AS38" s="26">
        <v>0</v>
      </c>
      <c r="AT38" s="26">
        <v>0</v>
      </c>
      <c r="AU38" s="26">
        <v>0</v>
      </c>
      <c r="AV38" s="26">
        <v>3.1877625588094816E-5</v>
      </c>
      <c r="AZ38" s="26">
        <v>4</v>
      </c>
      <c r="BA38" s="26">
        <v>1.7255467537324876E-4</v>
      </c>
      <c r="BB38" s="26">
        <v>3.1471744296140969E-4</v>
      </c>
      <c r="BC38" s="26">
        <v>0</v>
      </c>
      <c r="BD38" s="26">
        <v>0</v>
      </c>
      <c r="BE38" s="26">
        <v>0</v>
      </c>
      <c r="BF38" s="26">
        <v>3.6117453419137746E-5</v>
      </c>
      <c r="BJ38" s="26">
        <v>4</v>
      </c>
      <c r="BK38" s="26">
        <v>1.7925584688782692E-4</v>
      </c>
      <c r="BL38" s="26">
        <v>3.2693948014639318E-4</v>
      </c>
      <c r="BM38" s="26">
        <v>0</v>
      </c>
      <c r="BN38" s="26">
        <v>0</v>
      </c>
      <c r="BO38" s="26">
        <v>0</v>
      </c>
      <c r="BP38" s="26">
        <v>3.7520076148211956E-5</v>
      </c>
      <c r="BT38" s="26">
        <v>4</v>
      </c>
      <c r="BU38" s="26">
        <v>1.7925584688782692E-4</v>
      </c>
      <c r="BV38" s="26">
        <v>3.2693948014639318E-4</v>
      </c>
      <c r="BW38" s="26">
        <v>0</v>
      </c>
      <c r="BX38" s="26">
        <v>0</v>
      </c>
      <c r="BY38" s="26">
        <v>0</v>
      </c>
      <c r="BZ38" s="26">
        <v>3.7520076148211956E-5</v>
      </c>
      <c r="CD38" s="26">
        <v>4</v>
      </c>
      <c r="CE38" s="26">
        <v>1.7925584688782692E-4</v>
      </c>
      <c r="CF38" s="26">
        <v>3.2693948014639318E-4</v>
      </c>
      <c r="CG38" s="26">
        <v>0</v>
      </c>
      <c r="CH38" s="26">
        <v>0</v>
      </c>
      <c r="CI38" s="26">
        <v>0</v>
      </c>
      <c r="CJ38" s="26">
        <v>3.7520076148211956E-5</v>
      </c>
      <c r="CN38" s="26">
        <v>4</v>
      </c>
      <c r="CO38" s="26">
        <v>4.7436423483304679E-4</v>
      </c>
      <c r="CP38" s="26">
        <v>8.760942000662908E-5</v>
      </c>
      <c r="CQ38" s="26">
        <v>0</v>
      </c>
      <c r="CR38" s="26">
        <v>0</v>
      </c>
      <c r="CS38" s="26">
        <v>0</v>
      </c>
      <c r="CT38" s="26">
        <v>3.8948062865529209E-5</v>
      </c>
      <c r="CX38" s="26">
        <v>4</v>
      </c>
      <c r="CY38" s="26">
        <v>5.9295527171343565E-4</v>
      </c>
      <c r="CZ38" s="26">
        <v>1.0951176955131814E-4</v>
      </c>
      <c r="DA38" s="26">
        <v>0</v>
      </c>
      <c r="DB38" s="26">
        <v>0</v>
      </c>
      <c r="DC38" s="26">
        <v>0</v>
      </c>
      <c r="DD38" s="26">
        <v>4.8685076762922108E-5</v>
      </c>
      <c r="DH38" s="26">
        <v>4</v>
      </c>
      <c r="DI38" s="26">
        <v>2.0445771515369415E-3</v>
      </c>
      <c r="DJ38" s="26">
        <v>3.8632538053207099E-4</v>
      </c>
      <c r="DK38" s="26">
        <v>0</v>
      </c>
      <c r="DL38" s="26">
        <v>0</v>
      </c>
      <c r="DM38" s="26">
        <v>0</v>
      </c>
      <c r="DN38" s="26">
        <v>1.7174627282656729E-4</v>
      </c>
      <c r="DR38" s="26">
        <v>4</v>
      </c>
      <c r="DS38" s="26">
        <v>2.3596042301505804E-3</v>
      </c>
      <c r="DT38" s="26">
        <v>4.4537876965478063E-4</v>
      </c>
      <c r="DU38" s="26">
        <v>0</v>
      </c>
      <c r="DV38" s="26">
        <v>0</v>
      </c>
      <c r="DW38" s="26">
        <v>0</v>
      </c>
      <c r="DX38" s="26">
        <v>1.9799929577857256E-4</v>
      </c>
      <c r="EB38" s="26">
        <v>4</v>
      </c>
      <c r="EC38" s="26">
        <v>3.2304876949638128E-3</v>
      </c>
      <c r="ED38" s="26">
        <v>6.0534896329045296E-4</v>
      </c>
      <c r="EE38" s="26">
        <v>0</v>
      </c>
      <c r="EF38" s="26">
        <v>0</v>
      </c>
      <c r="EG38" s="26">
        <v>0</v>
      </c>
      <c r="EH38" s="26">
        <v>2.6911642635241151E-4</v>
      </c>
      <c r="EL38" s="26">
        <v>4</v>
      </c>
      <c r="EM38" s="26">
        <v>3.3709937706589699E-3</v>
      </c>
      <c r="EN38" s="26">
        <v>6.3129857880994678E-4</v>
      </c>
      <c r="EO38" s="26">
        <v>0</v>
      </c>
      <c r="EP38" s="26">
        <v>0</v>
      </c>
      <c r="EQ38" s="26">
        <v>0</v>
      </c>
      <c r="ER38" s="26">
        <v>2.8065271908417344E-4</v>
      </c>
      <c r="EV38" s="26">
        <v>4</v>
      </c>
      <c r="EW38" s="26">
        <v>3.5785296931862831E-3</v>
      </c>
      <c r="EX38" s="26">
        <v>6.7049957579001784E-4</v>
      </c>
      <c r="EY38" s="26">
        <v>0</v>
      </c>
      <c r="EZ38" s="26">
        <v>0</v>
      </c>
      <c r="FA38" s="26">
        <v>0</v>
      </c>
      <c r="FB38" s="26">
        <v>2.9808006365783513E-4</v>
      </c>
      <c r="FF38" s="26">
        <v>4</v>
      </c>
      <c r="FG38" s="26">
        <v>3.3283010125160217E-3</v>
      </c>
      <c r="FH38" s="26">
        <v>6.2341371085494757E-4</v>
      </c>
      <c r="FI38" s="26">
        <v>0</v>
      </c>
      <c r="FJ38" s="26">
        <v>0</v>
      </c>
      <c r="FK38" s="26">
        <v>0</v>
      </c>
      <c r="FL38" s="26">
        <v>2.7714739553630352E-4</v>
      </c>
      <c r="FP38" s="26">
        <v>4</v>
      </c>
      <c r="FQ38" s="26">
        <v>3.9001479744911194E-3</v>
      </c>
      <c r="FR38" s="26">
        <v>5.6526134721934795E-4</v>
      </c>
      <c r="FS38" s="26">
        <v>0</v>
      </c>
      <c r="FT38" s="26">
        <v>0</v>
      </c>
      <c r="FU38" s="26">
        <v>0</v>
      </c>
      <c r="FV38" s="26">
        <v>1.5544469351880252E-4</v>
      </c>
      <c r="FZ38" s="26">
        <v>4</v>
      </c>
      <c r="GA38" s="26">
        <v>2.5188368745148182E-3</v>
      </c>
      <c r="GB38" s="26">
        <v>3.8058395148254931E-4</v>
      </c>
      <c r="GC38" s="26">
        <v>0</v>
      </c>
      <c r="GD38" s="26">
        <v>0</v>
      </c>
      <c r="GE38" s="26">
        <v>0</v>
      </c>
      <c r="GF38" s="26">
        <v>1.0866507363971323E-4</v>
      </c>
      <c r="GJ38" s="26">
        <v>4</v>
      </c>
      <c r="GK38" s="26">
        <v>2.3090057075023651E-3</v>
      </c>
      <c r="GL38" s="26">
        <v>3.4333943040110171E-4</v>
      </c>
      <c r="GM38" s="26">
        <v>0</v>
      </c>
      <c r="GN38" s="26">
        <v>0</v>
      </c>
      <c r="GO38" s="26">
        <v>0</v>
      </c>
      <c r="GP38" s="26">
        <v>9.6662079158704728E-5</v>
      </c>
      <c r="GT38" s="26">
        <v>4</v>
      </c>
      <c r="GU38" s="26">
        <v>4.182833363302052E-4</v>
      </c>
      <c r="GV38" s="26">
        <v>6.3332925492431968E-5</v>
      </c>
      <c r="GW38" s="26">
        <v>0</v>
      </c>
      <c r="GX38" s="26">
        <v>0</v>
      </c>
      <c r="GY38" s="26">
        <v>0</v>
      </c>
      <c r="GZ38" s="26">
        <v>1.8545870261732489E-5</v>
      </c>
    </row>
    <row r="39" spans="2:208">
      <c r="B39" s="26">
        <v>5</v>
      </c>
      <c r="C39" s="26">
        <v>5.9378932928666472E-4</v>
      </c>
      <c r="D39" s="26">
        <v>1.746576395817101E-3</v>
      </c>
      <c r="E39" s="26">
        <v>0</v>
      </c>
      <c r="F39" s="26">
        <v>0</v>
      </c>
      <c r="G39" s="26">
        <v>0</v>
      </c>
      <c r="H39" s="26">
        <v>1.3726897304877639E-4</v>
      </c>
      <c r="L39" s="26">
        <v>5</v>
      </c>
      <c r="M39" s="26">
        <v>-5.1777524640783668E-4</v>
      </c>
      <c r="N39" s="26">
        <v>2.1955454722046852E-3</v>
      </c>
      <c r="O39" s="26">
        <v>0</v>
      </c>
      <c r="P39" s="26">
        <v>0</v>
      </c>
      <c r="Q39" s="26">
        <v>0</v>
      </c>
      <c r="R39" s="26">
        <v>-1.1901603284059092E-4</v>
      </c>
      <c r="V39" s="26">
        <v>5</v>
      </c>
      <c r="W39" s="26">
        <v>1.4586807139949087E-7</v>
      </c>
      <c r="X39" s="26">
        <v>-8.9963962091132998E-4</v>
      </c>
      <c r="Y39" s="26">
        <v>0</v>
      </c>
      <c r="Z39" s="26">
        <v>0</v>
      </c>
      <c r="AA39" s="26">
        <v>0</v>
      </c>
      <c r="AB39" s="26">
        <v>-1.3097329087941034E-7</v>
      </c>
      <c r="AF39" s="26">
        <v>5</v>
      </c>
      <c r="AG39" s="26">
        <v>1.8721577532687661E-7</v>
      </c>
      <c r="AH39" s="26">
        <v>-1.1612339876592159E-3</v>
      </c>
      <c r="AI39" s="26">
        <v>0</v>
      </c>
      <c r="AJ39" s="26">
        <v>0</v>
      </c>
      <c r="AK39" s="26">
        <v>0</v>
      </c>
      <c r="AL39" s="26">
        <v>-1.6930344770571537E-7</v>
      </c>
      <c r="AP39" s="26">
        <v>5</v>
      </c>
      <c r="AQ39" s="26">
        <v>1.2034344399580732E-4</v>
      </c>
      <c r="AR39" s="26">
        <v>1.3410583778750151E-4</v>
      </c>
      <c r="AS39" s="26">
        <v>0</v>
      </c>
      <c r="AT39" s="26">
        <v>0</v>
      </c>
      <c r="AU39" s="26">
        <v>0</v>
      </c>
      <c r="AV39" s="26">
        <v>3.1954074074747041E-5</v>
      </c>
      <c r="AZ39" s="26">
        <v>5</v>
      </c>
      <c r="BA39" s="26">
        <v>1.3634952483698726E-4</v>
      </c>
      <c r="BB39" s="26">
        <v>1.5194168372545391E-4</v>
      </c>
      <c r="BC39" s="26">
        <v>0</v>
      </c>
      <c r="BD39" s="26">
        <v>0</v>
      </c>
      <c r="BE39" s="26">
        <v>0</v>
      </c>
      <c r="BF39" s="26">
        <v>3.6204070056555793E-5</v>
      </c>
      <c r="BJ39" s="26">
        <v>5</v>
      </c>
      <c r="BK39" s="26">
        <v>1.4164466119837016E-4</v>
      </c>
      <c r="BL39" s="26">
        <v>1.5784231072757393E-4</v>
      </c>
      <c r="BM39" s="26">
        <v>0</v>
      </c>
      <c r="BN39" s="26">
        <v>0</v>
      </c>
      <c r="BO39" s="26">
        <v>0</v>
      </c>
      <c r="BP39" s="26">
        <v>3.7610054278047755E-5</v>
      </c>
      <c r="BT39" s="26">
        <v>5</v>
      </c>
      <c r="BU39" s="26">
        <v>1.4164466119837016E-4</v>
      </c>
      <c r="BV39" s="26">
        <v>1.5784231072757393E-4</v>
      </c>
      <c r="BW39" s="26">
        <v>0</v>
      </c>
      <c r="BX39" s="26">
        <v>0</v>
      </c>
      <c r="BY39" s="26">
        <v>0</v>
      </c>
      <c r="BZ39" s="26">
        <v>3.7610054278047755E-5</v>
      </c>
      <c r="CD39" s="26">
        <v>5</v>
      </c>
      <c r="CE39" s="26">
        <v>1.4164466119837016E-4</v>
      </c>
      <c r="CF39" s="26">
        <v>1.5784231072757393E-4</v>
      </c>
      <c r="CG39" s="26">
        <v>0</v>
      </c>
      <c r="CH39" s="26">
        <v>0</v>
      </c>
      <c r="CI39" s="26">
        <v>0</v>
      </c>
      <c r="CJ39" s="26">
        <v>3.7610054278047755E-5</v>
      </c>
      <c r="CN39" s="26">
        <v>5</v>
      </c>
      <c r="CO39" s="26">
        <v>4.3542534695006907E-4</v>
      </c>
      <c r="CP39" s="26">
        <v>-8.7601642007939517E-5</v>
      </c>
      <c r="CQ39" s="26">
        <v>0</v>
      </c>
      <c r="CR39" s="26">
        <v>0</v>
      </c>
      <c r="CS39" s="26">
        <v>0</v>
      </c>
      <c r="CT39" s="26">
        <v>3.8938818761380389E-5</v>
      </c>
      <c r="CX39" s="26">
        <v>5</v>
      </c>
      <c r="CY39" s="26">
        <v>5.4428167641162872E-4</v>
      </c>
      <c r="CZ39" s="26">
        <v>-1.0950204887194559E-4</v>
      </c>
      <c r="DA39" s="26">
        <v>0</v>
      </c>
      <c r="DB39" s="26">
        <v>0</v>
      </c>
      <c r="DC39" s="26">
        <v>0</v>
      </c>
      <c r="DD39" s="26">
        <v>4.8673522542230785E-5</v>
      </c>
      <c r="DH39" s="26">
        <v>5</v>
      </c>
      <c r="DI39" s="26">
        <v>1.8728747963905334E-3</v>
      </c>
      <c r="DJ39" s="26">
        <v>-3.8629109621979296E-4</v>
      </c>
      <c r="DK39" s="26">
        <v>0</v>
      </c>
      <c r="DL39" s="26">
        <v>0</v>
      </c>
      <c r="DM39" s="26">
        <v>0</v>
      </c>
      <c r="DN39" s="26">
        <v>1.7170177306979895E-4</v>
      </c>
      <c r="DR39" s="26">
        <v>5</v>
      </c>
      <c r="DS39" s="26">
        <v>2.1616555750370026E-3</v>
      </c>
      <c r="DT39" s="26">
        <v>-4.4533924665302038E-4</v>
      </c>
      <c r="DU39" s="26">
        <v>0</v>
      </c>
      <c r="DV39" s="26">
        <v>0</v>
      </c>
      <c r="DW39" s="26">
        <v>0</v>
      </c>
      <c r="DX39" s="26">
        <v>1.9794818945229053E-4</v>
      </c>
      <c r="EB39" s="26">
        <v>5</v>
      </c>
      <c r="EC39" s="26">
        <v>2.9614381492137909E-3</v>
      </c>
      <c r="ED39" s="26">
        <v>-6.0529517941176891E-4</v>
      </c>
      <c r="EE39" s="26">
        <v>0</v>
      </c>
      <c r="EF39" s="26">
        <v>0</v>
      </c>
      <c r="EG39" s="26">
        <v>0</v>
      </c>
      <c r="EH39" s="26">
        <v>2.6904881815426052E-4</v>
      </c>
      <c r="EL39" s="26">
        <v>5</v>
      </c>
      <c r="EM39" s="26">
        <v>3.0904107261449099E-3</v>
      </c>
      <c r="EN39" s="26">
        <v>-6.3124252483248711E-4</v>
      </c>
      <c r="EO39" s="26">
        <v>0</v>
      </c>
      <c r="EP39" s="26">
        <v>0</v>
      </c>
      <c r="EQ39" s="26">
        <v>0</v>
      </c>
      <c r="ER39" s="26">
        <v>2.8058237512595952E-4</v>
      </c>
      <c r="EV39" s="26">
        <v>5</v>
      </c>
      <c r="EW39" s="26">
        <v>3.280523931607604E-3</v>
      </c>
      <c r="EX39" s="26">
        <v>-6.7044008756056428E-4</v>
      </c>
      <c r="EY39" s="26">
        <v>0</v>
      </c>
      <c r="EZ39" s="26">
        <v>0</v>
      </c>
      <c r="FA39" s="26">
        <v>0</v>
      </c>
      <c r="FB39" s="26">
        <v>2.9800520860590041E-4</v>
      </c>
      <c r="FF39" s="26">
        <v>5</v>
      </c>
      <c r="FG39" s="26">
        <v>3.0512223020195961E-3</v>
      </c>
      <c r="FH39" s="26">
        <v>-6.2335841357707977E-4</v>
      </c>
      <c r="FI39" s="26">
        <v>0</v>
      </c>
      <c r="FJ39" s="26">
        <v>0</v>
      </c>
      <c r="FK39" s="26">
        <v>0</v>
      </c>
      <c r="FL39" s="26">
        <v>2.7707786648534238E-4</v>
      </c>
      <c r="FP39" s="26">
        <v>5</v>
      </c>
      <c r="FQ39" s="26">
        <v>3.7445551715791225E-3</v>
      </c>
      <c r="FR39" s="26">
        <v>-1.3421424955595285E-4</v>
      </c>
      <c r="FS39" s="26">
        <v>0</v>
      </c>
      <c r="FT39" s="26">
        <v>0</v>
      </c>
      <c r="FU39" s="26">
        <v>0</v>
      </c>
      <c r="FV39" s="26">
        <v>1.5560000611003488E-4</v>
      </c>
      <c r="FZ39" s="26">
        <v>5</v>
      </c>
      <c r="GA39" s="26">
        <v>2.4100835435092449E-3</v>
      </c>
      <c r="GB39" s="26">
        <v>-1.0838581511052325E-4</v>
      </c>
      <c r="GC39" s="26">
        <v>0</v>
      </c>
      <c r="GD39" s="26">
        <v>0</v>
      </c>
      <c r="GE39" s="26">
        <v>0</v>
      </c>
      <c r="GF39" s="26">
        <v>1.0875752195715904E-4</v>
      </c>
      <c r="GJ39" s="26">
        <v>5</v>
      </c>
      <c r="GK39" s="26">
        <v>2.2122601512819529E-3</v>
      </c>
      <c r="GL39" s="26">
        <v>-9.1621099272742867E-5</v>
      </c>
      <c r="GM39" s="26">
        <v>0</v>
      </c>
      <c r="GN39" s="26">
        <v>0</v>
      </c>
      <c r="GO39" s="26">
        <v>0</v>
      </c>
      <c r="GP39" s="26">
        <v>9.6749623480718583E-5</v>
      </c>
      <c r="GT39" s="26">
        <v>5</v>
      </c>
      <c r="GU39" s="26">
        <v>3.9971657679416239E-4</v>
      </c>
      <c r="GV39" s="26">
        <v>-2.0116738596698269E-5</v>
      </c>
      <c r="GW39" s="26">
        <v>0</v>
      </c>
      <c r="GX39" s="26">
        <v>0</v>
      </c>
      <c r="GY39" s="26">
        <v>0</v>
      </c>
      <c r="GZ39" s="26">
        <v>1.856747803685721E-5</v>
      </c>
    </row>
    <row r="40" spans="2:208">
      <c r="B40" s="26">
        <v>6</v>
      </c>
      <c r="C40" s="26">
        <v>5.9433444403111935E-4</v>
      </c>
      <c r="D40" s="26">
        <v>2.3631653748452663E-3</v>
      </c>
      <c r="E40" s="26">
        <v>0</v>
      </c>
      <c r="F40" s="26">
        <v>0</v>
      </c>
      <c r="G40" s="26">
        <v>0</v>
      </c>
      <c r="H40" s="26">
        <v>1.3672390196006745E-4</v>
      </c>
      <c r="L40" s="26">
        <v>6</v>
      </c>
      <c r="M40" s="26">
        <v>-5.1714468281716108E-4</v>
      </c>
      <c r="N40" s="26">
        <v>1.6585184494033456E-3</v>
      </c>
      <c r="O40" s="26">
        <v>0</v>
      </c>
      <c r="P40" s="26">
        <v>0</v>
      </c>
      <c r="Q40" s="26">
        <v>0</v>
      </c>
      <c r="R40" s="26">
        <v>-1.1964654549956322E-4</v>
      </c>
      <c r="V40" s="26">
        <v>6</v>
      </c>
      <c r="W40" s="26">
        <v>-1.2166715634975844E-7</v>
      </c>
      <c r="X40" s="26">
        <v>-8.9964043581858277E-4</v>
      </c>
      <c r="Y40" s="26">
        <v>0</v>
      </c>
      <c r="Z40" s="26">
        <v>0</v>
      </c>
      <c r="AA40" s="26">
        <v>0</v>
      </c>
      <c r="AB40" s="26">
        <v>1.3655424879743805E-7</v>
      </c>
      <c r="AF40" s="26">
        <v>6</v>
      </c>
      <c r="AG40" s="26">
        <v>-1.5811252751518623E-7</v>
      </c>
      <c r="AH40" s="26">
        <v>-1.1612360831350088E-3</v>
      </c>
      <c r="AI40" s="26">
        <v>0</v>
      </c>
      <c r="AJ40" s="26">
        <v>0</v>
      </c>
      <c r="AK40" s="26">
        <v>0</v>
      </c>
      <c r="AL40" s="26">
        <v>1.7601492174890154E-7</v>
      </c>
      <c r="AP40" s="26">
        <v>6</v>
      </c>
      <c r="AQ40" s="26">
        <v>1.2042181333526969E-4</v>
      </c>
      <c r="AR40" s="26">
        <v>2.7774868067353964E-4</v>
      </c>
      <c r="AS40" s="26">
        <v>0</v>
      </c>
      <c r="AT40" s="26">
        <v>0</v>
      </c>
      <c r="AU40" s="26">
        <v>0</v>
      </c>
      <c r="AV40" s="26">
        <v>3.1875708373263478E-5</v>
      </c>
      <c r="AZ40" s="26">
        <v>6</v>
      </c>
      <c r="BA40" s="26">
        <v>1.3643830607179552E-4</v>
      </c>
      <c r="BB40" s="26">
        <v>3.1468950328417122E-4</v>
      </c>
      <c r="BC40" s="26">
        <v>0</v>
      </c>
      <c r="BD40" s="26">
        <v>0</v>
      </c>
      <c r="BE40" s="26">
        <v>0</v>
      </c>
      <c r="BF40" s="26">
        <v>3.6115281545789912E-5</v>
      </c>
      <c r="BJ40" s="26">
        <v>6</v>
      </c>
      <c r="BK40" s="26">
        <v>1.4173689123708755E-4</v>
      </c>
      <c r="BL40" s="26">
        <v>3.2691046362742782E-4</v>
      </c>
      <c r="BM40" s="26">
        <v>0</v>
      </c>
      <c r="BN40" s="26">
        <v>0</v>
      </c>
      <c r="BO40" s="26">
        <v>0</v>
      </c>
      <c r="BP40" s="26">
        <v>3.7517820601351559E-5</v>
      </c>
      <c r="BT40" s="26">
        <v>6</v>
      </c>
      <c r="BU40" s="26">
        <v>1.4173689123708755E-4</v>
      </c>
      <c r="BV40" s="26">
        <v>3.2691046362742782E-4</v>
      </c>
      <c r="BW40" s="26">
        <v>0</v>
      </c>
      <c r="BX40" s="26">
        <v>0</v>
      </c>
      <c r="BY40" s="26">
        <v>0</v>
      </c>
      <c r="BZ40" s="26">
        <v>3.7517820601351559E-5</v>
      </c>
      <c r="CD40" s="26">
        <v>6</v>
      </c>
      <c r="CE40" s="26">
        <v>1.4173689123708755E-4</v>
      </c>
      <c r="CF40" s="26">
        <v>3.2691046362742782E-4</v>
      </c>
      <c r="CG40" s="26">
        <v>0</v>
      </c>
      <c r="CH40" s="26">
        <v>0</v>
      </c>
      <c r="CI40" s="26">
        <v>0</v>
      </c>
      <c r="CJ40" s="26">
        <v>3.7517820601351559E-5</v>
      </c>
      <c r="CN40" s="26">
        <v>6</v>
      </c>
      <c r="CO40" s="26">
        <v>4.3541289051063359E-4</v>
      </c>
      <c r="CP40" s="26">
        <v>8.7601642007939517E-5</v>
      </c>
      <c r="CQ40" s="26">
        <v>0</v>
      </c>
      <c r="CR40" s="26">
        <v>0</v>
      </c>
      <c r="CS40" s="26">
        <v>0</v>
      </c>
      <c r="CT40" s="26">
        <v>3.8954258343437687E-5</v>
      </c>
      <c r="CX40" s="26">
        <v>6</v>
      </c>
      <c r="CY40" s="26">
        <v>5.4426613496616483E-4</v>
      </c>
      <c r="CZ40" s="26">
        <v>1.0950204887194559E-4</v>
      </c>
      <c r="DA40" s="26">
        <v>0</v>
      </c>
      <c r="DB40" s="26">
        <v>0</v>
      </c>
      <c r="DC40" s="26">
        <v>0</v>
      </c>
      <c r="DD40" s="26">
        <v>4.8692822019802406E-5</v>
      </c>
      <c r="DH40" s="26">
        <v>6</v>
      </c>
      <c r="DI40" s="26">
        <v>1.8728170543909073E-3</v>
      </c>
      <c r="DJ40" s="26">
        <v>3.8629109621979296E-4</v>
      </c>
      <c r="DK40" s="26">
        <v>0</v>
      </c>
      <c r="DL40" s="26">
        <v>0</v>
      </c>
      <c r="DM40" s="26">
        <v>0</v>
      </c>
      <c r="DN40" s="26">
        <v>1.7177218978758901E-4</v>
      </c>
      <c r="DR40" s="26">
        <v>6</v>
      </c>
      <c r="DS40" s="26">
        <v>2.1615892183035612E-3</v>
      </c>
      <c r="DT40" s="26">
        <v>4.4533924665302038E-4</v>
      </c>
      <c r="DU40" s="26">
        <v>0</v>
      </c>
      <c r="DV40" s="26">
        <v>0</v>
      </c>
      <c r="DW40" s="26">
        <v>0</v>
      </c>
      <c r="DX40" s="26">
        <v>1.9802924362011254E-4</v>
      </c>
      <c r="EB40" s="26">
        <v>6</v>
      </c>
      <c r="EC40" s="26">
        <v>2.9613494407385588E-3</v>
      </c>
      <c r="ED40" s="26">
        <v>6.0529517941176891E-4</v>
      </c>
      <c r="EE40" s="26">
        <v>0</v>
      </c>
      <c r="EF40" s="26">
        <v>0</v>
      </c>
      <c r="EG40" s="26">
        <v>0</v>
      </c>
      <c r="EH40" s="26">
        <v>2.6915784110315144E-4</v>
      </c>
      <c r="EL40" s="26">
        <v>6</v>
      </c>
      <c r="EM40" s="26">
        <v>3.0903182923793793E-3</v>
      </c>
      <c r="EN40" s="26">
        <v>6.3124252483248711E-4</v>
      </c>
      <c r="EO40" s="26">
        <v>0</v>
      </c>
      <c r="EP40" s="26">
        <v>0</v>
      </c>
      <c r="EQ40" s="26">
        <v>0</v>
      </c>
      <c r="ER40" s="26">
        <v>2.8069596737623215E-4</v>
      </c>
      <c r="EV40" s="26">
        <v>6</v>
      </c>
      <c r="EW40" s="26">
        <v>3.2804254442453384E-3</v>
      </c>
      <c r="EX40" s="26">
        <v>6.7044008756056428E-4</v>
      </c>
      <c r="EY40" s="26">
        <v>0</v>
      </c>
      <c r="EZ40" s="26">
        <v>0</v>
      </c>
      <c r="FA40" s="26">
        <v>0</v>
      </c>
      <c r="FB40" s="26">
        <v>2.9812596039846539E-4</v>
      </c>
      <c r="FF40" s="26">
        <v>6</v>
      </c>
      <c r="FG40" s="26">
        <v>3.0511310324072838E-3</v>
      </c>
      <c r="FH40" s="26">
        <v>6.2335841357707977E-4</v>
      </c>
      <c r="FI40" s="26">
        <v>0</v>
      </c>
      <c r="FJ40" s="26">
        <v>0</v>
      </c>
      <c r="FK40" s="26">
        <v>0</v>
      </c>
      <c r="FL40" s="26">
        <v>2.7719009085558355E-4</v>
      </c>
      <c r="FP40" s="26">
        <v>6</v>
      </c>
      <c r="FQ40" s="26">
        <v>3.7446734495460987E-3</v>
      </c>
      <c r="FR40" s="26">
        <v>5.6523142848163843E-4</v>
      </c>
      <c r="FS40" s="26">
        <v>0</v>
      </c>
      <c r="FT40" s="26">
        <v>0</v>
      </c>
      <c r="FU40" s="26">
        <v>0</v>
      </c>
      <c r="FV40" s="26">
        <v>1.5550210082437843E-4</v>
      </c>
      <c r="FZ40" s="26">
        <v>6</v>
      </c>
      <c r="GA40" s="26">
        <v>2.4101531598716974E-3</v>
      </c>
      <c r="GB40" s="26">
        <v>3.8056381163187325E-4</v>
      </c>
      <c r="GC40" s="26">
        <v>0</v>
      </c>
      <c r="GD40" s="26">
        <v>0</v>
      </c>
      <c r="GE40" s="26">
        <v>0</v>
      </c>
      <c r="GF40" s="26">
        <v>1.0870075493585318E-4</v>
      </c>
      <c r="GJ40" s="26">
        <v>6</v>
      </c>
      <c r="GK40" s="26">
        <v>2.2123265080153942E-3</v>
      </c>
      <c r="GL40" s="26">
        <v>3.4332126961089671E-4</v>
      </c>
      <c r="GM40" s="26">
        <v>0</v>
      </c>
      <c r="GN40" s="26">
        <v>0</v>
      </c>
      <c r="GO40" s="26">
        <v>0</v>
      </c>
      <c r="GP40" s="26">
        <v>9.6695286629255861E-5</v>
      </c>
      <c r="GT40" s="26">
        <v>6</v>
      </c>
      <c r="GU40" s="26">
        <v>3.9973296225070953E-4</v>
      </c>
      <c r="GV40" s="26">
        <v>6.3327308453153819E-5</v>
      </c>
      <c r="GW40" s="26">
        <v>0</v>
      </c>
      <c r="GX40" s="26">
        <v>0</v>
      </c>
      <c r="GY40" s="26">
        <v>0</v>
      </c>
      <c r="GZ40" s="26">
        <v>1.8554515918367542E-5</v>
      </c>
    </row>
    <row r="41" spans="2:208">
      <c r="B41" s="26">
        <v>7</v>
      </c>
      <c r="C41" s="26">
        <v>3.2776567968539894E-4</v>
      </c>
      <c r="D41" s="26">
        <v>1.6812202520668507E-3</v>
      </c>
      <c r="E41" s="26">
        <v>0</v>
      </c>
      <c r="F41" s="26">
        <v>0</v>
      </c>
      <c r="G41" s="26">
        <v>0</v>
      </c>
      <c r="H41" s="26">
        <v>1.0026422387454659E-4</v>
      </c>
      <c r="L41" s="26">
        <v>7</v>
      </c>
      <c r="M41" s="26">
        <v>-2.8686190489679575E-4</v>
      </c>
      <c r="N41" s="26">
        <v>2.1133893169462681E-3</v>
      </c>
      <c r="O41" s="26">
        <v>0</v>
      </c>
      <c r="P41" s="26">
        <v>0</v>
      </c>
      <c r="Q41" s="26">
        <v>0</v>
      </c>
      <c r="R41" s="26">
        <v>-8.7142601842060685E-5</v>
      </c>
      <c r="V41" s="26">
        <v>7</v>
      </c>
      <c r="W41" s="26">
        <v>3.3593576631574251E-7</v>
      </c>
      <c r="X41" s="26">
        <v>-8.6597551126033068E-4</v>
      </c>
      <c r="Y41" s="26">
        <v>0</v>
      </c>
      <c r="Z41" s="26">
        <v>0</v>
      </c>
      <c r="AA41" s="26">
        <v>0</v>
      </c>
      <c r="AB41" s="26">
        <v>-4.4661785381094887E-8</v>
      </c>
      <c r="AF41" s="26">
        <v>7</v>
      </c>
      <c r="AG41" s="26">
        <v>4.3302802055222855E-7</v>
      </c>
      <c r="AH41" s="26">
        <v>-1.1177811538800597E-3</v>
      </c>
      <c r="AI41" s="26">
        <v>0</v>
      </c>
      <c r="AJ41" s="26">
        <v>0</v>
      </c>
      <c r="AK41" s="26">
        <v>0</v>
      </c>
      <c r="AL41" s="26">
        <v>-5.7828383859259702E-8</v>
      </c>
      <c r="AP41" s="26">
        <v>7</v>
      </c>
      <c r="AQ41" s="26">
        <v>5.9641624829964712E-5</v>
      </c>
      <c r="AR41" s="26">
        <v>1.2568481906782836E-4</v>
      </c>
      <c r="AS41" s="26">
        <v>0</v>
      </c>
      <c r="AT41" s="26">
        <v>0</v>
      </c>
      <c r="AU41" s="26">
        <v>0</v>
      </c>
      <c r="AV41" s="26">
        <v>2.2246416847337969E-5</v>
      </c>
      <c r="AZ41" s="26">
        <v>7</v>
      </c>
      <c r="BA41" s="26">
        <v>6.7574153945315629E-5</v>
      </c>
      <c r="BB41" s="26">
        <v>1.424006768502295E-4</v>
      </c>
      <c r="BC41" s="26">
        <v>0</v>
      </c>
      <c r="BD41" s="26">
        <v>0</v>
      </c>
      <c r="BE41" s="26">
        <v>0</v>
      </c>
      <c r="BF41" s="26">
        <v>2.5205263227690011E-5</v>
      </c>
      <c r="BJ41" s="26">
        <v>7</v>
      </c>
      <c r="BK41" s="26">
        <v>7.0198402681853622E-5</v>
      </c>
      <c r="BL41" s="26">
        <v>1.4793079753872007E-4</v>
      </c>
      <c r="BM41" s="26">
        <v>0</v>
      </c>
      <c r="BN41" s="26">
        <v>0</v>
      </c>
      <c r="BO41" s="26">
        <v>0</v>
      </c>
      <c r="BP41" s="26">
        <v>2.6184110538451932E-5</v>
      </c>
      <c r="BT41" s="26">
        <v>7</v>
      </c>
      <c r="BU41" s="26">
        <v>7.0198402681853622E-5</v>
      </c>
      <c r="BV41" s="26">
        <v>1.4793079753872007E-4</v>
      </c>
      <c r="BW41" s="26">
        <v>0</v>
      </c>
      <c r="BX41" s="26">
        <v>0</v>
      </c>
      <c r="BY41" s="26">
        <v>0</v>
      </c>
      <c r="BZ41" s="26">
        <v>2.6184110538451932E-5</v>
      </c>
      <c r="CD41" s="26">
        <v>7</v>
      </c>
      <c r="CE41" s="26">
        <v>7.0198402681853622E-5</v>
      </c>
      <c r="CF41" s="26">
        <v>1.4793079753872007E-4</v>
      </c>
      <c r="CG41" s="26">
        <v>0</v>
      </c>
      <c r="CH41" s="26">
        <v>0</v>
      </c>
      <c r="CI41" s="26">
        <v>0</v>
      </c>
      <c r="CJ41" s="26">
        <v>2.6184110538451932E-5</v>
      </c>
      <c r="CN41" s="26">
        <v>7</v>
      </c>
      <c r="CO41" s="26">
        <v>3.2733564148657024E-4</v>
      </c>
      <c r="CP41" s="26">
        <v>-8.2100799772888422E-5</v>
      </c>
      <c r="CQ41" s="26">
        <v>0</v>
      </c>
      <c r="CR41" s="26">
        <v>0</v>
      </c>
      <c r="CS41" s="26">
        <v>0</v>
      </c>
      <c r="CT41" s="26">
        <v>5.3813506383448839E-5</v>
      </c>
      <c r="CX41" s="26">
        <v>7</v>
      </c>
      <c r="CY41" s="26">
        <v>4.0916955913417041E-4</v>
      </c>
      <c r="CZ41" s="26">
        <v>-1.0262599971611053E-4</v>
      </c>
      <c r="DA41" s="26">
        <v>0</v>
      </c>
      <c r="DB41" s="26">
        <v>0</v>
      </c>
      <c r="DC41" s="26">
        <v>0</v>
      </c>
      <c r="DD41" s="26">
        <v>6.7266882979311049E-5</v>
      </c>
      <c r="DH41" s="26">
        <v>7</v>
      </c>
      <c r="DI41" s="26">
        <v>1.4018205692991614E-3</v>
      </c>
      <c r="DJ41" s="26">
        <v>-3.6203442141413689E-4</v>
      </c>
      <c r="DK41" s="26">
        <v>0</v>
      </c>
      <c r="DL41" s="26">
        <v>0</v>
      </c>
      <c r="DM41" s="26">
        <v>0</v>
      </c>
      <c r="DN41" s="26">
        <v>2.3293241974897683E-4</v>
      </c>
      <c r="DR41" s="26">
        <v>7</v>
      </c>
      <c r="DS41" s="26">
        <v>1.6183012630790472E-3</v>
      </c>
      <c r="DT41" s="26">
        <v>-4.1737471474334598E-4</v>
      </c>
      <c r="DU41" s="26">
        <v>0</v>
      </c>
      <c r="DV41" s="26">
        <v>0</v>
      </c>
      <c r="DW41" s="26">
        <v>0</v>
      </c>
      <c r="DX41" s="26">
        <v>2.6876904303207994E-4</v>
      </c>
      <c r="EB41" s="26">
        <v>7</v>
      </c>
      <c r="EC41" s="26">
        <v>2.2201596293598413E-3</v>
      </c>
      <c r="ED41" s="26">
        <v>-5.6728639174252748E-4</v>
      </c>
      <c r="EE41" s="26">
        <v>0</v>
      </c>
      <c r="EF41" s="26">
        <v>0</v>
      </c>
      <c r="EG41" s="26">
        <v>0</v>
      </c>
      <c r="EH41" s="26">
        <v>3.6746618570759892E-4</v>
      </c>
      <c r="EL41" s="26">
        <v>7</v>
      </c>
      <c r="EM41" s="26">
        <v>2.3171163629740477E-3</v>
      </c>
      <c r="EN41" s="26">
        <v>-5.9160444652661681E-4</v>
      </c>
      <c r="EO41" s="26">
        <v>0</v>
      </c>
      <c r="EP41" s="26">
        <v>0</v>
      </c>
      <c r="EQ41" s="26">
        <v>0</v>
      </c>
      <c r="ER41" s="26">
        <v>3.8340565515682101E-4</v>
      </c>
      <c r="EV41" s="26">
        <v>7</v>
      </c>
      <c r="EW41" s="26">
        <v>2.4594226852059364E-3</v>
      </c>
      <c r="EX41" s="26">
        <v>-6.2834058189764619E-4</v>
      </c>
      <c r="EY41" s="26">
        <v>0</v>
      </c>
      <c r="EZ41" s="26">
        <v>0</v>
      </c>
      <c r="FA41" s="26">
        <v>0</v>
      </c>
      <c r="FB41" s="26">
        <v>4.0704812272451818E-4</v>
      </c>
      <c r="FF41" s="26">
        <v>7</v>
      </c>
      <c r="FG41" s="26">
        <v>2.2876560688018799E-3</v>
      </c>
      <c r="FH41" s="26">
        <v>-5.8421533321961761E-4</v>
      </c>
      <c r="FI41" s="26">
        <v>0</v>
      </c>
      <c r="FJ41" s="26">
        <v>0</v>
      </c>
      <c r="FK41" s="26">
        <v>0</v>
      </c>
      <c r="FL41" s="26">
        <v>3.785624576266855E-4</v>
      </c>
      <c r="FP41" s="26">
        <v>7</v>
      </c>
      <c r="FQ41" s="26">
        <v>3.168139373883605E-3</v>
      </c>
      <c r="FR41" s="26">
        <v>-1.2919201981276274E-4</v>
      </c>
      <c r="FS41" s="26">
        <v>0</v>
      </c>
      <c r="FT41" s="26">
        <v>0</v>
      </c>
      <c r="FU41" s="26">
        <v>0</v>
      </c>
      <c r="FV41" s="26">
        <v>3.3354666084051132E-4</v>
      </c>
      <c r="FZ41" s="26">
        <v>7</v>
      </c>
      <c r="GA41" s="26">
        <v>2.0257364958524704E-3</v>
      </c>
      <c r="GB41" s="26">
        <v>-1.0433006536914036E-4</v>
      </c>
      <c r="GC41" s="26">
        <v>0</v>
      </c>
      <c r="GD41" s="26">
        <v>0</v>
      </c>
      <c r="GE41" s="26">
        <v>0</v>
      </c>
      <c r="GF41" s="26">
        <v>2.1830086188856512E-4</v>
      </c>
      <c r="GJ41" s="26">
        <v>7</v>
      </c>
      <c r="GK41" s="26">
        <v>1.8642388749867678E-3</v>
      </c>
      <c r="GL41" s="26">
        <v>-8.8192675320897251E-5</v>
      </c>
      <c r="GM41" s="26">
        <v>0</v>
      </c>
      <c r="GN41" s="26">
        <v>0</v>
      </c>
      <c r="GO41" s="26">
        <v>0</v>
      </c>
      <c r="GP41" s="26">
        <v>1.9908613467123359E-4</v>
      </c>
      <c r="GT41" s="26">
        <v>7</v>
      </c>
      <c r="GU41" s="26">
        <v>3.2547980663366616E-4</v>
      </c>
      <c r="GV41" s="26">
        <v>-1.8853532310458831E-5</v>
      </c>
      <c r="GW41" s="26">
        <v>0</v>
      </c>
      <c r="GX41" s="26">
        <v>0</v>
      </c>
      <c r="GY41" s="26">
        <v>0</v>
      </c>
      <c r="GZ41" s="26">
        <v>4.3423573515610769E-5</v>
      </c>
    </row>
    <row r="42" spans="2:208">
      <c r="B42" s="26">
        <v>8</v>
      </c>
      <c r="C42" s="26">
        <v>3.291073371656239E-4</v>
      </c>
      <c r="D42" s="26">
        <v>2.274736762046814E-3</v>
      </c>
      <c r="E42" s="26">
        <v>0</v>
      </c>
      <c r="F42" s="26">
        <v>0</v>
      </c>
      <c r="G42" s="26">
        <v>0</v>
      </c>
      <c r="H42" s="26">
        <v>1.0007391392719001E-4</v>
      </c>
      <c r="L42" s="26">
        <v>8</v>
      </c>
      <c r="M42" s="26">
        <v>-2.8530997224152088E-4</v>
      </c>
      <c r="N42" s="26">
        <v>1.5964574413374066E-3</v>
      </c>
      <c r="O42" s="26">
        <v>0</v>
      </c>
      <c r="P42" s="26">
        <v>0</v>
      </c>
      <c r="Q42" s="26">
        <v>0</v>
      </c>
      <c r="R42" s="26">
        <v>-8.7362735939677805E-5</v>
      </c>
      <c r="V42" s="26">
        <v>8</v>
      </c>
      <c r="W42" s="26">
        <v>-3.2255587711915723E-7</v>
      </c>
      <c r="X42" s="26">
        <v>-8.6597632616758347E-4</v>
      </c>
      <c r="Y42" s="26">
        <v>0</v>
      </c>
      <c r="Z42" s="26">
        <v>0</v>
      </c>
      <c r="AA42" s="26">
        <v>0</v>
      </c>
      <c r="AB42" s="26">
        <v>4.8742471392415609E-8</v>
      </c>
      <c r="AF42" s="26">
        <v>8</v>
      </c>
      <c r="AG42" s="26">
        <v>-4.1693783714435995E-7</v>
      </c>
      <c r="AH42" s="26">
        <v>-1.1177832493558526E-3</v>
      </c>
      <c r="AI42" s="26">
        <v>0</v>
      </c>
      <c r="AJ42" s="26">
        <v>0</v>
      </c>
      <c r="AK42" s="26">
        <v>0</v>
      </c>
      <c r="AL42" s="26">
        <v>6.2735679762226937E-8</v>
      </c>
      <c r="AP42" s="26">
        <v>8</v>
      </c>
      <c r="AQ42" s="26">
        <v>5.9824724303325638E-5</v>
      </c>
      <c r="AR42" s="26">
        <v>2.6030780281871557E-4</v>
      </c>
      <c r="AS42" s="26">
        <v>0</v>
      </c>
      <c r="AT42" s="26">
        <v>0</v>
      </c>
      <c r="AU42" s="26">
        <v>0</v>
      </c>
      <c r="AV42" s="26">
        <v>2.2226398868951946E-5</v>
      </c>
      <c r="AZ42" s="26">
        <v>8</v>
      </c>
      <c r="BA42" s="26">
        <v>6.7781606048811227E-5</v>
      </c>
      <c r="BB42" s="26">
        <v>2.9492896283045411E-4</v>
      </c>
      <c r="BC42" s="26">
        <v>0</v>
      </c>
      <c r="BD42" s="26">
        <v>0</v>
      </c>
      <c r="BE42" s="26">
        <v>0</v>
      </c>
      <c r="BF42" s="26">
        <v>2.5182582248817198E-5</v>
      </c>
      <c r="BJ42" s="26">
        <v>8</v>
      </c>
      <c r="BK42" s="26">
        <v>7.0413909270428121E-5</v>
      </c>
      <c r="BL42" s="26">
        <v>3.0638251337222755E-4</v>
      </c>
      <c r="BM42" s="26">
        <v>0</v>
      </c>
      <c r="BN42" s="26">
        <v>0</v>
      </c>
      <c r="BO42" s="26">
        <v>0</v>
      </c>
      <c r="BP42" s="26">
        <v>2.6160549168707803E-5</v>
      </c>
      <c r="BT42" s="26">
        <v>8</v>
      </c>
      <c r="BU42" s="26">
        <v>7.0413909270428121E-5</v>
      </c>
      <c r="BV42" s="26">
        <v>3.0638251337222755E-4</v>
      </c>
      <c r="BW42" s="26">
        <v>0</v>
      </c>
      <c r="BX42" s="26">
        <v>0</v>
      </c>
      <c r="BY42" s="26">
        <v>0</v>
      </c>
      <c r="BZ42" s="26">
        <v>2.6160549168707803E-5</v>
      </c>
      <c r="CD42" s="26">
        <v>8</v>
      </c>
      <c r="CE42" s="26">
        <v>7.0413909270428121E-5</v>
      </c>
      <c r="CF42" s="26">
        <v>3.0638251337222755E-4</v>
      </c>
      <c r="CG42" s="26">
        <v>0</v>
      </c>
      <c r="CH42" s="26">
        <v>0</v>
      </c>
      <c r="CI42" s="26">
        <v>0</v>
      </c>
      <c r="CJ42" s="26">
        <v>2.6160549168707803E-5</v>
      </c>
      <c r="CN42" s="26">
        <v>8</v>
      </c>
      <c r="CO42" s="26">
        <v>3.2730223028920591E-4</v>
      </c>
      <c r="CP42" s="26">
        <v>8.2100799772888422E-5</v>
      </c>
      <c r="CQ42" s="26">
        <v>0</v>
      </c>
      <c r="CR42" s="26">
        <v>0</v>
      </c>
      <c r="CS42" s="26">
        <v>0</v>
      </c>
      <c r="CT42" s="26">
        <v>5.3817726438865066E-5</v>
      </c>
      <c r="CX42" s="26">
        <v>8</v>
      </c>
      <c r="CY42" s="26">
        <v>4.0912776603363454E-4</v>
      </c>
      <c r="CZ42" s="26">
        <v>1.0262599971611053E-4</v>
      </c>
      <c r="DA42" s="26">
        <v>0</v>
      </c>
      <c r="DB42" s="26">
        <v>0</v>
      </c>
      <c r="DC42" s="26">
        <v>0</v>
      </c>
      <c r="DD42" s="26">
        <v>6.7272158048581332E-5</v>
      </c>
      <c r="DH42" s="26">
        <v>8</v>
      </c>
      <c r="DI42" s="26">
        <v>1.4016672503203154E-3</v>
      </c>
      <c r="DJ42" s="26">
        <v>3.6203442141413689E-4</v>
      </c>
      <c r="DK42" s="26">
        <v>0</v>
      </c>
      <c r="DL42" s="26">
        <v>0</v>
      </c>
      <c r="DM42" s="26">
        <v>0</v>
      </c>
      <c r="DN42" s="26">
        <v>2.3295158462133259E-4</v>
      </c>
      <c r="DR42" s="26">
        <v>8</v>
      </c>
      <c r="DS42" s="26">
        <v>1.6181248938664794E-3</v>
      </c>
      <c r="DT42" s="26">
        <v>4.1737471474334598E-4</v>
      </c>
      <c r="DU42" s="26">
        <v>0</v>
      </c>
      <c r="DV42" s="26">
        <v>0</v>
      </c>
      <c r="DW42" s="26">
        <v>0</v>
      </c>
      <c r="DX42" s="26">
        <v>2.6879110373556614E-4</v>
      </c>
      <c r="EB42" s="26">
        <v>8</v>
      </c>
      <c r="EC42" s="26">
        <v>2.2199228405952454E-3</v>
      </c>
      <c r="ED42" s="26">
        <v>5.6728639174252748E-4</v>
      </c>
      <c r="EE42" s="26">
        <v>0</v>
      </c>
      <c r="EF42" s="26">
        <v>0</v>
      </c>
      <c r="EG42" s="26">
        <v>0</v>
      </c>
      <c r="EH42" s="26">
        <v>3.6749590071849525E-4</v>
      </c>
      <c r="EL42" s="26">
        <v>8</v>
      </c>
      <c r="EM42" s="26">
        <v>2.3168695624917746E-3</v>
      </c>
      <c r="EN42" s="26">
        <v>5.9160444652661681E-4</v>
      </c>
      <c r="EO42" s="26">
        <v>0</v>
      </c>
      <c r="EP42" s="26">
        <v>0</v>
      </c>
      <c r="EQ42" s="26">
        <v>0</v>
      </c>
      <c r="ER42" s="26">
        <v>3.8343662163242698E-4</v>
      </c>
      <c r="EV42" s="26">
        <v>8</v>
      </c>
      <c r="EW42" s="26">
        <v>2.4591602850705385E-3</v>
      </c>
      <c r="EX42" s="26">
        <v>6.2834058189764619E-4</v>
      </c>
      <c r="EY42" s="26">
        <v>0</v>
      </c>
      <c r="EZ42" s="26">
        <v>0</v>
      </c>
      <c r="FA42" s="26">
        <v>0</v>
      </c>
      <c r="FB42" s="26">
        <v>4.0708103915676475E-4</v>
      </c>
      <c r="FF42" s="26">
        <v>8</v>
      </c>
      <c r="FG42" s="26">
        <v>2.2874122951179743E-3</v>
      </c>
      <c r="FH42" s="26">
        <v>5.8421533321961761E-4</v>
      </c>
      <c r="FI42" s="26">
        <v>0</v>
      </c>
      <c r="FJ42" s="26">
        <v>0</v>
      </c>
      <c r="FK42" s="26">
        <v>0</v>
      </c>
      <c r="FL42" s="26">
        <v>3.7859304575249553E-4</v>
      </c>
      <c r="FP42" s="26">
        <v>8</v>
      </c>
      <c r="FQ42" s="26">
        <v>3.1683989800512791E-3</v>
      </c>
      <c r="FR42" s="26">
        <v>5.4408074356615543E-4</v>
      </c>
      <c r="FS42" s="26">
        <v>0</v>
      </c>
      <c r="FT42" s="26">
        <v>0</v>
      </c>
      <c r="FU42" s="26">
        <v>0</v>
      </c>
      <c r="FV42" s="26">
        <v>3.3351394813507795E-4</v>
      </c>
      <c r="FZ42" s="26">
        <v>8</v>
      </c>
      <c r="GA42" s="26">
        <v>2.0258878357708454E-3</v>
      </c>
      <c r="GB42" s="26">
        <v>3.6632327828556299E-4</v>
      </c>
      <c r="GC42" s="26">
        <v>0</v>
      </c>
      <c r="GD42" s="26">
        <v>0</v>
      </c>
      <c r="GE42" s="26">
        <v>0</v>
      </c>
      <c r="GF42" s="26">
        <v>2.1828195895068347E-4</v>
      </c>
      <c r="GJ42" s="26">
        <v>8</v>
      </c>
      <c r="GK42" s="26">
        <v>1.8643834628164768E-3</v>
      </c>
      <c r="GL42" s="26">
        <v>3.3047434408217669E-4</v>
      </c>
      <c r="GM42" s="26">
        <v>0</v>
      </c>
      <c r="GN42" s="26">
        <v>0</v>
      </c>
      <c r="GO42" s="26">
        <v>0</v>
      </c>
      <c r="GP42" s="26">
        <v>1.9906801753677428E-4</v>
      </c>
      <c r="GT42" s="26">
        <v>8</v>
      </c>
      <c r="GU42" s="26">
        <v>3.2551310141570866E-4</v>
      </c>
      <c r="GV42" s="26">
        <v>5.935074295848608E-5</v>
      </c>
      <c r="GW42" s="26">
        <v>0</v>
      </c>
      <c r="GX42" s="26">
        <v>0</v>
      </c>
      <c r="GY42" s="26">
        <v>0</v>
      </c>
      <c r="GZ42" s="26">
        <v>4.3420579459052533E-5</v>
      </c>
    </row>
    <row r="43" spans="2:208">
      <c r="B43" s="26">
        <v>9</v>
      </c>
      <c r="C43" s="26">
        <v>6.8978763010818511E-5</v>
      </c>
      <c r="D43" s="26">
        <v>1.5814149519428611E-3</v>
      </c>
      <c r="E43" s="26">
        <v>0</v>
      </c>
      <c r="F43" s="26">
        <v>0</v>
      </c>
      <c r="G43" s="26">
        <v>0</v>
      </c>
      <c r="H43" s="26">
        <v>4.5843320549465716E-5</v>
      </c>
      <c r="L43" s="26">
        <v>9</v>
      </c>
      <c r="M43" s="26">
        <v>-6.1513390392065048E-5</v>
      </c>
      <c r="N43" s="26">
        <v>1.9879282917827368E-3</v>
      </c>
      <c r="O43" s="26">
        <v>0</v>
      </c>
      <c r="P43" s="26">
        <v>0</v>
      </c>
      <c r="Q43" s="26">
        <v>0</v>
      </c>
      <c r="R43" s="26">
        <v>-4.0037950384430587E-5</v>
      </c>
      <c r="V43" s="26">
        <v>9</v>
      </c>
      <c r="W43" s="26">
        <v>3.4733315601442882E-7</v>
      </c>
      <c r="X43" s="26">
        <v>-8.145670872181654E-4</v>
      </c>
      <c r="Y43" s="26">
        <v>0</v>
      </c>
      <c r="Z43" s="26">
        <v>0</v>
      </c>
      <c r="AA43" s="26">
        <v>0</v>
      </c>
      <c r="AB43" s="26">
        <v>2.6577412270967216E-8</v>
      </c>
      <c r="AF43" s="26">
        <v>9</v>
      </c>
      <c r="AG43" s="26">
        <v>4.4820441758020024E-7</v>
      </c>
      <c r="AH43" s="26">
        <v>-1.051424304023385E-3</v>
      </c>
      <c r="AI43" s="26">
        <v>0</v>
      </c>
      <c r="AJ43" s="26">
        <v>0</v>
      </c>
      <c r="AK43" s="26">
        <v>0</v>
      </c>
      <c r="AL43" s="26">
        <v>3.4223049283355067E-8</v>
      </c>
      <c r="AP43" s="26">
        <v>9</v>
      </c>
      <c r="AQ43" s="26">
        <v>5.9773342400148977E-6</v>
      </c>
      <c r="AR43" s="26">
        <v>1.1292158887954429E-4</v>
      </c>
      <c r="AS43" s="26">
        <v>0</v>
      </c>
      <c r="AT43" s="26">
        <v>0</v>
      </c>
      <c r="AU43" s="26">
        <v>0</v>
      </c>
      <c r="AV43" s="26">
        <v>8.3490767792682163E-6</v>
      </c>
      <c r="AZ43" s="26">
        <v>9</v>
      </c>
      <c r="BA43" s="26">
        <v>6.7723394749918953E-6</v>
      </c>
      <c r="BB43" s="26">
        <v>1.2793995847459882E-4</v>
      </c>
      <c r="BC43" s="26">
        <v>0</v>
      </c>
      <c r="BD43" s="26">
        <v>0</v>
      </c>
      <c r="BE43" s="26">
        <v>0</v>
      </c>
      <c r="BF43" s="26">
        <v>9.4595316113554873E-6</v>
      </c>
      <c r="BJ43" s="26">
        <v>9</v>
      </c>
      <c r="BK43" s="26">
        <v>7.0353435148717836E-6</v>
      </c>
      <c r="BL43" s="26">
        <v>1.3290849165059626E-4</v>
      </c>
      <c r="BM43" s="26">
        <v>0</v>
      </c>
      <c r="BN43" s="26">
        <v>0</v>
      </c>
      <c r="BO43" s="26">
        <v>0</v>
      </c>
      <c r="BP43" s="26">
        <v>9.8268928923062049E-6</v>
      </c>
      <c r="BT43" s="26">
        <v>9</v>
      </c>
      <c r="BU43" s="26">
        <v>7.0353435148717836E-6</v>
      </c>
      <c r="BV43" s="26">
        <v>1.3290849165059626E-4</v>
      </c>
      <c r="BW43" s="26">
        <v>0</v>
      </c>
      <c r="BX43" s="26">
        <v>0</v>
      </c>
      <c r="BY43" s="26">
        <v>0</v>
      </c>
      <c r="BZ43" s="26">
        <v>9.8268928923062049E-6</v>
      </c>
      <c r="CD43" s="26">
        <v>9</v>
      </c>
      <c r="CE43" s="26">
        <v>7.0353435148717836E-6</v>
      </c>
      <c r="CF43" s="26">
        <v>1.3290849165059626E-4</v>
      </c>
      <c r="CG43" s="26">
        <v>0</v>
      </c>
      <c r="CH43" s="26">
        <v>0</v>
      </c>
      <c r="CI43" s="26">
        <v>0</v>
      </c>
      <c r="CJ43" s="26">
        <v>9.8268928923062049E-6</v>
      </c>
      <c r="CN43" s="26">
        <v>9</v>
      </c>
      <c r="CO43" s="26">
        <v>1.4784041559323668E-4</v>
      </c>
      <c r="CP43" s="26">
        <v>-7.3763505497481674E-5</v>
      </c>
      <c r="CQ43" s="26">
        <v>0</v>
      </c>
      <c r="CR43" s="26">
        <v>0</v>
      </c>
      <c r="CS43" s="26">
        <v>0</v>
      </c>
      <c r="CT43" s="26">
        <v>4.1533228795742616E-5</v>
      </c>
      <c r="CX43" s="26">
        <v>9</v>
      </c>
      <c r="CY43" s="26">
        <v>1.8480051949154586E-4</v>
      </c>
      <c r="CZ43" s="26">
        <v>-9.2204383690841496E-5</v>
      </c>
      <c r="DA43" s="26">
        <v>0</v>
      </c>
      <c r="DB43" s="26">
        <v>0</v>
      </c>
      <c r="DC43" s="26">
        <v>0</v>
      </c>
      <c r="DD43" s="26">
        <v>5.1916533266194165E-5</v>
      </c>
      <c r="DH43" s="26">
        <v>9</v>
      </c>
      <c r="DI43" s="26">
        <v>6.2895932933315635E-4</v>
      </c>
      <c r="DJ43" s="26">
        <v>-3.2526999711990356E-4</v>
      </c>
      <c r="DK43" s="26">
        <v>0</v>
      </c>
      <c r="DL43" s="26">
        <v>0</v>
      </c>
      <c r="DM43" s="26">
        <v>0</v>
      </c>
      <c r="DN43" s="26">
        <v>1.7802226648200303E-4</v>
      </c>
      <c r="DR43" s="26">
        <v>9</v>
      </c>
      <c r="DS43" s="26">
        <v>7.2631536750122905E-4</v>
      </c>
      <c r="DT43" s="26">
        <v>-3.7499051541090012E-4</v>
      </c>
      <c r="DU43" s="26">
        <v>0</v>
      </c>
      <c r="DV43" s="26">
        <v>0</v>
      </c>
      <c r="DW43" s="26">
        <v>0</v>
      </c>
      <c r="DX43" s="26">
        <v>2.0550546469166875E-4</v>
      </c>
      <c r="EB43" s="26">
        <v>9</v>
      </c>
      <c r="EC43" s="26">
        <v>9.985603392124176E-4</v>
      </c>
      <c r="ED43" s="26">
        <v>-5.096787353977561E-4</v>
      </c>
      <c r="EE43" s="26">
        <v>0</v>
      </c>
      <c r="EF43" s="26">
        <v>0</v>
      </c>
      <c r="EG43" s="26">
        <v>0</v>
      </c>
      <c r="EH43" s="26">
        <v>2.8185531846247613E-4</v>
      </c>
      <c r="EL43" s="26">
        <v>9</v>
      </c>
      <c r="EM43" s="26">
        <v>1.0423506610095501E-3</v>
      </c>
      <c r="EN43" s="26">
        <v>-5.3152727195993066E-4</v>
      </c>
      <c r="EO43" s="26">
        <v>0</v>
      </c>
      <c r="EP43" s="26">
        <v>0</v>
      </c>
      <c r="EQ43" s="26">
        <v>0</v>
      </c>
      <c r="ER43" s="26">
        <v>2.9415744938887656E-4</v>
      </c>
      <c r="EV43" s="26">
        <v>9</v>
      </c>
      <c r="EW43" s="26">
        <v>1.1062060948461294E-3</v>
      </c>
      <c r="EX43" s="26">
        <v>-5.6453287834301591E-4</v>
      </c>
      <c r="EY43" s="26">
        <v>0</v>
      </c>
      <c r="EZ43" s="26">
        <v>0</v>
      </c>
      <c r="FA43" s="26">
        <v>0</v>
      </c>
      <c r="FB43" s="26">
        <v>3.1222921097651124E-4</v>
      </c>
      <c r="FF43" s="26">
        <v>9</v>
      </c>
      <c r="FG43" s="26">
        <v>1.0290449718013406E-3</v>
      </c>
      <c r="FH43" s="26">
        <v>-5.2488857181742787E-4</v>
      </c>
      <c r="FI43" s="26">
        <v>0</v>
      </c>
      <c r="FJ43" s="26">
        <v>0</v>
      </c>
      <c r="FK43" s="26">
        <v>0</v>
      </c>
      <c r="FL43" s="26">
        <v>2.9041944071650505E-4</v>
      </c>
      <c r="FP43" s="26">
        <v>9</v>
      </c>
      <c r="FQ43" s="26">
        <v>1.859394833445549E-3</v>
      </c>
      <c r="FR43" s="26">
        <v>-1.2152255658293143E-4</v>
      </c>
      <c r="FS43" s="26">
        <v>0</v>
      </c>
      <c r="FT43" s="26">
        <v>0</v>
      </c>
      <c r="FU43" s="26">
        <v>0</v>
      </c>
      <c r="FV43" s="26">
        <v>3.5512779140844941E-4</v>
      </c>
      <c r="FZ43" s="26">
        <v>9</v>
      </c>
      <c r="GA43" s="26">
        <v>1.1794784804806113E-3</v>
      </c>
      <c r="GB43" s="26">
        <v>-9.8136530141346157E-5</v>
      </c>
      <c r="GC43" s="26">
        <v>0</v>
      </c>
      <c r="GD43" s="26">
        <v>0</v>
      </c>
      <c r="GE43" s="26">
        <v>0</v>
      </c>
      <c r="GF43" s="26">
        <v>2.277679304825142E-4</v>
      </c>
      <c r="GJ43" s="26">
        <v>9</v>
      </c>
      <c r="GK43" s="26">
        <v>1.0888455435633659E-3</v>
      </c>
      <c r="GL43" s="26">
        <v>-8.2957136328332126E-5</v>
      </c>
      <c r="GM43" s="26">
        <v>0</v>
      </c>
      <c r="GN43" s="26">
        <v>0</v>
      </c>
      <c r="GO43" s="26">
        <v>0</v>
      </c>
      <c r="GP43" s="26">
        <v>2.0935888460371643E-4</v>
      </c>
      <c r="GT43" s="26">
        <v>9</v>
      </c>
      <c r="GU43" s="26">
        <v>1.6399181913584471E-4</v>
      </c>
      <c r="GV43" s="26">
        <v>-1.6938965927693062E-5</v>
      </c>
      <c r="GW43" s="26">
        <v>0</v>
      </c>
      <c r="GX43" s="26">
        <v>0</v>
      </c>
      <c r="GY43" s="26">
        <v>0</v>
      </c>
      <c r="GZ43" s="26">
        <v>4.0664206608198583E-5</v>
      </c>
    </row>
    <row r="44" spans="2:208">
      <c r="B44" s="26">
        <v>10</v>
      </c>
      <c r="C44" s="26">
        <v>7.0388334279414266E-5</v>
      </c>
      <c r="D44" s="26">
        <v>2.1396975498646498E-3</v>
      </c>
      <c r="E44" s="26">
        <v>0</v>
      </c>
      <c r="F44" s="26">
        <v>0</v>
      </c>
      <c r="G44" s="26">
        <v>0</v>
      </c>
      <c r="H44" s="26">
        <v>4.5947810576763004E-5</v>
      </c>
      <c r="L44" s="26">
        <v>10</v>
      </c>
      <c r="M44" s="26">
        <v>-5.9882877394556999E-5</v>
      </c>
      <c r="N44" s="26">
        <v>1.5016840770840645E-3</v>
      </c>
      <c r="O44" s="26">
        <v>0</v>
      </c>
      <c r="P44" s="26">
        <v>0</v>
      </c>
      <c r="Q44" s="26">
        <v>0</v>
      </c>
      <c r="R44" s="26">
        <v>-3.9917078538564965E-5</v>
      </c>
      <c r="V44" s="26">
        <v>10</v>
      </c>
      <c r="W44" s="26">
        <v>-3.4449433883310121E-7</v>
      </c>
      <c r="X44" s="26">
        <v>-8.1456778571009636E-4</v>
      </c>
      <c r="Y44" s="26">
        <v>0</v>
      </c>
      <c r="Z44" s="26">
        <v>0</v>
      </c>
      <c r="AA44" s="26">
        <v>0</v>
      </c>
      <c r="AB44" s="26">
        <v>-2.4707718537797518E-8</v>
      </c>
      <c r="AF44" s="26">
        <v>10</v>
      </c>
      <c r="AG44" s="26">
        <v>-4.447905723736767E-7</v>
      </c>
      <c r="AH44" s="26">
        <v>-1.0514262830838561E-3</v>
      </c>
      <c r="AI44" s="26">
        <v>0</v>
      </c>
      <c r="AJ44" s="26">
        <v>0</v>
      </c>
      <c r="AK44" s="26">
        <v>0</v>
      </c>
      <c r="AL44" s="26">
        <v>-3.1974614955743164E-8</v>
      </c>
      <c r="AP44" s="26">
        <v>10</v>
      </c>
      <c r="AQ44" s="26">
        <v>6.144466624391498E-6</v>
      </c>
      <c r="AR44" s="26">
        <v>2.3387366672977805E-4</v>
      </c>
      <c r="AS44" s="26">
        <v>0</v>
      </c>
      <c r="AT44" s="26">
        <v>0</v>
      </c>
      <c r="AU44" s="26">
        <v>0</v>
      </c>
      <c r="AV44" s="26">
        <v>8.3691602412727661E-6</v>
      </c>
      <c r="AZ44" s="26">
        <v>10</v>
      </c>
      <c r="BA44" s="26">
        <v>6.9617003646271769E-6</v>
      </c>
      <c r="BB44" s="26">
        <v>2.649790549185127E-4</v>
      </c>
      <c r="BC44" s="26">
        <v>0</v>
      </c>
      <c r="BD44" s="26">
        <v>0</v>
      </c>
      <c r="BE44" s="26">
        <v>0</v>
      </c>
      <c r="BF44" s="26">
        <v>9.4822862592991441E-6</v>
      </c>
      <c r="BJ44" s="26">
        <v>10</v>
      </c>
      <c r="BK44" s="26">
        <v>7.2320581239182502E-6</v>
      </c>
      <c r="BL44" s="26">
        <v>2.7526952908374369E-4</v>
      </c>
      <c r="BM44" s="26">
        <v>0</v>
      </c>
      <c r="BN44" s="26">
        <v>0</v>
      </c>
      <c r="BO44" s="26">
        <v>0</v>
      </c>
      <c r="BP44" s="26">
        <v>9.8505315690999851E-6</v>
      </c>
      <c r="BT44" s="26">
        <v>10</v>
      </c>
      <c r="BU44" s="26">
        <v>7.2320581239182502E-6</v>
      </c>
      <c r="BV44" s="26">
        <v>2.7526952908374369E-4</v>
      </c>
      <c r="BW44" s="26">
        <v>0</v>
      </c>
      <c r="BX44" s="26">
        <v>0</v>
      </c>
      <c r="BY44" s="26">
        <v>0</v>
      </c>
      <c r="BZ44" s="26">
        <v>9.8505315690999851E-6</v>
      </c>
      <c r="CD44" s="26">
        <v>10</v>
      </c>
      <c r="CE44" s="26">
        <v>7.2320581239182502E-6</v>
      </c>
      <c r="CF44" s="26">
        <v>2.7526952908374369E-4</v>
      </c>
      <c r="CG44" s="26">
        <v>0</v>
      </c>
      <c r="CH44" s="26">
        <v>0</v>
      </c>
      <c r="CI44" s="26">
        <v>0</v>
      </c>
      <c r="CJ44" s="26">
        <v>9.8505315690999851E-6</v>
      </c>
      <c r="CN44" s="26">
        <v>10</v>
      </c>
      <c r="CO44" s="26">
        <v>1.4780893980059773E-4</v>
      </c>
      <c r="CP44" s="26">
        <v>7.3763505497481674E-5</v>
      </c>
      <c r="CQ44" s="26">
        <v>0</v>
      </c>
      <c r="CR44" s="26">
        <v>0</v>
      </c>
      <c r="CS44" s="26">
        <v>0</v>
      </c>
      <c r="CT44" s="26">
        <v>4.1529594454914331E-5</v>
      </c>
      <c r="CX44" s="26">
        <v>10</v>
      </c>
      <c r="CY44" s="26">
        <v>1.8476117111276835E-4</v>
      </c>
      <c r="CZ44" s="26">
        <v>9.2204383690841496E-5</v>
      </c>
      <c r="DA44" s="26">
        <v>0</v>
      </c>
      <c r="DB44" s="26">
        <v>0</v>
      </c>
      <c r="DC44" s="26">
        <v>0</v>
      </c>
      <c r="DD44" s="26">
        <v>5.1911993068642914E-5</v>
      </c>
      <c r="DH44" s="26">
        <v>10</v>
      </c>
      <c r="DI44" s="26">
        <v>6.2881532358005643E-4</v>
      </c>
      <c r="DJ44" s="26">
        <v>3.2526999711990356E-4</v>
      </c>
      <c r="DK44" s="26">
        <v>0</v>
      </c>
      <c r="DL44" s="26">
        <v>0</v>
      </c>
      <c r="DM44" s="26">
        <v>0</v>
      </c>
      <c r="DN44" s="26">
        <v>1.7800558998715132E-4</v>
      </c>
      <c r="DR44" s="26">
        <v>10</v>
      </c>
      <c r="DS44" s="26">
        <v>7.2614965029060841E-4</v>
      </c>
      <c r="DT44" s="26">
        <v>3.7499051541090012E-4</v>
      </c>
      <c r="DU44" s="26">
        <v>0</v>
      </c>
      <c r="DV44" s="26">
        <v>0</v>
      </c>
      <c r="DW44" s="26">
        <v>0</v>
      </c>
      <c r="DX44" s="26">
        <v>2.0548628526739776E-4</v>
      </c>
      <c r="EB44" s="26">
        <v>10</v>
      </c>
      <c r="EC44" s="26">
        <v>9.9833763670176268E-4</v>
      </c>
      <c r="ED44" s="26">
        <v>5.096787353977561E-4</v>
      </c>
      <c r="EE44" s="26">
        <v>0</v>
      </c>
      <c r="EF44" s="26">
        <v>0</v>
      </c>
      <c r="EG44" s="26">
        <v>0</v>
      </c>
      <c r="EH44" s="26">
        <v>2.8182959067635238E-4</v>
      </c>
      <c r="EL44" s="26">
        <v>10</v>
      </c>
      <c r="EM44" s="26">
        <v>1.042118645273149E-3</v>
      </c>
      <c r="EN44" s="26">
        <v>5.3152727195993066E-4</v>
      </c>
      <c r="EO44" s="26">
        <v>0</v>
      </c>
      <c r="EP44" s="26">
        <v>0</v>
      </c>
      <c r="EQ44" s="26">
        <v>0</v>
      </c>
      <c r="ER44" s="26">
        <v>2.9413061565719545E-4</v>
      </c>
      <c r="EV44" s="26">
        <v>10</v>
      </c>
      <c r="EW44" s="26">
        <v>1.1059595271945E-3</v>
      </c>
      <c r="EX44" s="26">
        <v>5.6453287834301591E-4</v>
      </c>
      <c r="EY44" s="26">
        <v>0</v>
      </c>
      <c r="EZ44" s="26">
        <v>0</v>
      </c>
      <c r="FA44" s="26">
        <v>0</v>
      </c>
      <c r="FB44" s="26">
        <v>3.1220068922266364E-4</v>
      </c>
      <c r="FF44" s="26">
        <v>10</v>
      </c>
      <c r="FG44" s="26">
        <v>1.0288158664479852E-3</v>
      </c>
      <c r="FH44" s="26">
        <v>5.2488857181742787E-4</v>
      </c>
      <c r="FI44" s="26">
        <v>0</v>
      </c>
      <c r="FJ44" s="26">
        <v>0</v>
      </c>
      <c r="FK44" s="26">
        <v>0</v>
      </c>
      <c r="FL44" s="26">
        <v>2.9039295623078942E-4</v>
      </c>
      <c r="FP44" s="26">
        <v>10</v>
      </c>
      <c r="FQ44" s="26">
        <v>1.8596597947180271E-3</v>
      </c>
      <c r="FR44" s="26">
        <v>5.1178148714825511E-4</v>
      </c>
      <c r="FS44" s="26">
        <v>0</v>
      </c>
      <c r="FT44" s="26">
        <v>0</v>
      </c>
      <c r="FU44" s="26">
        <v>0</v>
      </c>
      <c r="FV44" s="26">
        <v>3.5514857154339552E-4</v>
      </c>
      <c r="FZ44" s="26">
        <v>10</v>
      </c>
      <c r="GA44" s="26">
        <v>1.179632730782032E-3</v>
      </c>
      <c r="GB44" s="26">
        <v>3.4457657602615654E-4</v>
      </c>
      <c r="GC44" s="26">
        <v>0</v>
      </c>
      <c r="GD44" s="26">
        <v>0</v>
      </c>
      <c r="GE44" s="26">
        <v>0</v>
      </c>
      <c r="GF44" s="26">
        <v>2.2778008133172989E-4</v>
      </c>
      <c r="GJ44" s="26">
        <v>10</v>
      </c>
      <c r="GK44" s="26">
        <v>1.0889930417761207E-3</v>
      </c>
      <c r="GL44" s="26">
        <v>3.1085580121725798E-4</v>
      </c>
      <c r="GM44" s="26">
        <v>0</v>
      </c>
      <c r="GN44" s="26">
        <v>0</v>
      </c>
      <c r="GO44" s="26">
        <v>0</v>
      </c>
      <c r="GP44" s="26">
        <v>2.0937048248015344E-4</v>
      </c>
      <c r="GT44" s="26">
        <v>10</v>
      </c>
      <c r="GU44" s="26">
        <v>1.6402112669311464E-4</v>
      </c>
      <c r="GV44" s="26">
        <v>5.3323703468777239E-5</v>
      </c>
      <c r="GW44" s="26">
        <v>0</v>
      </c>
      <c r="GX44" s="26">
        <v>0</v>
      </c>
      <c r="GY44" s="26">
        <v>0</v>
      </c>
      <c r="GZ44" s="26">
        <v>4.0667902794666588E-5</v>
      </c>
    </row>
    <row r="45" spans="2:208">
      <c r="B45" s="26">
        <v>11</v>
      </c>
      <c r="C45" s="26">
        <v>-1.3899487385060638E-5</v>
      </c>
      <c r="D45" s="26">
        <v>1.5111468965187669E-3</v>
      </c>
      <c r="E45" s="26">
        <v>0</v>
      </c>
      <c r="F45" s="26">
        <v>0</v>
      </c>
      <c r="G45" s="26">
        <v>0</v>
      </c>
      <c r="H45" s="26">
        <v>1.7628475688979961E-5</v>
      </c>
      <c r="L45" s="26">
        <v>11</v>
      </c>
      <c r="M45" s="26">
        <v>1.1084093785029836E-5</v>
      </c>
      <c r="N45" s="26">
        <v>1.899597467854619E-3</v>
      </c>
      <c r="O45" s="26">
        <v>0</v>
      </c>
      <c r="P45" s="26">
        <v>0</v>
      </c>
      <c r="Q45" s="26">
        <v>0</v>
      </c>
      <c r="R45" s="26">
        <v>-1.5532534234807827E-5</v>
      </c>
      <c r="V45" s="26">
        <v>11</v>
      </c>
      <c r="W45" s="26">
        <v>2.4736010573178646E-7</v>
      </c>
      <c r="X45" s="26">
        <v>-7.783728651702404E-4</v>
      </c>
      <c r="Y45" s="26">
        <v>0</v>
      </c>
      <c r="Z45" s="26">
        <v>0</v>
      </c>
      <c r="AA45" s="26">
        <v>0</v>
      </c>
      <c r="AB45" s="26">
        <v>4.3245535152891534E-8</v>
      </c>
      <c r="AF45" s="26">
        <v>11</v>
      </c>
      <c r="AG45" s="26">
        <v>3.1931080002323142E-7</v>
      </c>
      <c r="AH45" s="26">
        <v>-1.0047056712210178E-3</v>
      </c>
      <c r="AI45" s="26">
        <v>0</v>
      </c>
      <c r="AJ45" s="26">
        <v>0</v>
      </c>
      <c r="AK45" s="26">
        <v>0</v>
      </c>
      <c r="AL45" s="26">
        <v>5.5788511588161782E-8</v>
      </c>
      <c r="AP45" s="26">
        <v>11</v>
      </c>
      <c r="AQ45" s="26">
        <v>-7.0502742346434388E-6</v>
      </c>
      <c r="AR45" s="26">
        <v>1.0401158942840993E-4</v>
      </c>
      <c r="AS45" s="26">
        <v>0</v>
      </c>
      <c r="AT45" s="26">
        <v>0</v>
      </c>
      <c r="AU45" s="26">
        <v>0</v>
      </c>
      <c r="AV45" s="26">
        <v>1.9414405869611073E-6</v>
      </c>
      <c r="AZ45" s="26">
        <v>11</v>
      </c>
      <c r="BA45" s="26">
        <v>-7.9879837358021177E-6</v>
      </c>
      <c r="BB45" s="26">
        <v>1.1784494563471526E-4</v>
      </c>
      <c r="BC45" s="26">
        <v>0</v>
      </c>
      <c r="BD45" s="26">
        <v>0</v>
      </c>
      <c r="BE45" s="26">
        <v>0</v>
      </c>
      <c r="BF45" s="26">
        <v>2.1996584109729156E-6</v>
      </c>
      <c r="BJ45" s="26">
        <v>11</v>
      </c>
      <c r="BK45" s="26">
        <v>-8.2981978266616352E-6</v>
      </c>
      <c r="BL45" s="26">
        <v>1.2242145021446049E-4</v>
      </c>
      <c r="BM45" s="26">
        <v>0</v>
      </c>
      <c r="BN45" s="26">
        <v>0</v>
      </c>
      <c r="BO45" s="26">
        <v>0</v>
      </c>
      <c r="BP45" s="26">
        <v>2.285082246089587E-6</v>
      </c>
      <c r="BT45" s="26">
        <v>11</v>
      </c>
      <c r="BU45" s="26">
        <v>-8.2981978266616352E-6</v>
      </c>
      <c r="BV45" s="26">
        <v>1.2242145021446049E-4</v>
      </c>
      <c r="BW45" s="26">
        <v>0</v>
      </c>
      <c r="BX45" s="26">
        <v>0</v>
      </c>
      <c r="BY45" s="26">
        <v>0</v>
      </c>
      <c r="BZ45" s="26">
        <v>2.285082246089587E-6</v>
      </c>
      <c r="CD45" s="26">
        <v>11</v>
      </c>
      <c r="CE45" s="26">
        <v>-8.2981978266616352E-6</v>
      </c>
      <c r="CF45" s="26">
        <v>1.2242145021446049E-4</v>
      </c>
      <c r="CG45" s="26">
        <v>0</v>
      </c>
      <c r="CH45" s="26">
        <v>0</v>
      </c>
      <c r="CI45" s="26">
        <v>0</v>
      </c>
      <c r="CJ45" s="26">
        <v>2.285082246089587E-6</v>
      </c>
      <c r="CN45" s="26">
        <v>11</v>
      </c>
      <c r="CO45" s="26">
        <v>5.7465291320113465E-5</v>
      </c>
      <c r="CP45" s="26">
        <v>-6.7943248723167926E-5</v>
      </c>
      <c r="CQ45" s="26">
        <v>0</v>
      </c>
      <c r="CR45" s="26">
        <v>0</v>
      </c>
      <c r="CS45" s="26">
        <v>0</v>
      </c>
      <c r="CT45" s="26">
        <v>2.5404537154827267E-5</v>
      </c>
      <c r="CX45" s="26">
        <v>11</v>
      </c>
      <c r="CY45" s="26">
        <v>7.1831615059636533E-5</v>
      </c>
      <c r="CZ45" s="26">
        <v>-8.4929059084970504E-5</v>
      </c>
      <c r="DA45" s="26">
        <v>0</v>
      </c>
      <c r="DB45" s="26">
        <v>0</v>
      </c>
      <c r="DC45" s="26">
        <v>0</v>
      </c>
      <c r="DD45" s="26">
        <v>3.175566962454468E-5</v>
      </c>
      <c r="DH45" s="26">
        <v>11</v>
      </c>
      <c r="DI45" s="26">
        <v>2.4261049111373723E-4</v>
      </c>
      <c r="DJ45" s="26">
        <v>-2.9960478423163295E-4</v>
      </c>
      <c r="DK45" s="26">
        <v>0</v>
      </c>
      <c r="DL45" s="26">
        <v>0</v>
      </c>
      <c r="DM45" s="26">
        <v>0</v>
      </c>
      <c r="DN45" s="26">
        <v>1.0826074139913544E-4</v>
      </c>
      <c r="DR45" s="26">
        <v>11</v>
      </c>
      <c r="DS45" s="26">
        <v>2.8026613290421665E-4</v>
      </c>
      <c r="DT45" s="26">
        <v>-3.4540213528089225E-4</v>
      </c>
      <c r="DU45" s="26">
        <v>0</v>
      </c>
      <c r="DV45" s="26">
        <v>0</v>
      </c>
      <c r="DW45" s="26">
        <v>0</v>
      </c>
      <c r="DX45" s="26">
        <v>1.250083587365225E-4</v>
      </c>
      <c r="EB45" s="26">
        <v>11</v>
      </c>
      <c r="EC45" s="26">
        <v>3.8627372123301029E-4</v>
      </c>
      <c r="ED45" s="26">
        <v>-4.6946291695348918E-4</v>
      </c>
      <c r="EE45" s="26">
        <v>0</v>
      </c>
      <c r="EF45" s="26">
        <v>0</v>
      </c>
      <c r="EG45" s="26">
        <v>0</v>
      </c>
      <c r="EH45" s="26">
        <v>1.7177208792418242E-4</v>
      </c>
      <c r="EL45" s="26">
        <v>11</v>
      </c>
      <c r="EM45" s="26">
        <v>4.0329495095647871E-4</v>
      </c>
      <c r="EN45" s="26">
        <v>-4.8958748811855912E-4</v>
      </c>
      <c r="EO45" s="26">
        <v>0</v>
      </c>
      <c r="EP45" s="26">
        <v>0</v>
      </c>
      <c r="EQ45" s="26">
        <v>0</v>
      </c>
      <c r="ER45" s="26">
        <v>1.7929689784068614E-4</v>
      </c>
      <c r="EV45" s="26">
        <v>11</v>
      </c>
      <c r="EW45" s="26">
        <v>4.279289860278368E-4</v>
      </c>
      <c r="EX45" s="26">
        <v>-5.1998882554471493E-4</v>
      </c>
      <c r="EY45" s="26">
        <v>0</v>
      </c>
      <c r="EZ45" s="26">
        <v>0</v>
      </c>
      <c r="FA45" s="26">
        <v>0</v>
      </c>
      <c r="FB45" s="26">
        <v>1.902878429973498E-4</v>
      </c>
      <c r="FF45" s="26">
        <v>11</v>
      </c>
      <c r="FG45" s="26">
        <v>3.9812308386899531E-4</v>
      </c>
      <c r="FH45" s="26">
        <v>-4.8347259871661663E-4</v>
      </c>
      <c r="FI45" s="26">
        <v>0</v>
      </c>
      <c r="FJ45" s="26">
        <v>0</v>
      </c>
      <c r="FK45" s="26">
        <v>0</v>
      </c>
      <c r="FL45" s="26">
        <v>1.7701048636808991E-4</v>
      </c>
      <c r="FP45" s="26">
        <v>11</v>
      </c>
      <c r="FQ45" s="26">
        <v>9.9351059179753065E-4</v>
      </c>
      <c r="FR45" s="26">
        <v>-1.1612287198659033E-4</v>
      </c>
      <c r="FS45" s="26">
        <v>0</v>
      </c>
      <c r="FT45" s="26">
        <v>0</v>
      </c>
      <c r="FU45" s="26">
        <v>0</v>
      </c>
      <c r="FV45" s="26">
        <v>2.7894275262951851E-4</v>
      </c>
      <c r="FZ45" s="26">
        <v>11</v>
      </c>
      <c r="GA45" s="26">
        <v>6.2633707420900464E-4</v>
      </c>
      <c r="GB45" s="26">
        <v>-9.3775968707632273E-5</v>
      </c>
      <c r="GC45" s="26">
        <v>0</v>
      </c>
      <c r="GD45" s="26">
        <v>0</v>
      </c>
      <c r="GE45" s="26">
        <v>0</v>
      </c>
      <c r="GF45" s="26">
        <v>1.7749976541381329E-4</v>
      </c>
      <c r="GJ45" s="26">
        <v>11</v>
      </c>
      <c r="GK45" s="26">
        <v>5.7961751008406281E-4</v>
      </c>
      <c r="GL45" s="26">
        <v>-7.9271048889495432E-5</v>
      </c>
      <c r="GM45" s="26">
        <v>0</v>
      </c>
      <c r="GN45" s="26">
        <v>0</v>
      </c>
      <c r="GO45" s="26">
        <v>0</v>
      </c>
      <c r="GP45" s="26">
        <v>1.6365827468689531E-4</v>
      </c>
      <c r="GT45" s="26">
        <v>11</v>
      </c>
      <c r="GU45" s="26">
        <v>7.1341455623041838E-5</v>
      </c>
      <c r="GV45" s="26">
        <v>-1.5602407074766234E-5</v>
      </c>
      <c r="GW45" s="26">
        <v>0</v>
      </c>
      <c r="GX45" s="26">
        <v>0</v>
      </c>
      <c r="GY45" s="26">
        <v>0</v>
      </c>
      <c r="GZ45" s="26">
        <v>2.7438829420134425E-5</v>
      </c>
    </row>
    <row r="46" spans="2:208">
      <c r="B46" s="26">
        <v>12</v>
      </c>
      <c r="C46" s="26">
        <v>-1.2890401194454171E-5</v>
      </c>
      <c r="D46" s="26">
        <v>2.0446230191737413E-3</v>
      </c>
      <c r="E46" s="26">
        <v>0</v>
      </c>
      <c r="F46" s="26">
        <v>0</v>
      </c>
      <c r="G46" s="26">
        <v>0</v>
      </c>
      <c r="H46" s="26">
        <v>1.7803227819968015E-5</v>
      </c>
      <c r="L46" s="26">
        <v>12</v>
      </c>
      <c r="M46" s="26">
        <v>1.2251345651748125E-5</v>
      </c>
      <c r="N46" s="26">
        <v>1.4349587727338076E-3</v>
      </c>
      <c r="O46" s="26">
        <v>0</v>
      </c>
      <c r="P46" s="26">
        <v>0</v>
      </c>
      <c r="Q46" s="26">
        <v>0</v>
      </c>
      <c r="R46" s="26">
        <v>-1.5330391761381179E-5</v>
      </c>
      <c r="V46" s="26">
        <v>12</v>
      </c>
      <c r="W46" s="26">
        <v>-2.4790577413114079E-7</v>
      </c>
      <c r="X46" s="26">
        <v>-7.7837362186983228E-4</v>
      </c>
      <c r="Y46" s="26">
        <v>0</v>
      </c>
      <c r="Z46" s="26">
        <v>0</v>
      </c>
      <c r="AA46" s="26">
        <v>0</v>
      </c>
      <c r="AB46" s="26">
        <v>-4.2523822685325285E-8</v>
      </c>
      <c r="AF46" s="26">
        <v>12</v>
      </c>
      <c r="AG46" s="26">
        <v>-3.1996700045056059E-7</v>
      </c>
      <c r="AH46" s="26">
        <v>-1.0047075338661671E-3</v>
      </c>
      <c r="AI46" s="26">
        <v>0</v>
      </c>
      <c r="AJ46" s="26">
        <v>0</v>
      </c>
      <c r="AK46" s="26">
        <v>0</v>
      </c>
      <c r="AL46" s="26">
        <v>-5.4920601399999214E-8</v>
      </c>
      <c r="AP46" s="26">
        <v>12</v>
      </c>
      <c r="AQ46" s="26">
        <v>-6.947549081814941E-6</v>
      </c>
      <c r="AR46" s="26">
        <v>2.1542001923080534E-4</v>
      </c>
      <c r="AS46" s="26">
        <v>0</v>
      </c>
      <c r="AT46" s="26">
        <v>0</v>
      </c>
      <c r="AU46" s="26">
        <v>0</v>
      </c>
      <c r="AV46" s="26">
        <v>1.9664769297378371E-6</v>
      </c>
      <c r="AZ46" s="26">
        <v>12</v>
      </c>
      <c r="BA46" s="26">
        <v>-7.8715956988162361E-6</v>
      </c>
      <c r="BB46" s="26">
        <v>2.4407106684520841E-4</v>
      </c>
      <c r="BC46" s="26">
        <v>0</v>
      </c>
      <c r="BD46" s="26">
        <v>0</v>
      </c>
      <c r="BE46" s="26">
        <v>0</v>
      </c>
      <c r="BF46" s="26">
        <v>2.2280246412265114E-6</v>
      </c>
      <c r="BJ46" s="26">
        <v>12</v>
      </c>
      <c r="BK46" s="26">
        <v>-8.1772896010079421E-6</v>
      </c>
      <c r="BL46" s="26">
        <v>2.5354957324452698E-4</v>
      </c>
      <c r="BM46" s="26">
        <v>0</v>
      </c>
      <c r="BN46" s="26">
        <v>0</v>
      </c>
      <c r="BO46" s="26">
        <v>0</v>
      </c>
      <c r="BP46" s="26">
        <v>2.3145501018007053E-6</v>
      </c>
      <c r="BT46" s="26">
        <v>12</v>
      </c>
      <c r="BU46" s="26">
        <v>-8.1772896010079421E-6</v>
      </c>
      <c r="BV46" s="26">
        <v>2.5354957324452698E-4</v>
      </c>
      <c r="BW46" s="26">
        <v>0</v>
      </c>
      <c r="BX46" s="26">
        <v>0</v>
      </c>
      <c r="BY46" s="26">
        <v>0</v>
      </c>
      <c r="BZ46" s="26">
        <v>2.3145501018007053E-6</v>
      </c>
      <c r="CD46" s="26">
        <v>12</v>
      </c>
      <c r="CE46" s="26">
        <v>-8.1772896010079421E-6</v>
      </c>
      <c r="CF46" s="26">
        <v>2.5354957324452698E-4</v>
      </c>
      <c r="CG46" s="26">
        <v>0</v>
      </c>
      <c r="CH46" s="26">
        <v>0</v>
      </c>
      <c r="CI46" s="26">
        <v>0</v>
      </c>
      <c r="CJ46" s="26">
        <v>2.3145501018007053E-6</v>
      </c>
      <c r="CN46" s="26">
        <v>12</v>
      </c>
      <c r="CO46" s="26">
        <v>5.7445737184025347E-5</v>
      </c>
      <c r="CP46" s="26">
        <v>6.7943248723167926E-5</v>
      </c>
      <c r="CQ46" s="26">
        <v>0</v>
      </c>
      <c r="CR46" s="26">
        <v>0</v>
      </c>
      <c r="CS46" s="26">
        <v>0</v>
      </c>
      <c r="CT46" s="26">
        <v>2.5399844162166119E-5</v>
      </c>
      <c r="CX46" s="26">
        <v>12</v>
      </c>
      <c r="CY46" s="26">
        <v>7.1807175118010491E-5</v>
      </c>
      <c r="CZ46" s="26">
        <v>8.4929059084970504E-5</v>
      </c>
      <c r="DA46" s="26">
        <v>0</v>
      </c>
      <c r="DB46" s="26">
        <v>0</v>
      </c>
      <c r="DC46" s="26">
        <v>0</v>
      </c>
      <c r="DD46" s="26">
        <v>3.1749805202707648E-5</v>
      </c>
      <c r="DH46" s="26">
        <v>12</v>
      </c>
      <c r="DI46" s="26">
        <v>2.4252108414657414E-4</v>
      </c>
      <c r="DJ46" s="26">
        <v>2.9960478423163295E-4</v>
      </c>
      <c r="DK46" s="26">
        <v>0</v>
      </c>
      <c r="DL46" s="26">
        <v>0</v>
      </c>
      <c r="DM46" s="26">
        <v>0</v>
      </c>
      <c r="DN46" s="26">
        <v>1.0823925549630076E-4</v>
      </c>
      <c r="DR46" s="26">
        <v>12</v>
      </c>
      <c r="DS46" s="26">
        <v>2.8016322175972164E-4</v>
      </c>
      <c r="DT46" s="26">
        <v>3.4540213528089225E-4</v>
      </c>
      <c r="DU46" s="26">
        <v>0</v>
      </c>
      <c r="DV46" s="26">
        <v>0</v>
      </c>
      <c r="DW46" s="26">
        <v>0</v>
      </c>
      <c r="DX46" s="26">
        <v>1.249836350325495E-4</v>
      </c>
      <c r="EB46" s="26">
        <v>12</v>
      </c>
      <c r="EC46" s="26">
        <v>3.8613541983067989E-4</v>
      </c>
      <c r="ED46" s="26">
        <v>4.6946291695348918E-4</v>
      </c>
      <c r="EE46" s="26">
        <v>0</v>
      </c>
      <c r="EF46" s="26">
        <v>0</v>
      </c>
      <c r="EG46" s="26">
        <v>0</v>
      </c>
      <c r="EH46" s="26">
        <v>1.7173886590171605E-4</v>
      </c>
      <c r="EL46" s="26">
        <v>12</v>
      </c>
      <c r="EM46" s="26">
        <v>4.0315088699571788E-4</v>
      </c>
      <c r="EN46" s="26">
        <v>4.8958748811855912E-4</v>
      </c>
      <c r="EO46" s="26">
        <v>0</v>
      </c>
      <c r="EP46" s="26">
        <v>0</v>
      </c>
      <c r="EQ46" s="26">
        <v>0</v>
      </c>
      <c r="ER46" s="26">
        <v>1.7926229338627309E-4</v>
      </c>
      <c r="EV46" s="26">
        <v>12</v>
      </c>
      <c r="EW46" s="26">
        <v>4.2777584167197347E-4</v>
      </c>
      <c r="EX46" s="26">
        <v>5.1998882554471493E-4</v>
      </c>
      <c r="EY46" s="26">
        <v>0</v>
      </c>
      <c r="EZ46" s="26">
        <v>0</v>
      </c>
      <c r="FA46" s="26">
        <v>0</v>
      </c>
      <c r="FB46" s="26">
        <v>1.9025105575565249E-4</v>
      </c>
      <c r="FF46" s="26">
        <v>12</v>
      </c>
      <c r="FG46" s="26">
        <v>3.9798076613806188E-4</v>
      </c>
      <c r="FH46" s="26">
        <v>4.8347259871661663E-4</v>
      </c>
      <c r="FI46" s="26">
        <v>0</v>
      </c>
      <c r="FJ46" s="26">
        <v>0</v>
      </c>
      <c r="FK46" s="26">
        <v>0</v>
      </c>
      <c r="FL46" s="26">
        <v>1.7697630391921848E-4</v>
      </c>
      <c r="FP46" s="26">
        <v>12</v>
      </c>
      <c r="FQ46" s="26">
        <v>9.9369860254228115E-4</v>
      </c>
      <c r="FR46" s="26">
        <v>4.8904115101322532E-4</v>
      </c>
      <c r="FS46" s="26">
        <v>0</v>
      </c>
      <c r="FT46" s="26">
        <v>0</v>
      </c>
      <c r="FU46" s="26">
        <v>0</v>
      </c>
      <c r="FV46" s="26">
        <v>2.7897587278857827E-4</v>
      </c>
      <c r="FZ46" s="26">
        <v>12</v>
      </c>
      <c r="GA46" s="26">
        <v>6.2644638819620013E-4</v>
      </c>
      <c r="GB46" s="26">
        <v>3.2926577841863036E-4</v>
      </c>
      <c r="GC46" s="26">
        <v>0</v>
      </c>
      <c r="GD46" s="26">
        <v>0</v>
      </c>
      <c r="GE46" s="26">
        <v>0</v>
      </c>
      <c r="GF46" s="26">
        <v>1.7751904670149088E-4</v>
      </c>
      <c r="GJ46" s="26">
        <v>12</v>
      </c>
      <c r="GK46" s="26">
        <v>5.797220510430634E-4</v>
      </c>
      <c r="GL46" s="26">
        <v>2.9704335611313581E-4</v>
      </c>
      <c r="GM46" s="26">
        <v>0</v>
      </c>
      <c r="GN46" s="26">
        <v>0</v>
      </c>
      <c r="GO46" s="26">
        <v>0</v>
      </c>
      <c r="GP46" s="26">
        <v>1.6367669741157442E-4</v>
      </c>
      <c r="GT46" s="26">
        <v>12</v>
      </c>
      <c r="GU46" s="26">
        <v>7.1359230787493289E-5</v>
      </c>
      <c r="GV46" s="26">
        <v>4.911623545922339E-5</v>
      </c>
      <c r="GW46" s="26">
        <v>0</v>
      </c>
      <c r="GX46" s="26">
        <v>0</v>
      </c>
      <c r="GY46" s="26">
        <v>0</v>
      </c>
      <c r="GZ46" s="26">
        <v>2.7443244107416831E-5</v>
      </c>
    </row>
    <row r="47" spans="2:208">
      <c r="B47" s="26">
        <v>13</v>
      </c>
      <c r="C47" s="26">
        <v>-3.7420239095808938E-5</v>
      </c>
      <c r="D47" s="26">
        <v>1.4437995851039886E-3</v>
      </c>
      <c r="E47" s="26">
        <v>0</v>
      </c>
      <c r="F47" s="26">
        <v>0</v>
      </c>
      <c r="G47" s="26">
        <v>0</v>
      </c>
      <c r="H47" s="26">
        <v>1.2224046486153384E-6</v>
      </c>
      <c r="L47" s="26">
        <v>13</v>
      </c>
      <c r="M47" s="26">
        <v>3.2057232601800933E-5</v>
      </c>
      <c r="N47" s="26">
        <v>1.8149380339309573E-3</v>
      </c>
      <c r="O47" s="26">
        <v>0</v>
      </c>
      <c r="P47" s="26">
        <v>0</v>
      </c>
      <c r="Q47" s="26">
        <v>0</v>
      </c>
      <c r="R47" s="26">
        <v>-1.2234023643031833E-6</v>
      </c>
      <c r="V47" s="26">
        <v>13</v>
      </c>
      <c r="W47" s="26">
        <v>1.2941535487698275E-7</v>
      </c>
      <c r="X47" s="26">
        <v>-7.436831365339458E-4</v>
      </c>
      <c r="Y47" s="26">
        <v>0</v>
      </c>
      <c r="Z47" s="26">
        <v>0</v>
      </c>
      <c r="AA47" s="26">
        <v>0</v>
      </c>
      <c r="AB47" s="26">
        <v>3.8419234016373593E-8</v>
      </c>
      <c r="AF47" s="26">
        <v>13</v>
      </c>
      <c r="AG47" s="26">
        <v>1.6711312866846129E-7</v>
      </c>
      <c r="AH47" s="26">
        <v>-9.5992890419438481E-4</v>
      </c>
      <c r="AI47" s="26">
        <v>0</v>
      </c>
      <c r="AJ47" s="26">
        <v>0</v>
      </c>
      <c r="AK47" s="26">
        <v>0</v>
      </c>
      <c r="AL47" s="26">
        <v>4.9588326334060184E-8</v>
      </c>
      <c r="AP47" s="26">
        <v>13</v>
      </c>
      <c r="AQ47" s="26">
        <v>-7.6913665907341056E-6</v>
      </c>
      <c r="AR47" s="26">
        <v>9.5524686912540346E-5</v>
      </c>
      <c r="AS47" s="26">
        <v>0</v>
      </c>
      <c r="AT47" s="26">
        <v>0</v>
      </c>
      <c r="AU47" s="26">
        <v>0</v>
      </c>
      <c r="AV47" s="26">
        <v>-9.2858448397237225E-7</v>
      </c>
      <c r="AZ47" s="26">
        <v>13</v>
      </c>
      <c r="BA47" s="26">
        <v>-8.7143434939207509E-6</v>
      </c>
      <c r="BB47" s="26">
        <v>1.0822930198628455E-4</v>
      </c>
      <c r="BC47" s="26">
        <v>0</v>
      </c>
      <c r="BD47" s="26">
        <v>0</v>
      </c>
      <c r="BE47" s="26">
        <v>0</v>
      </c>
      <c r="BF47" s="26">
        <v>-1.0520891464693705E-6</v>
      </c>
      <c r="BJ47" s="26">
        <v>13</v>
      </c>
      <c r="BK47" s="26">
        <v>-9.0527655629557557E-6</v>
      </c>
      <c r="BL47" s="26">
        <v>1.1243237531743944E-4</v>
      </c>
      <c r="BM47" s="26">
        <v>0</v>
      </c>
      <c r="BN47" s="26">
        <v>0</v>
      </c>
      <c r="BO47" s="26">
        <v>0</v>
      </c>
      <c r="BP47" s="26">
        <v>-1.0929471727649798E-6</v>
      </c>
      <c r="BT47" s="26">
        <v>13</v>
      </c>
      <c r="BU47" s="26">
        <v>-9.0527655629557557E-6</v>
      </c>
      <c r="BV47" s="26">
        <v>1.1243237531743944E-4</v>
      </c>
      <c r="BW47" s="26">
        <v>0</v>
      </c>
      <c r="BX47" s="26">
        <v>0</v>
      </c>
      <c r="BY47" s="26">
        <v>0</v>
      </c>
      <c r="BZ47" s="26">
        <v>-1.0929471727649798E-6</v>
      </c>
      <c r="CD47" s="26">
        <v>13</v>
      </c>
      <c r="CE47" s="26">
        <v>-9.0527655629557557E-6</v>
      </c>
      <c r="CF47" s="26">
        <v>1.1243237531743944E-4</v>
      </c>
      <c r="CG47" s="26">
        <v>0</v>
      </c>
      <c r="CH47" s="26">
        <v>0</v>
      </c>
      <c r="CI47" s="26">
        <v>0</v>
      </c>
      <c r="CJ47" s="26">
        <v>-1.0929471727649798E-6</v>
      </c>
      <c r="CN47" s="26">
        <v>13</v>
      </c>
      <c r="CO47" s="26">
        <v>7.9992141763796099E-6</v>
      </c>
      <c r="CP47" s="26">
        <v>-6.2399369198828936E-5</v>
      </c>
      <c r="CQ47" s="26">
        <v>0</v>
      </c>
      <c r="CR47" s="26">
        <v>0</v>
      </c>
      <c r="CS47" s="26">
        <v>0</v>
      </c>
      <c r="CT47" s="26">
        <v>1.0720500540628564E-5</v>
      </c>
      <c r="CX47" s="26">
        <v>13</v>
      </c>
      <c r="CY47" s="26">
        <v>9.9990184025955386E-6</v>
      </c>
      <c r="CZ47" s="26">
        <v>-7.7999204222578555E-5</v>
      </c>
      <c r="DA47" s="26">
        <v>0</v>
      </c>
      <c r="DB47" s="26">
        <v>0</v>
      </c>
      <c r="DC47" s="26">
        <v>0</v>
      </c>
      <c r="DD47" s="26">
        <v>1.340062590315938E-5</v>
      </c>
      <c r="DH47" s="26">
        <v>13</v>
      </c>
      <c r="DI47" s="26">
        <v>3.2436666515422985E-5</v>
      </c>
      <c r="DJ47" s="26">
        <v>-2.7515832334756851E-4</v>
      </c>
      <c r="DK47" s="26">
        <v>0</v>
      </c>
      <c r="DL47" s="26">
        <v>0</v>
      </c>
      <c r="DM47" s="26">
        <v>0</v>
      </c>
      <c r="DN47" s="26">
        <v>4.5337394112721086E-5</v>
      </c>
      <c r="DR47" s="26">
        <v>13</v>
      </c>
      <c r="DS47" s="26">
        <v>3.7544872611761093E-5</v>
      </c>
      <c r="DT47" s="26">
        <v>-3.1721880077384412E-4</v>
      </c>
      <c r="DU47" s="26">
        <v>0</v>
      </c>
      <c r="DV47" s="26">
        <v>0</v>
      </c>
      <c r="DW47" s="26">
        <v>0</v>
      </c>
      <c r="DX47" s="26">
        <v>5.236997822066769E-5</v>
      </c>
      <c r="EB47" s="26">
        <v>13</v>
      </c>
      <c r="EC47" s="26">
        <v>5.2434701501624659E-5</v>
      </c>
      <c r="ED47" s="26">
        <v>-4.3115671724081039E-4</v>
      </c>
      <c r="EE47" s="26">
        <v>0</v>
      </c>
      <c r="EF47" s="26">
        <v>0</v>
      </c>
      <c r="EG47" s="26">
        <v>0</v>
      </c>
      <c r="EH47" s="26">
        <v>7.2138645919039845E-5</v>
      </c>
      <c r="EL47" s="26">
        <v>13</v>
      </c>
      <c r="EM47" s="26">
        <v>5.4804098908789456E-5</v>
      </c>
      <c r="EN47" s="26">
        <v>-4.4963922118768096E-4</v>
      </c>
      <c r="EO47" s="26">
        <v>0</v>
      </c>
      <c r="EP47" s="26">
        <v>0</v>
      </c>
      <c r="EQ47" s="26">
        <v>0</v>
      </c>
      <c r="ER47" s="26">
        <v>7.5314062996767461E-5</v>
      </c>
      <c r="EV47" s="26">
        <v>13</v>
      </c>
      <c r="EW47" s="26">
        <v>5.8099692978430539E-5</v>
      </c>
      <c r="EX47" s="26">
        <v>-4.7755995183251798E-4</v>
      </c>
      <c r="EY47" s="26">
        <v>0</v>
      </c>
      <c r="EZ47" s="26">
        <v>0</v>
      </c>
      <c r="FA47" s="26">
        <v>0</v>
      </c>
      <c r="FB47" s="26">
        <v>7.991737948032096E-5</v>
      </c>
      <c r="FF47" s="26">
        <v>13</v>
      </c>
      <c r="FG47" s="26">
        <v>5.4084168368717656E-5</v>
      </c>
      <c r="FH47" s="26">
        <v>-4.4402328785508871E-4</v>
      </c>
      <c r="FI47" s="26">
        <v>0</v>
      </c>
      <c r="FJ47" s="26">
        <v>0</v>
      </c>
      <c r="FK47" s="26">
        <v>0</v>
      </c>
      <c r="FL47" s="26">
        <v>7.434922008542344E-5</v>
      </c>
      <c r="FP47" s="26">
        <v>13</v>
      </c>
      <c r="FQ47" s="26">
        <v>3.6160001764073968E-4</v>
      </c>
      <c r="FR47" s="26">
        <v>-1.1094762157881632E-4</v>
      </c>
      <c r="FS47" s="26">
        <v>0</v>
      </c>
      <c r="FT47" s="26">
        <v>0</v>
      </c>
      <c r="FU47" s="26">
        <v>0</v>
      </c>
      <c r="FV47" s="26">
        <v>1.7205077165272087E-4</v>
      </c>
      <c r="FZ47" s="26">
        <v>13</v>
      </c>
      <c r="GA47" s="26">
        <v>2.2548828565049917E-4</v>
      </c>
      <c r="GB47" s="26">
        <v>-8.9596651378087699E-5</v>
      </c>
      <c r="GC47" s="26">
        <v>0</v>
      </c>
      <c r="GD47" s="26">
        <v>0</v>
      </c>
      <c r="GE47" s="26">
        <v>0</v>
      </c>
      <c r="GF47" s="26">
        <v>1.0874318104470149E-4</v>
      </c>
      <c r="GJ47" s="26">
        <v>13</v>
      </c>
      <c r="GK47" s="26">
        <v>2.0957276865374297E-4</v>
      </c>
      <c r="GL47" s="26">
        <v>-7.5738178566098213E-5</v>
      </c>
      <c r="GM47" s="26">
        <v>0</v>
      </c>
      <c r="GN47" s="26">
        <v>0</v>
      </c>
      <c r="GO47" s="26">
        <v>0</v>
      </c>
      <c r="GP47" s="26">
        <v>1.0053045843960717E-4</v>
      </c>
      <c r="GT47" s="26">
        <v>13</v>
      </c>
      <c r="GU47" s="26">
        <v>1.5369783795904368E-5</v>
      </c>
      <c r="GV47" s="26">
        <v>-1.4329318219097331E-5</v>
      </c>
      <c r="GW47" s="26">
        <v>0</v>
      </c>
      <c r="GX47" s="26">
        <v>0</v>
      </c>
      <c r="GY47" s="26">
        <v>0</v>
      </c>
      <c r="GZ47" s="26">
        <v>1.2995740689802915E-5</v>
      </c>
    </row>
    <row r="48" spans="2:208">
      <c r="B48" s="26">
        <v>14</v>
      </c>
      <c r="C48" s="26">
        <v>-3.6889796319883317E-5</v>
      </c>
      <c r="D48" s="26">
        <v>1.95350032299757E-3</v>
      </c>
      <c r="E48" s="26">
        <v>0</v>
      </c>
      <c r="F48" s="26">
        <v>0</v>
      </c>
      <c r="G48" s="26">
        <v>0</v>
      </c>
      <c r="H48" s="26">
        <v>1.3788522892355104E-6</v>
      </c>
      <c r="L48" s="26">
        <v>14</v>
      </c>
      <c r="M48" s="26">
        <v>3.2670817745383829E-5</v>
      </c>
      <c r="N48" s="26">
        <v>1.3710069470107555E-3</v>
      </c>
      <c r="O48" s="26">
        <v>0</v>
      </c>
      <c r="P48" s="26">
        <v>0</v>
      </c>
      <c r="Q48" s="26">
        <v>0</v>
      </c>
      <c r="R48" s="26">
        <v>-1.0424329275338096E-6</v>
      </c>
      <c r="V48" s="26">
        <v>14</v>
      </c>
      <c r="W48" s="26">
        <v>-1.3092896722355363E-7</v>
      </c>
      <c r="X48" s="26">
        <v>-7.4368377681821585E-4</v>
      </c>
      <c r="Y48" s="26">
        <v>0</v>
      </c>
      <c r="Z48" s="26">
        <v>0</v>
      </c>
      <c r="AA48" s="26">
        <v>0</v>
      </c>
      <c r="AB48" s="26">
        <v>-3.8366245291854284E-8</v>
      </c>
      <c r="AF48" s="26">
        <v>14</v>
      </c>
      <c r="AG48" s="26">
        <v>-1.6893334020551265E-7</v>
      </c>
      <c r="AH48" s="26">
        <v>-9.5993070863187313E-4</v>
      </c>
      <c r="AI48" s="26">
        <v>0</v>
      </c>
      <c r="AJ48" s="26">
        <v>0</v>
      </c>
      <c r="AK48" s="26">
        <v>0</v>
      </c>
      <c r="AL48" s="26">
        <v>-4.952460130880354E-8</v>
      </c>
      <c r="AP48" s="26">
        <v>14</v>
      </c>
      <c r="AQ48" s="26">
        <v>-7.6500364230014384E-6</v>
      </c>
      <c r="AR48" s="26">
        <v>1.9784267351496965E-4</v>
      </c>
      <c r="AS48" s="26">
        <v>0</v>
      </c>
      <c r="AT48" s="26">
        <v>0</v>
      </c>
      <c r="AU48" s="26">
        <v>0</v>
      </c>
      <c r="AV48" s="26">
        <v>-9.1097814447493874E-7</v>
      </c>
      <c r="AZ48" s="26">
        <v>14</v>
      </c>
      <c r="BA48" s="26">
        <v>-8.6675163402105682E-6</v>
      </c>
      <c r="BB48" s="26">
        <v>2.241559122921899E-4</v>
      </c>
      <c r="BC48" s="26">
        <v>0</v>
      </c>
      <c r="BD48" s="26">
        <v>0</v>
      </c>
      <c r="BE48" s="26">
        <v>0</v>
      </c>
      <c r="BF48" s="26">
        <v>-1.0321413128622225E-6</v>
      </c>
      <c r="BJ48" s="26">
        <v>14</v>
      </c>
      <c r="BK48" s="26">
        <v>-9.0041194198420271E-6</v>
      </c>
      <c r="BL48" s="26">
        <v>2.32860998949036E-4</v>
      </c>
      <c r="BM48" s="26">
        <v>0</v>
      </c>
      <c r="BN48" s="26">
        <v>0</v>
      </c>
      <c r="BO48" s="26">
        <v>0</v>
      </c>
      <c r="BP48" s="26">
        <v>-1.072224563358759E-6</v>
      </c>
      <c r="BT48" s="26">
        <v>14</v>
      </c>
      <c r="BU48" s="26">
        <v>-9.0041194198420271E-6</v>
      </c>
      <c r="BV48" s="26">
        <v>2.32860998949036E-4</v>
      </c>
      <c r="BW48" s="26">
        <v>0</v>
      </c>
      <c r="BX48" s="26">
        <v>0</v>
      </c>
      <c r="BY48" s="26">
        <v>0</v>
      </c>
      <c r="BZ48" s="26">
        <v>-1.072224563358759E-6</v>
      </c>
      <c r="CD48" s="26">
        <v>14</v>
      </c>
      <c r="CE48" s="26">
        <v>-9.0041194198420271E-6</v>
      </c>
      <c r="CF48" s="26">
        <v>2.32860998949036E-4</v>
      </c>
      <c r="CG48" s="26">
        <v>0</v>
      </c>
      <c r="CH48" s="26">
        <v>0</v>
      </c>
      <c r="CI48" s="26">
        <v>0</v>
      </c>
      <c r="CJ48" s="26">
        <v>-1.072224563358759E-6</v>
      </c>
      <c r="CN48" s="26">
        <v>14</v>
      </c>
      <c r="CO48" s="26">
        <v>7.9912515502655879E-6</v>
      </c>
      <c r="CP48" s="26">
        <v>6.2399369198828936E-5</v>
      </c>
      <c r="CQ48" s="26">
        <v>0</v>
      </c>
      <c r="CR48" s="26">
        <v>0</v>
      </c>
      <c r="CS48" s="26">
        <v>0</v>
      </c>
      <c r="CT48" s="26">
        <v>1.0717155419115443E-5</v>
      </c>
      <c r="CX48" s="26">
        <v>14</v>
      </c>
      <c r="CY48" s="26">
        <v>9.9890648925793357E-6</v>
      </c>
      <c r="CZ48" s="26">
        <v>7.7999204222578555E-5</v>
      </c>
      <c r="DA48" s="26">
        <v>0</v>
      </c>
      <c r="DB48" s="26">
        <v>0</v>
      </c>
      <c r="DC48" s="26">
        <v>0</v>
      </c>
      <c r="DD48" s="26">
        <v>1.3396444046520628E-5</v>
      </c>
      <c r="DH48" s="26">
        <v>14</v>
      </c>
      <c r="DI48" s="26">
        <v>3.2400290365330875E-5</v>
      </c>
      <c r="DJ48" s="26">
        <v>2.7515832334756851E-4</v>
      </c>
      <c r="DK48" s="26">
        <v>0</v>
      </c>
      <c r="DL48" s="26">
        <v>0</v>
      </c>
      <c r="DM48" s="26">
        <v>0</v>
      </c>
      <c r="DN48" s="26">
        <v>4.5322096411837265E-5</v>
      </c>
      <c r="DR48" s="26">
        <v>14</v>
      </c>
      <c r="DS48" s="26">
        <v>3.7503003113670275E-5</v>
      </c>
      <c r="DT48" s="26">
        <v>3.1721880077384412E-4</v>
      </c>
      <c r="DU48" s="26">
        <v>0</v>
      </c>
      <c r="DV48" s="26">
        <v>0</v>
      </c>
      <c r="DW48" s="26">
        <v>0</v>
      </c>
      <c r="DX48" s="26">
        <v>5.2352366765262559E-5</v>
      </c>
      <c r="EB48" s="26">
        <v>14</v>
      </c>
      <c r="EC48" s="26">
        <v>5.237842196947895E-5</v>
      </c>
      <c r="ED48" s="26">
        <v>4.3115671724081039E-4</v>
      </c>
      <c r="EE48" s="26">
        <v>0</v>
      </c>
      <c r="EF48" s="26">
        <v>0</v>
      </c>
      <c r="EG48" s="26">
        <v>0</v>
      </c>
      <c r="EH48" s="26">
        <v>7.2114984504878521E-5</v>
      </c>
      <c r="EL48" s="26">
        <v>14</v>
      </c>
      <c r="EM48" s="26">
        <v>5.4745458328397945E-5</v>
      </c>
      <c r="EN48" s="26">
        <v>4.4963922118768096E-4</v>
      </c>
      <c r="EO48" s="26">
        <v>0</v>
      </c>
      <c r="EP48" s="26">
        <v>0</v>
      </c>
      <c r="EQ48" s="26">
        <v>0</v>
      </c>
      <c r="ER48" s="26">
        <v>7.5289412052370608E-5</v>
      </c>
      <c r="EV48" s="26">
        <v>14</v>
      </c>
      <c r="EW48" s="26">
        <v>5.8037363487528637E-5</v>
      </c>
      <c r="EX48" s="26">
        <v>4.7755995183251798E-4</v>
      </c>
      <c r="EY48" s="26">
        <v>0</v>
      </c>
      <c r="EZ48" s="26">
        <v>0</v>
      </c>
      <c r="FA48" s="26">
        <v>0</v>
      </c>
      <c r="FB48" s="26">
        <v>7.9891171480994672E-5</v>
      </c>
      <c r="FF48" s="26">
        <v>14</v>
      </c>
      <c r="FG48" s="26">
        <v>5.4026244470151141E-5</v>
      </c>
      <c r="FH48" s="26">
        <v>4.4402328785508871E-4</v>
      </c>
      <c r="FI48" s="26">
        <v>0</v>
      </c>
      <c r="FJ48" s="26">
        <v>0</v>
      </c>
      <c r="FK48" s="26">
        <v>0</v>
      </c>
      <c r="FL48" s="26">
        <v>7.4324867455288768E-5</v>
      </c>
      <c r="FP48" s="26">
        <v>14</v>
      </c>
      <c r="FQ48" s="26">
        <v>3.6169798113405704E-4</v>
      </c>
      <c r="FR48" s="26">
        <v>4.6724607818759978E-4</v>
      </c>
      <c r="FS48" s="26">
        <v>0</v>
      </c>
      <c r="FT48" s="26">
        <v>0</v>
      </c>
      <c r="FU48" s="26">
        <v>0</v>
      </c>
      <c r="FV48" s="26">
        <v>1.7208000645041466E-4</v>
      </c>
      <c r="FZ48" s="26">
        <v>14</v>
      </c>
      <c r="GA48" s="26">
        <v>2.2554521274287254E-4</v>
      </c>
      <c r="GB48" s="26">
        <v>3.1459139427170157E-4</v>
      </c>
      <c r="GC48" s="26">
        <v>0</v>
      </c>
      <c r="GD48" s="26">
        <v>0</v>
      </c>
      <c r="GE48" s="26">
        <v>0</v>
      </c>
      <c r="GF48" s="26">
        <v>1.0876019223360345E-4</v>
      </c>
      <c r="GJ48" s="26">
        <v>14</v>
      </c>
      <c r="GK48" s="26">
        <v>2.0962720736861229E-4</v>
      </c>
      <c r="GL48" s="26">
        <v>2.8380501316860318E-4</v>
      </c>
      <c r="GM48" s="26">
        <v>0</v>
      </c>
      <c r="GN48" s="26">
        <v>0</v>
      </c>
      <c r="GO48" s="26">
        <v>0</v>
      </c>
      <c r="GP48" s="26">
        <v>1.0054671292891726E-4</v>
      </c>
      <c r="GT48" s="26">
        <v>14</v>
      </c>
      <c r="GU48" s="26">
        <v>1.5376825103885494E-5</v>
      </c>
      <c r="GV48" s="26">
        <v>4.5108557969797403E-5</v>
      </c>
      <c r="GW48" s="26">
        <v>0</v>
      </c>
      <c r="GX48" s="26">
        <v>0</v>
      </c>
      <c r="GY48" s="26">
        <v>0</v>
      </c>
      <c r="GZ48" s="26">
        <v>1.2998793863516767E-5</v>
      </c>
    </row>
    <row r="49" spans="2:208">
      <c r="B49" s="26">
        <v>15</v>
      </c>
      <c r="C49" s="26">
        <v>1.8336866105528316E-6</v>
      </c>
      <c r="D49" s="26">
        <v>1.3300883583724499E-3</v>
      </c>
      <c r="E49" s="26">
        <v>0</v>
      </c>
      <c r="F49" s="26">
        <v>0</v>
      </c>
      <c r="G49" s="26">
        <v>0</v>
      </c>
      <c r="H49" s="26">
        <v>-6.2541039369534701E-6</v>
      </c>
      <c r="L49" s="26">
        <v>15</v>
      </c>
      <c r="M49" s="26">
        <v>-1.3170317743060878E-6</v>
      </c>
      <c r="N49" s="26">
        <v>1.6719965497031808E-3</v>
      </c>
      <c r="O49" s="26">
        <v>0</v>
      </c>
      <c r="P49" s="26">
        <v>0</v>
      </c>
      <c r="Q49" s="26">
        <v>0</v>
      </c>
      <c r="R49" s="26">
        <v>5.3747025958728045E-6</v>
      </c>
      <c r="V49" s="26">
        <v>15</v>
      </c>
      <c r="W49" s="26">
        <v>-6.7786871227326628E-8</v>
      </c>
      <c r="X49" s="26">
        <v>-6.8511191057041287E-4</v>
      </c>
      <c r="Y49" s="26">
        <v>0</v>
      </c>
      <c r="Z49" s="26">
        <v>0</v>
      </c>
      <c r="AA49" s="26">
        <v>0</v>
      </c>
      <c r="AB49" s="26">
        <v>1.7532359564143007E-8</v>
      </c>
      <c r="AF49" s="26">
        <v>15</v>
      </c>
      <c r="AG49" s="26">
        <v>-8.7500787060434959E-8</v>
      </c>
      <c r="AH49" s="26">
        <v>-8.8432652410119772E-4</v>
      </c>
      <c r="AI49" s="26">
        <v>0</v>
      </c>
      <c r="AJ49" s="26">
        <v>0</v>
      </c>
      <c r="AK49" s="26">
        <v>0</v>
      </c>
      <c r="AL49" s="26">
        <v>2.2641541974621759E-8</v>
      </c>
      <c r="AP49" s="26">
        <v>15</v>
      </c>
      <c r="AQ49" s="26">
        <v>2.1829719116794877E-6</v>
      </c>
      <c r="AR49" s="26">
        <v>8.1456331827212125E-5</v>
      </c>
      <c r="AS49" s="26">
        <v>0</v>
      </c>
      <c r="AT49" s="26">
        <v>0</v>
      </c>
      <c r="AU49" s="26">
        <v>0</v>
      </c>
      <c r="AV49" s="26">
        <v>-1.0814462712005479E-6</v>
      </c>
      <c r="AZ49" s="26">
        <v>15</v>
      </c>
      <c r="BA49" s="26">
        <v>2.473314225426293E-6</v>
      </c>
      <c r="BB49" s="26">
        <v>9.2289883468765765E-5</v>
      </c>
      <c r="BC49" s="26">
        <v>0</v>
      </c>
      <c r="BD49" s="26">
        <v>0</v>
      </c>
      <c r="BE49" s="26">
        <v>0</v>
      </c>
      <c r="BF49" s="26">
        <v>-1.2252821761649102E-6</v>
      </c>
      <c r="BJ49" s="26">
        <v>15</v>
      </c>
      <c r="BK49" s="26">
        <v>2.569365506133181E-6</v>
      </c>
      <c r="BL49" s="26">
        <v>9.5873947429936379E-5</v>
      </c>
      <c r="BM49" s="26">
        <v>0</v>
      </c>
      <c r="BN49" s="26">
        <v>0</v>
      </c>
      <c r="BO49" s="26">
        <v>0</v>
      </c>
      <c r="BP49" s="26">
        <v>-1.2728661431538058E-6</v>
      </c>
      <c r="BT49" s="26">
        <v>15</v>
      </c>
      <c r="BU49" s="26">
        <v>2.569365506133181E-6</v>
      </c>
      <c r="BV49" s="26">
        <v>9.5873947429936379E-5</v>
      </c>
      <c r="BW49" s="26">
        <v>0</v>
      </c>
      <c r="BX49" s="26">
        <v>0</v>
      </c>
      <c r="BY49" s="26">
        <v>0</v>
      </c>
      <c r="BZ49" s="26">
        <v>-1.2728661431538058E-6</v>
      </c>
      <c r="CD49" s="26">
        <v>15</v>
      </c>
      <c r="CE49" s="26">
        <v>2.569365506133181E-6</v>
      </c>
      <c r="CF49" s="26">
        <v>9.5873947429936379E-5</v>
      </c>
      <c r="CG49" s="26">
        <v>0</v>
      </c>
      <c r="CH49" s="26">
        <v>0</v>
      </c>
      <c r="CI49" s="26">
        <v>0</v>
      </c>
      <c r="CJ49" s="26">
        <v>-1.2728661431538058E-6</v>
      </c>
      <c r="CN49" s="26">
        <v>15</v>
      </c>
      <c r="CO49" s="26">
        <v>-6.9140410232648719E-6</v>
      </c>
      <c r="CP49" s="26">
        <v>-5.3209529141895473E-5</v>
      </c>
      <c r="CQ49" s="26">
        <v>0</v>
      </c>
      <c r="CR49" s="26">
        <v>0</v>
      </c>
      <c r="CS49" s="26">
        <v>0</v>
      </c>
      <c r="CT49" s="26">
        <v>-1.0832352472789353E-6</v>
      </c>
      <c r="CX49" s="26">
        <v>15</v>
      </c>
      <c r="CY49" s="26">
        <v>-8.6425507106469013E-6</v>
      </c>
      <c r="CZ49" s="26">
        <v>-6.6511907789390534E-5</v>
      </c>
      <c r="DA49" s="26">
        <v>0</v>
      </c>
      <c r="DB49" s="26">
        <v>0</v>
      </c>
      <c r="DC49" s="26">
        <v>0</v>
      </c>
      <c r="DD49" s="26">
        <v>-1.354044115942088E-6</v>
      </c>
      <c r="DH49" s="26">
        <v>15</v>
      </c>
      <c r="DI49" s="26">
        <v>-2.8924589059897698E-5</v>
      </c>
      <c r="DJ49" s="26">
        <v>-2.3463449906557798E-4</v>
      </c>
      <c r="DK49" s="26">
        <v>0</v>
      </c>
      <c r="DL49" s="26">
        <v>0</v>
      </c>
      <c r="DM49" s="26">
        <v>0</v>
      </c>
      <c r="DN49" s="26">
        <v>-4.8148558562388644E-6</v>
      </c>
      <c r="DR49" s="26">
        <v>15</v>
      </c>
      <c r="DS49" s="26">
        <v>-3.3428641472710297E-5</v>
      </c>
      <c r="DT49" s="26">
        <v>-2.7050054632127285E-4</v>
      </c>
      <c r="DU49" s="26">
        <v>0</v>
      </c>
      <c r="DV49" s="26">
        <v>0</v>
      </c>
      <c r="DW49" s="26">
        <v>0</v>
      </c>
      <c r="DX49" s="26">
        <v>-5.5488321777374949E-6</v>
      </c>
      <c r="EB49" s="26">
        <v>15</v>
      </c>
      <c r="EC49" s="26">
        <v>-4.6209690481191501E-5</v>
      </c>
      <c r="ED49" s="26">
        <v>-3.6765832919627428E-4</v>
      </c>
      <c r="EE49" s="26">
        <v>0</v>
      </c>
      <c r="EF49" s="26">
        <v>0</v>
      </c>
      <c r="EG49" s="26">
        <v>0</v>
      </c>
      <c r="EH49" s="26">
        <v>-7.5229440881230403E-6</v>
      </c>
      <c r="EL49" s="26">
        <v>15</v>
      </c>
      <c r="EM49" s="26">
        <v>-4.8257639718940482E-5</v>
      </c>
      <c r="EN49" s="26">
        <v>-3.8341883919201791E-4</v>
      </c>
      <c r="EO49" s="26">
        <v>0</v>
      </c>
      <c r="EP49" s="26">
        <v>0</v>
      </c>
      <c r="EQ49" s="26">
        <v>0</v>
      </c>
      <c r="ER49" s="26">
        <v>-7.8437942647724412E-6</v>
      </c>
      <c r="EV49" s="26">
        <v>15</v>
      </c>
      <c r="EW49" s="26">
        <v>-5.1194972911616787E-5</v>
      </c>
      <c r="EX49" s="26">
        <v>-4.0722754783928394E-4</v>
      </c>
      <c r="EY49" s="26">
        <v>0</v>
      </c>
      <c r="EZ49" s="26">
        <v>0</v>
      </c>
      <c r="FA49" s="26">
        <v>0</v>
      </c>
      <c r="FB49" s="26">
        <v>-8.3323084254516289E-6</v>
      </c>
      <c r="FF49" s="26">
        <v>15</v>
      </c>
      <c r="FG49" s="26">
        <v>-4.7635374357923865E-5</v>
      </c>
      <c r="FH49" s="26">
        <v>-3.7862997851334512E-4</v>
      </c>
      <c r="FI49" s="26">
        <v>0</v>
      </c>
      <c r="FJ49" s="26">
        <v>0</v>
      </c>
      <c r="FK49" s="26">
        <v>0</v>
      </c>
      <c r="FL49" s="26">
        <v>-7.7463027992052957E-6</v>
      </c>
      <c r="FP49" s="26">
        <v>15</v>
      </c>
      <c r="FQ49" s="26">
        <v>-2.8262779233045876E-4</v>
      </c>
      <c r="FR49" s="26">
        <v>-1.0220956755802035E-4</v>
      </c>
      <c r="FS49" s="26">
        <v>0</v>
      </c>
      <c r="FT49" s="26">
        <v>0</v>
      </c>
      <c r="FU49" s="26">
        <v>0</v>
      </c>
      <c r="FV49" s="26">
        <v>4.2771276639541611E-5</v>
      </c>
      <c r="FZ49" s="26">
        <v>15</v>
      </c>
      <c r="GA49" s="26">
        <v>-1.7833863967098296E-4</v>
      </c>
      <c r="GB49" s="26">
        <v>-8.2540173025336117E-5</v>
      </c>
      <c r="GC49" s="26">
        <v>0</v>
      </c>
      <c r="GD49" s="26">
        <v>0</v>
      </c>
      <c r="GE49" s="26">
        <v>0</v>
      </c>
      <c r="GF49" s="26">
        <v>2.6531743060331792E-5</v>
      </c>
      <c r="GJ49" s="26">
        <v>15</v>
      </c>
      <c r="GK49" s="26">
        <v>-1.6497683827765286E-4</v>
      </c>
      <c r="GL49" s="26">
        <v>-6.9773166615050286E-5</v>
      </c>
      <c r="GM49" s="26">
        <v>0</v>
      </c>
      <c r="GN49" s="26">
        <v>0</v>
      </c>
      <c r="GO49" s="26">
        <v>0</v>
      </c>
      <c r="GP49" s="26">
        <v>2.4710692741791718E-5</v>
      </c>
      <c r="GT49" s="26">
        <v>15</v>
      </c>
      <c r="GU49" s="26">
        <v>-9.6654694061726332E-6</v>
      </c>
      <c r="GV49" s="26">
        <v>-1.2218974006827921E-5</v>
      </c>
      <c r="GW49" s="26">
        <v>0</v>
      </c>
      <c r="GX49" s="26">
        <v>0</v>
      </c>
      <c r="GY49" s="26">
        <v>0</v>
      </c>
      <c r="GZ49" s="26">
        <v>-3.6047387652615726E-7</v>
      </c>
    </row>
    <row r="50" spans="2:208">
      <c r="B50" s="26">
        <v>16</v>
      </c>
      <c r="C50" s="26">
        <v>1.5573192513329559E-6</v>
      </c>
      <c r="D50" s="26">
        <v>1.799645833671093E-3</v>
      </c>
      <c r="E50" s="26">
        <v>0</v>
      </c>
      <c r="F50" s="26">
        <v>0</v>
      </c>
      <c r="G50" s="26">
        <v>0</v>
      </c>
      <c r="H50" s="26">
        <v>-6.182144716149196E-6</v>
      </c>
      <c r="L50" s="26">
        <v>16</v>
      </c>
      <c r="M50" s="26">
        <v>-1.6367173429898685E-6</v>
      </c>
      <c r="N50" s="26">
        <v>1.263028709217906E-3</v>
      </c>
      <c r="O50" s="26">
        <v>0</v>
      </c>
      <c r="P50" s="26">
        <v>0</v>
      </c>
      <c r="Q50" s="26">
        <v>0</v>
      </c>
      <c r="R50" s="26">
        <v>5.4579409152211156E-6</v>
      </c>
      <c r="V50" s="26">
        <v>16</v>
      </c>
      <c r="W50" s="26">
        <v>6.7855950192097225E-8</v>
      </c>
      <c r="X50" s="26">
        <v>-6.8511249264702201E-4</v>
      </c>
      <c r="Y50" s="26">
        <v>0</v>
      </c>
      <c r="Z50" s="26">
        <v>0</v>
      </c>
      <c r="AA50" s="26">
        <v>0</v>
      </c>
      <c r="AB50" s="26">
        <v>-1.7785675154868841E-8</v>
      </c>
      <c r="AF50" s="26">
        <v>16</v>
      </c>
      <c r="AG50" s="26">
        <v>8.7583849506245315E-8</v>
      </c>
      <c r="AH50" s="26">
        <v>-8.8432821212336421E-4</v>
      </c>
      <c r="AI50" s="26">
        <v>0</v>
      </c>
      <c r="AJ50" s="26">
        <v>0</v>
      </c>
      <c r="AK50" s="26">
        <v>0</v>
      </c>
      <c r="AL50" s="26">
        <v>-2.2946167632653669E-8</v>
      </c>
      <c r="AP50" s="26">
        <v>16</v>
      </c>
      <c r="AQ50" s="26">
        <v>2.1652354007528629E-6</v>
      </c>
      <c r="AR50" s="26">
        <v>1.687054755166173E-4</v>
      </c>
      <c r="AS50" s="26">
        <v>0</v>
      </c>
      <c r="AT50" s="26">
        <v>0</v>
      </c>
      <c r="AU50" s="26">
        <v>0</v>
      </c>
      <c r="AV50" s="26">
        <v>-1.0784907544802991E-6</v>
      </c>
      <c r="AZ50" s="26">
        <v>16</v>
      </c>
      <c r="BA50" s="26">
        <v>2.4532189399906201E-6</v>
      </c>
      <c r="BB50" s="26">
        <v>1.9114345195703208E-4</v>
      </c>
      <c r="BC50" s="26">
        <v>0</v>
      </c>
      <c r="BD50" s="26">
        <v>0</v>
      </c>
      <c r="BE50" s="26">
        <v>0</v>
      </c>
      <c r="BF50" s="26">
        <v>-1.22193353035982E-6</v>
      </c>
      <c r="BJ50" s="26">
        <v>16</v>
      </c>
      <c r="BK50" s="26">
        <v>2.5484896468697116E-6</v>
      </c>
      <c r="BL50" s="26">
        <v>1.9856650033034384E-4</v>
      </c>
      <c r="BM50" s="26">
        <v>0</v>
      </c>
      <c r="BN50" s="26">
        <v>0</v>
      </c>
      <c r="BO50" s="26">
        <v>0</v>
      </c>
      <c r="BP50" s="26">
        <v>-1.269387439606362E-6</v>
      </c>
      <c r="BT50" s="26">
        <v>16</v>
      </c>
      <c r="BU50" s="26">
        <v>2.5484896468697116E-6</v>
      </c>
      <c r="BV50" s="26">
        <v>1.9856650033034384E-4</v>
      </c>
      <c r="BW50" s="26">
        <v>0</v>
      </c>
      <c r="BX50" s="26">
        <v>0</v>
      </c>
      <c r="BY50" s="26">
        <v>0</v>
      </c>
      <c r="BZ50" s="26">
        <v>-1.269387439606362E-6</v>
      </c>
      <c r="CD50" s="26">
        <v>16</v>
      </c>
      <c r="CE50" s="26">
        <v>2.5484896468697116E-6</v>
      </c>
      <c r="CF50" s="26">
        <v>1.9856650033034384E-4</v>
      </c>
      <c r="CG50" s="26">
        <v>0</v>
      </c>
      <c r="CH50" s="26">
        <v>0</v>
      </c>
      <c r="CI50" s="26">
        <v>0</v>
      </c>
      <c r="CJ50" s="26">
        <v>-1.269387439606362E-6</v>
      </c>
      <c r="CN50" s="26">
        <v>16</v>
      </c>
      <c r="CO50" s="26">
        <v>-6.9106458795431536E-6</v>
      </c>
      <c r="CP50" s="26">
        <v>5.3209529141895473E-5</v>
      </c>
      <c r="CQ50" s="26">
        <v>0</v>
      </c>
      <c r="CR50" s="26">
        <v>0</v>
      </c>
      <c r="CS50" s="26">
        <v>0</v>
      </c>
      <c r="CT50" s="26">
        <v>-1.0838151638381532E-6</v>
      </c>
      <c r="CX50" s="26">
        <v>16</v>
      </c>
      <c r="CY50" s="26">
        <v>-8.6383070083684288E-6</v>
      </c>
      <c r="CZ50" s="26">
        <v>6.6511907789390534E-5</v>
      </c>
      <c r="DA50" s="26">
        <v>0</v>
      </c>
      <c r="DB50" s="26">
        <v>0</v>
      </c>
      <c r="DC50" s="26">
        <v>0</v>
      </c>
      <c r="DD50" s="26">
        <v>-1.3547688695325633E-6</v>
      </c>
      <c r="DH50" s="26">
        <v>16</v>
      </c>
      <c r="DI50" s="26">
        <v>-2.8909073080285452E-5</v>
      </c>
      <c r="DJ50" s="26">
        <v>2.3463449906557798E-4</v>
      </c>
      <c r="DK50" s="26">
        <v>0</v>
      </c>
      <c r="DL50" s="26">
        <v>0</v>
      </c>
      <c r="DM50" s="26">
        <v>0</v>
      </c>
      <c r="DN50" s="26">
        <v>-4.8175015763263218E-6</v>
      </c>
      <c r="DR50" s="26">
        <v>16</v>
      </c>
      <c r="DS50" s="26">
        <v>-3.3410782634746283E-5</v>
      </c>
      <c r="DT50" s="26">
        <v>2.7050054632127285E-4</v>
      </c>
      <c r="DU50" s="26">
        <v>0</v>
      </c>
      <c r="DV50" s="26">
        <v>0</v>
      </c>
      <c r="DW50" s="26">
        <v>0</v>
      </c>
      <c r="DX50" s="26">
        <v>-5.5518776207463816E-6</v>
      </c>
      <c r="EB50" s="26">
        <v>16</v>
      </c>
      <c r="EC50" s="26">
        <v>-4.618568709702231E-5</v>
      </c>
      <c r="ED50" s="26">
        <v>3.6765832919627428E-4</v>
      </c>
      <c r="EE50" s="26">
        <v>0</v>
      </c>
      <c r="EF50" s="26">
        <v>0</v>
      </c>
      <c r="EG50" s="26">
        <v>0</v>
      </c>
      <c r="EH50" s="26">
        <v>-7.5270390880177729E-6</v>
      </c>
      <c r="EL50" s="26">
        <v>16</v>
      </c>
      <c r="EM50" s="26">
        <v>-4.8232628614641726E-5</v>
      </c>
      <c r="EN50" s="26">
        <v>3.8341883919201791E-4</v>
      </c>
      <c r="EO50" s="26">
        <v>0</v>
      </c>
      <c r="EP50" s="26">
        <v>0</v>
      </c>
      <c r="EQ50" s="26">
        <v>0</v>
      </c>
      <c r="ER50" s="26">
        <v>-7.8480616139131598E-6</v>
      </c>
      <c r="EV50" s="26">
        <v>16</v>
      </c>
      <c r="EW50" s="26">
        <v>-5.1168390200473368E-5</v>
      </c>
      <c r="EX50" s="26">
        <v>4.0722754783928394E-4</v>
      </c>
      <c r="EY50" s="26">
        <v>0</v>
      </c>
      <c r="EZ50" s="26">
        <v>0</v>
      </c>
      <c r="FA50" s="26">
        <v>0</v>
      </c>
      <c r="FB50" s="26">
        <v>-8.3368440755293705E-6</v>
      </c>
      <c r="FF50" s="26">
        <v>16</v>
      </c>
      <c r="FG50" s="26">
        <v>-4.7610668843844905E-5</v>
      </c>
      <c r="FH50" s="26">
        <v>3.7862997851334512E-4</v>
      </c>
      <c r="FI50" s="26">
        <v>0</v>
      </c>
      <c r="FJ50" s="26">
        <v>0</v>
      </c>
      <c r="FK50" s="26">
        <v>0</v>
      </c>
      <c r="FL50" s="26">
        <v>-7.7505183071480133E-6</v>
      </c>
      <c r="FP50" s="26">
        <v>16</v>
      </c>
      <c r="FQ50" s="26">
        <v>-2.8267930611036718E-4</v>
      </c>
      <c r="FR50" s="26">
        <v>4.3044655467383564E-4</v>
      </c>
      <c r="FS50" s="26">
        <v>0</v>
      </c>
      <c r="FT50" s="26">
        <v>0</v>
      </c>
      <c r="FU50" s="26">
        <v>0</v>
      </c>
      <c r="FV50" s="26">
        <v>4.2784533434314653E-5</v>
      </c>
      <c r="FZ50" s="26">
        <v>16</v>
      </c>
      <c r="GA50" s="26">
        <v>-1.7836861661635339E-4</v>
      </c>
      <c r="GB50" s="26">
        <v>2.8981469222344458E-4</v>
      </c>
      <c r="GC50" s="26">
        <v>0</v>
      </c>
      <c r="GD50" s="26">
        <v>0</v>
      </c>
      <c r="GE50" s="26">
        <v>0</v>
      </c>
      <c r="GF50" s="26">
        <v>2.6539446480455808E-5</v>
      </c>
      <c r="GJ50" s="26">
        <v>16</v>
      </c>
      <c r="GK50" s="26">
        <v>-1.6500549099873751E-4</v>
      </c>
      <c r="GL50" s="26">
        <v>2.6145300944335759E-4</v>
      </c>
      <c r="GM50" s="26">
        <v>0</v>
      </c>
      <c r="GN50" s="26">
        <v>0</v>
      </c>
      <c r="GO50" s="26">
        <v>0</v>
      </c>
      <c r="GP50" s="26">
        <v>2.4718059648876078E-5</v>
      </c>
      <c r="GT50" s="26">
        <v>16</v>
      </c>
      <c r="GU50" s="26">
        <v>-9.6685162134235725E-6</v>
      </c>
      <c r="GV50" s="26">
        <v>3.8465215766336769E-5</v>
      </c>
      <c r="GW50" s="26">
        <v>0</v>
      </c>
      <c r="GX50" s="26">
        <v>0</v>
      </c>
      <c r="GY50" s="26">
        <v>0</v>
      </c>
      <c r="GZ50" s="26">
        <v>-3.5998226621813956E-7</v>
      </c>
    </row>
    <row r="51" spans="2:208">
      <c r="B51" s="26">
        <v>17</v>
      </c>
      <c r="C51" s="26">
        <v>1.1214842743356712E-5</v>
      </c>
      <c r="D51" s="26">
        <v>1.3237193925306201E-3</v>
      </c>
      <c r="E51" s="26">
        <v>0</v>
      </c>
      <c r="F51" s="26">
        <v>0</v>
      </c>
      <c r="G51" s="26">
        <v>0</v>
      </c>
      <c r="H51" s="26">
        <v>-6.2541039369534701E-6</v>
      </c>
      <c r="L51" s="26">
        <v>17</v>
      </c>
      <c r="M51" s="26">
        <v>-9.37908589548897E-6</v>
      </c>
      <c r="N51" s="26">
        <v>1.663990318775177E-3</v>
      </c>
      <c r="O51" s="26">
        <v>0</v>
      </c>
      <c r="P51" s="26">
        <v>0</v>
      </c>
      <c r="Q51" s="26">
        <v>0</v>
      </c>
      <c r="R51" s="26">
        <v>5.3747025958728045E-6</v>
      </c>
      <c r="V51" s="26">
        <v>17</v>
      </c>
      <c r="W51" s="26">
        <v>-9.4085415014433238E-8</v>
      </c>
      <c r="X51" s="26">
        <v>-6.8183126859366894E-4</v>
      </c>
      <c r="Y51" s="26">
        <v>0</v>
      </c>
      <c r="Z51" s="26">
        <v>0</v>
      </c>
      <c r="AA51" s="26">
        <v>0</v>
      </c>
      <c r="AB51" s="26">
        <v>1.7532359564143007E-8</v>
      </c>
      <c r="AF51" s="26">
        <v>17</v>
      </c>
      <c r="AG51" s="26">
        <v>-1.2146310268690286E-7</v>
      </c>
      <c r="AH51" s="26">
        <v>-8.8009203318506479E-4</v>
      </c>
      <c r="AI51" s="26">
        <v>0</v>
      </c>
      <c r="AJ51" s="26">
        <v>0</v>
      </c>
      <c r="AK51" s="26">
        <v>0</v>
      </c>
      <c r="AL51" s="26">
        <v>2.2641541974621759E-8</v>
      </c>
      <c r="AP51" s="26">
        <v>17</v>
      </c>
      <c r="AQ51" s="26">
        <v>3.8051414321671473E-6</v>
      </c>
      <c r="AR51" s="26">
        <v>8.0679608799982816E-5</v>
      </c>
      <c r="AS51" s="26">
        <v>0</v>
      </c>
      <c r="AT51" s="26">
        <v>0</v>
      </c>
      <c r="AU51" s="26">
        <v>0</v>
      </c>
      <c r="AV51" s="26">
        <v>-1.0814462712005479E-6</v>
      </c>
      <c r="AZ51" s="26">
        <v>17</v>
      </c>
      <c r="BA51" s="26">
        <v>4.3112372622999828E-6</v>
      </c>
      <c r="BB51" s="26">
        <v>9.140985639533028E-5</v>
      </c>
      <c r="BC51" s="26">
        <v>0</v>
      </c>
      <c r="BD51" s="26">
        <v>0</v>
      </c>
      <c r="BE51" s="26">
        <v>0</v>
      </c>
      <c r="BF51" s="26">
        <v>-1.2252821761649102E-6</v>
      </c>
      <c r="BJ51" s="26">
        <v>17</v>
      </c>
      <c r="BK51" s="26">
        <v>4.4786647777073085E-6</v>
      </c>
      <c r="BL51" s="26">
        <v>9.4959745183587074E-5</v>
      </c>
      <c r="BM51" s="26">
        <v>0</v>
      </c>
      <c r="BN51" s="26">
        <v>0</v>
      </c>
      <c r="BO51" s="26">
        <v>0</v>
      </c>
      <c r="BP51" s="26">
        <v>-1.2728661431538058E-6</v>
      </c>
      <c r="BT51" s="26">
        <v>17</v>
      </c>
      <c r="BU51" s="26">
        <v>4.4786647777073085E-6</v>
      </c>
      <c r="BV51" s="26">
        <v>9.4959745183587074E-5</v>
      </c>
      <c r="BW51" s="26">
        <v>0</v>
      </c>
      <c r="BX51" s="26">
        <v>0</v>
      </c>
      <c r="BY51" s="26">
        <v>0</v>
      </c>
      <c r="BZ51" s="26">
        <v>-1.2728661431538058E-6</v>
      </c>
      <c r="CD51" s="26">
        <v>17</v>
      </c>
      <c r="CE51" s="26">
        <v>4.4786647777073085E-6</v>
      </c>
      <c r="CF51" s="26">
        <v>9.4959745183587074E-5</v>
      </c>
      <c r="CG51" s="26">
        <v>0</v>
      </c>
      <c r="CH51" s="26">
        <v>0</v>
      </c>
      <c r="CI51" s="26">
        <v>0</v>
      </c>
      <c r="CJ51" s="26">
        <v>-1.2728661431538058E-6</v>
      </c>
      <c r="CN51" s="26">
        <v>17</v>
      </c>
      <c r="CO51" s="26">
        <v>-5.2891878112859558E-6</v>
      </c>
      <c r="CP51" s="26">
        <v>-5.2702151151606813E-5</v>
      </c>
      <c r="CQ51" s="26">
        <v>0</v>
      </c>
      <c r="CR51" s="26">
        <v>0</v>
      </c>
      <c r="CS51" s="26">
        <v>0</v>
      </c>
      <c r="CT51" s="26">
        <v>-1.0832352472789353E-6</v>
      </c>
      <c r="CX51" s="26">
        <v>17</v>
      </c>
      <c r="CY51" s="26">
        <v>-6.6114848777942825E-6</v>
      </c>
      <c r="CZ51" s="26">
        <v>-6.5877691667992622E-5</v>
      </c>
      <c r="DA51" s="26">
        <v>0</v>
      </c>
      <c r="DB51" s="26">
        <v>0</v>
      </c>
      <c r="DC51" s="26">
        <v>0</v>
      </c>
      <c r="DD51" s="26">
        <v>-1.354044115942088E-6</v>
      </c>
      <c r="DH51" s="26">
        <v>17</v>
      </c>
      <c r="DI51" s="26">
        <v>-2.1702306185034104E-5</v>
      </c>
      <c r="DJ51" s="26">
        <v>-2.3239715665113181E-4</v>
      </c>
      <c r="DK51" s="26">
        <v>0</v>
      </c>
      <c r="DL51" s="26">
        <v>0</v>
      </c>
      <c r="DM51" s="26">
        <v>0</v>
      </c>
      <c r="DN51" s="26">
        <v>-4.8148558562388644E-6</v>
      </c>
      <c r="DR51" s="26">
        <v>17</v>
      </c>
      <c r="DS51" s="26">
        <v>-2.510539343347773E-5</v>
      </c>
      <c r="DT51" s="26">
        <v>-2.6792119024321437E-4</v>
      </c>
      <c r="DU51" s="26">
        <v>0</v>
      </c>
      <c r="DV51" s="26">
        <v>0</v>
      </c>
      <c r="DW51" s="26">
        <v>0</v>
      </c>
      <c r="DX51" s="26">
        <v>-5.5488321777374949E-6</v>
      </c>
      <c r="EB51" s="26">
        <v>17</v>
      </c>
      <c r="EC51" s="26">
        <v>-3.492527685011737E-5</v>
      </c>
      <c r="ED51" s="26">
        <v>-3.6415253998711705E-4</v>
      </c>
      <c r="EE51" s="26">
        <v>0</v>
      </c>
      <c r="EF51" s="26">
        <v>0</v>
      </c>
      <c r="EG51" s="26">
        <v>0</v>
      </c>
      <c r="EH51" s="26">
        <v>-7.5229440881230403E-6</v>
      </c>
      <c r="EL51" s="26">
        <v>17</v>
      </c>
      <c r="EM51" s="26">
        <v>-3.6491946957539767E-5</v>
      </c>
      <c r="EN51" s="26">
        <v>-3.7976275780238211E-4</v>
      </c>
      <c r="EO51" s="26">
        <v>0</v>
      </c>
      <c r="EP51" s="26">
        <v>0</v>
      </c>
      <c r="EQ51" s="26">
        <v>0</v>
      </c>
      <c r="ER51" s="26">
        <v>-7.8437942647724412E-6</v>
      </c>
      <c r="EV51" s="26">
        <v>17</v>
      </c>
      <c r="EW51" s="26">
        <v>-3.8696511182934046E-5</v>
      </c>
      <c r="EX51" s="26">
        <v>-4.0334442746825516E-4</v>
      </c>
      <c r="EY51" s="26">
        <v>0</v>
      </c>
      <c r="EZ51" s="26">
        <v>0</v>
      </c>
      <c r="FA51" s="26">
        <v>0</v>
      </c>
      <c r="FB51" s="26">
        <v>-8.3323084254516289E-6</v>
      </c>
      <c r="FF51" s="26">
        <v>17</v>
      </c>
      <c r="FG51" s="26">
        <v>-3.6015921068610623E-5</v>
      </c>
      <c r="FH51" s="26">
        <v>-3.7501956103369594E-4</v>
      </c>
      <c r="FI51" s="26">
        <v>0</v>
      </c>
      <c r="FJ51" s="26">
        <v>0</v>
      </c>
      <c r="FK51" s="26">
        <v>0</v>
      </c>
      <c r="FL51" s="26">
        <v>-7.7463027992052957E-6</v>
      </c>
      <c r="FP51" s="26">
        <v>17</v>
      </c>
      <c r="FQ51" s="26">
        <v>-3.4678471274673939E-4</v>
      </c>
      <c r="FR51" s="26">
        <v>-1.0172015026910231E-4</v>
      </c>
      <c r="FS51" s="26">
        <v>0</v>
      </c>
      <c r="FT51" s="26">
        <v>0</v>
      </c>
      <c r="FU51" s="26">
        <v>0</v>
      </c>
      <c r="FV51" s="26">
        <v>4.2771276639541611E-5</v>
      </c>
      <c r="FZ51" s="26">
        <v>17</v>
      </c>
      <c r="GA51" s="26">
        <v>-2.1813626517541707E-4</v>
      </c>
      <c r="GB51" s="26">
        <v>-8.2144935731776059E-5</v>
      </c>
      <c r="GC51" s="26">
        <v>0</v>
      </c>
      <c r="GD51" s="26">
        <v>0</v>
      </c>
      <c r="GE51" s="26">
        <v>0</v>
      </c>
      <c r="GF51" s="26">
        <v>2.6531743060331792E-5</v>
      </c>
      <c r="GJ51" s="26">
        <v>17</v>
      </c>
      <c r="GK51" s="26">
        <v>-2.0204288011882454E-4</v>
      </c>
      <c r="GL51" s="26">
        <v>-6.9439061917364597E-5</v>
      </c>
      <c r="GM51" s="26">
        <v>0</v>
      </c>
      <c r="GN51" s="26">
        <v>0</v>
      </c>
      <c r="GO51" s="26">
        <v>0</v>
      </c>
      <c r="GP51" s="26">
        <v>2.4710692741791718E-5</v>
      </c>
      <c r="GT51" s="26">
        <v>17</v>
      </c>
      <c r="GU51" s="26">
        <v>-9.1247584350639954E-6</v>
      </c>
      <c r="GV51" s="26">
        <v>-1.2102460459573194E-5</v>
      </c>
      <c r="GW51" s="26">
        <v>0</v>
      </c>
      <c r="GX51" s="26">
        <v>0</v>
      </c>
      <c r="GY51" s="26">
        <v>0</v>
      </c>
      <c r="GZ51" s="26">
        <v>-3.6047387652615726E-7</v>
      </c>
    </row>
    <row r="52" spans="2:208">
      <c r="B52" s="26">
        <v>18</v>
      </c>
      <c r="C52" s="26">
        <v>1.0830535757122561E-5</v>
      </c>
      <c r="D52" s="26">
        <v>1.7910284223034978E-3</v>
      </c>
      <c r="E52" s="26">
        <v>0</v>
      </c>
      <c r="F52" s="26">
        <v>0</v>
      </c>
      <c r="G52" s="26">
        <v>0</v>
      </c>
      <c r="H52" s="26">
        <v>-6.182144716149196E-6</v>
      </c>
      <c r="L52" s="26">
        <v>18</v>
      </c>
      <c r="M52" s="26">
        <v>-9.8236287158215418E-6</v>
      </c>
      <c r="N52" s="26">
        <v>1.2569808168336749E-3</v>
      </c>
      <c r="O52" s="26">
        <v>0</v>
      </c>
      <c r="P52" s="26">
        <v>0</v>
      </c>
      <c r="Q52" s="26">
        <v>0</v>
      </c>
      <c r="R52" s="26">
        <v>5.4579409152211156E-6</v>
      </c>
      <c r="V52" s="26">
        <v>18</v>
      </c>
      <c r="W52" s="26">
        <v>9.4534463812578906E-8</v>
      </c>
      <c r="X52" s="26">
        <v>-6.8183190887793899E-4</v>
      </c>
      <c r="Y52" s="26">
        <v>0</v>
      </c>
      <c r="Z52" s="26">
        <v>0</v>
      </c>
      <c r="AA52" s="26">
        <v>0</v>
      </c>
      <c r="AB52" s="26">
        <v>-1.7785675154868841E-8</v>
      </c>
      <c r="AF52" s="26">
        <v>18</v>
      </c>
      <c r="AG52" s="26">
        <v>1.2200310095522582E-7</v>
      </c>
      <c r="AH52" s="26">
        <v>-8.8009366299957037E-4</v>
      </c>
      <c r="AI52" s="26">
        <v>0</v>
      </c>
      <c r="AJ52" s="26">
        <v>0</v>
      </c>
      <c r="AK52" s="26">
        <v>0</v>
      </c>
      <c r="AL52" s="26">
        <v>-2.2946167632653669E-8</v>
      </c>
      <c r="AP52" s="26">
        <v>18</v>
      </c>
      <c r="AQ52" s="26">
        <v>3.7829715893167304E-6</v>
      </c>
      <c r="AR52" s="26">
        <v>1.670967903919518E-4</v>
      </c>
      <c r="AS52" s="26">
        <v>0</v>
      </c>
      <c r="AT52" s="26">
        <v>0</v>
      </c>
      <c r="AU52" s="26">
        <v>0</v>
      </c>
      <c r="AV52" s="26">
        <v>-1.0784907544802991E-6</v>
      </c>
      <c r="AZ52" s="26">
        <v>18</v>
      </c>
      <c r="BA52" s="26">
        <v>4.286119292373769E-6</v>
      </c>
      <c r="BB52" s="26">
        <v>1.8932081002276391E-4</v>
      </c>
      <c r="BC52" s="26">
        <v>0</v>
      </c>
      <c r="BD52" s="26">
        <v>0</v>
      </c>
      <c r="BE52" s="26">
        <v>0</v>
      </c>
      <c r="BF52" s="26">
        <v>-1.22193353035982E-6</v>
      </c>
      <c r="BJ52" s="26">
        <v>18</v>
      </c>
      <c r="BK52" s="26">
        <v>4.4525709199660923E-6</v>
      </c>
      <c r="BL52" s="26">
        <v>1.9667307788040489E-4</v>
      </c>
      <c r="BM52" s="26">
        <v>0</v>
      </c>
      <c r="BN52" s="26">
        <v>0</v>
      </c>
      <c r="BO52" s="26">
        <v>0</v>
      </c>
      <c r="BP52" s="26">
        <v>-1.269387439606362E-6</v>
      </c>
      <c r="BT52" s="26">
        <v>18</v>
      </c>
      <c r="BU52" s="26">
        <v>4.4525709199660923E-6</v>
      </c>
      <c r="BV52" s="26">
        <v>1.9667307788040489E-4</v>
      </c>
      <c r="BW52" s="26">
        <v>0</v>
      </c>
      <c r="BX52" s="26">
        <v>0</v>
      </c>
      <c r="BY52" s="26">
        <v>0</v>
      </c>
      <c r="BZ52" s="26">
        <v>-1.269387439606362E-6</v>
      </c>
      <c r="CD52" s="26">
        <v>18</v>
      </c>
      <c r="CE52" s="26">
        <v>4.4525709199660923E-6</v>
      </c>
      <c r="CF52" s="26">
        <v>1.9667307788040489E-4</v>
      </c>
      <c r="CG52" s="26">
        <v>0</v>
      </c>
      <c r="CH52" s="26">
        <v>0</v>
      </c>
      <c r="CI52" s="26">
        <v>0</v>
      </c>
      <c r="CJ52" s="26">
        <v>-1.269387439606362E-6</v>
      </c>
      <c r="CN52" s="26">
        <v>18</v>
      </c>
      <c r="CO52" s="26">
        <v>-5.2849231906293426E-6</v>
      </c>
      <c r="CP52" s="26">
        <v>5.2702151151606813E-5</v>
      </c>
      <c r="CQ52" s="26">
        <v>0</v>
      </c>
      <c r="CR52" s="26">
        <v>0</v>
      </c>
      <c r="CS52" s="26">
        <v>0</v>
      </c>
      <c r="CT52" s="26">
        <v>-1.0838151638381532E-6</v>
      </c>
      <c r="CX52" s="26">
        <v>18</v>
      </c>
      <c r="CY52" s="26">
        <v>-6.6061538745998405E-6</v>
      </c>
      <c r="CZ52" s="26">
        <v>6.5877691667992622E-5</v>
      </c>
      <c r="DA52" s="26">
        <v>0</v>
      </c>
      <c r="DB52" s="26">
        <v>0</v>
      </c>
      <c r="DC52" s="26">
        <v>0</v>
      </c>
      <c r="DD52" s="26">
        <v>-1.3547688695325633E-6</v>
      </c>
      <c r="DH52" s="26">
        <v>18</v>
      </c>
      <c r="DI52" s="26">
        <v>-2.1682819351553917E-5</v>
      </c>
      <c r="DJ52" s="26">
        <v>2.3239715665113181E-4</v>
      </c>
      <c r="DK52" s="26">
        <v>0</v>
      </c>
      <c r="DL52" s="26">
        <v>0</v>
      </c>
      <c r="DM52" s="26">
        <v>0</v>
      </c>
      <c r="DN52" s="26">
        <v>-4.8175015763263218E-6</v>
      </c>
      <c r="DR52" s="26">
        <v>18</v>
      </c>
      <c r="DS52" s="26">
        <v>-2.5082967113121413E-5</v>
      </c>
      <c r="DT52" s="26">
        <v>2.6792119024321437E-4</v>
      </c>
      <c r="DU52" s="26">
        <v>0</v>
      </c>
      <c r="DV52" s="26">
        <v>0</v>
      </c>
      <c r="DW52" s="26">
        <v>0</v>
      </c>
      <c r="DX52" s="26">
        <v>-5.5518776207463816E-6</v>
      </c>
      <c r="EB52" s="26">
        <v>18</v>
      </c>
      <c r="EC52" s="26">
        <v>-3.4895128919743001E-5</v>
      </c>
      <c r="ED52" s="26">
        <v>3.6415253998711705E-4</v>
      </c>
      <c r="EE52" s="26">
        <v>0</v>
      </c>
      <c r="EF52" s="26">
        <v>0</v>
      </c>
      <c r="EG52" s="26">
        <v>0</v>
      </c>
      <c r="EH52" s="26">
        <v>-7.5270390880177729E-6</v>
      </c>
      <c r="EL52" s="26">
        <v>18</v>
      </c>
      <c r="EM52" s="26">
        <v>-3.6460536648519337E-5</v>
      </c>
      <c r="EN52" s="26">
        <v>3.7976275780238211E-4</v>
      </c>
      <c r="EO52" s="26">
        <v>0</v>
      </c>
      <c r="EP52" s="26">
        <v>0</v>
      </c>
      <c r="EQ52" s="26">
        <v>0</v>
      </c>
      <c r="ER52" s="26">
        <v>-7.8480616139131598E-6</v>
      </c>
      <c r="EV52" s="26">
        <v>18</v>
      </c>
      <c r="EW52" s="26">
        <v>-3.8663121813442558E-5</v>
      </c>
      <c r="EX52" s="26">
        <v>4.0334442746825516E-4</v>
      </c>
      <c r="EY52" s="26">
        <v>0</v>
      </c>
      <c r="EZ52" s="26">
        <v>0</v>
      </c>
      <c r="FA52" s="26">
        <v>0</v>
      </c>
      <c r="FB52" s="26">
        <v>-8.3368440755293705E-6</v>
      </c>
      <c r="FF52" s="26">
        <v>18</v>
      </c>
      <c r="FG52" s="26">
        <v>-3.5984892747364938E-5</v>
      </c>
      <c r="FH52" s="26">
        <v>3.7501956103369594E-4</v>
      </c>
      <c r="FI52" s="26">
        <v>0</v>
      </c>
      <c r="FJ52" s="26">
        <v>0</v>
      </c>
      <c r="FK52" s="26">
        <v>0</v>
      </c>
      <c r="FL52" s="26">
        <v>-7.7505183071480133E-6</v>
      </c>
      <c r="FP52" s="26">
        <v>18</v>
      </c>
      <c r="FQ52" s="26">
        <v>-3.4685610444284976E-4</v>
      </c>
      <c r="FR52" s="26">
        <v>4.283853922970593E-4</v>
      </c>
      <c r="FS52" s="26">
        <v>0</v>
      </c>
      <c r="FT52" s="26">
        <v>0</v>
      </c>
      <c r="FU52" s="26">
        <v>0</v>
      </c>
      <c r="FV52" s="26">
        <v>4.2784533434314653E-5</v>
      </c>
      <c r="FZ52" s="26">
        <v>18</v>
      </c>
      <c r="GA52" s="26">
        <v>-2.181777817895636E-4</v>
      </c>
      <c r="GB52" s="26">
        <v>2.884269633796066E-4</v>
      </c>
      <c r="GC52" s="26">
        <v>0</v>
      </c>
      <c r="GD52" s="26">
        <v>0</v>
      </c>
      <c r="GE52" s="26">
        <v>0</v>
      </c>
      <c r="GF52" s="26">
        <v>2.6539446480455808E-5</v>
      </c>
      <c r="GJ52" s="26">
        <v>18</v>
      </c>
      <c r="GK52" s="26">
        <v>-2.0208257774356753E-4</v>
      </c>
      <c r="GL52" s="26">
        <v>2.6020107907243073E-4</v>
      </c>
      <c r="GM52" s="26">
        <v>0</v>
      </c>
      <c r="GN52" s="26">
        <v>0</v>
      </c>
      <c r="GO52" s="26">
        <v>0</v>
      </c>
      <c r="GP52" s="26">
        <v>2.4718059648876078E-5</v>
      </c>
      <c r="GT52" s="26">
        <v>18</v>
      </c>
      <c r="GU52" s="26">
        <v>-9.1285428425180726E-6</v>
      </c>
      <c r="GV52" s="26">
        <v>3.8098434743005782E-5</v>
      </c>
      <c r="GW52" s="26">
        <v>0</v>
      </c>
      <c r="GX52" s="26">
        <v>0</v>
      </c>
      <c r="GY52" s="26">
        <v>0</v>
      </c>
      <c r="GZ52" s="26">
        <v>-3.5998226621813956E-7</v>
      </c>
    </row>
    <row r="55" spans="2:208">
      <c r="B55" s="26" t="s">
        <v>126</v>
      </c>
      <c r="L55" s="26" t="s">
        <v>126</v>
      </c>
      <c r="V55" s="26" t="s">
        <v>126</v>
      </c>
      <c r="AF55" s="26" t="s">
        <v>126</v>
      </c>
      <c r="AP55" s="26" t="s">
        <v>126</v>
      </c>
      <c r="AZ55" s="26" t="s">
        <v>126</v>
      </c>
      <c r="BJ55" s="26" t="s">
        <v>126</v>
      </c>
      <c r="BT55" s="26" t="s">
        <v>126</v>
      </c>
      <c r="CD55" s="26" t="s">
        <v>126</v>
      </c>
      <c r="CN55" s="26" t="s">
        <v>126</v>
      </c>
      <c r="CX55" s="26" t="s">
        <v>126</v>
      </c>
      <c r="DH55" s="26" t="s">
        <v>126</v>
      </c>
      <c r="DR55" s="26" t="s">
        <v>126</v>
      </c>
      <c r="EB55" s="26" t="s">
        <v>126</v>
      </c>
      <c r="EL55" s="26" t="s">
        <v>126</v>
      </c>
      <c r="EV55" s="26" t="s">
        <v>126</v>
      </c>
      <c r="FF55" s="26" t="s">
        <v>126</v>
      </c>
      <c r="FP55" s="26" t="s">
        <v>126</v>
      </c>
      <c r="FZ55" s="26" t="s">
        <v>126</v>
      </c>
      <c r="GJ55" s="26" t="s">
        <v>126</v>
      </c>
      <c r="GT55" s="26" t="s">
        <v>126</v>
      </c>
    </row>
    <row r="56" spans="2:208">
      <c r="C56" s="26" t="s">
        <v>127</v>
      </c>
      <c r="D56" s="26" t="s">
        <v>128</v>
      </c>
      <c r="E56" s="26" t="s">
        <v>129</v>
      </c>
      <c r="F56" s="26" t="s">
        <v>130</v>
      </c>
      <c r="G56" s="26" t="s">
        <v>131</v>
      </c>
      <c r="H56" s="26" t="s">
        <v>132</v>
      </c>
      <c r="M56" s="26" t="s">
        <v>127</v>
      </c>
      <c r="N56" s="26" t="s">
        <v>128</v>
      </c>
      <c r="O56" s="26" t="s">
        <v>129</v>
      </c>
      <c r="P56" s="26" t="s">
        <v>130</v>
      </c>
      <c r="Q56" s="26" t="s">
        <v>131</v>
      </c>
      <c r="R56" s="26" t="s">
        <v>132</v>
      </c>
      <c r="W56" s="26" t="s">
        <v>127</v>
      </c>
      <c r="X56" s="26" t="s">
        <v>128</v>
      </c>
      <c r="Y56" s="26" t="s">
        <v>129</v>
      </c>
      <c r="Z56" s="26" t="s">
        <v>130</v>
      </c>
      <c r="AA56" s="26" t="s">
        <v>131</v>
      </c>
      <c r="AB56" s="26" t="s">
        <v>132</v>
      </c>
      <c r="AG56" s="26" t="s">
        <v>127</v>
      </c>
      <c r="AH56" s="26" t="s">
        <v>128</v>
      </c>
      <c r="AI56" s="26" t="s">
        <v>129</v>
      </c>
      <c r="AJ56" s="26" t="s">
        <v>130</v>
      </c>
      <c r="AK56" s="26" t="s">
        <v>131</v>
      </c>
      <c r="AL56" s="26" t="s">
        <v>132</v>
      </c>
      <c r="AQ56" s="26" t="s">
        <v>127</v>
      </c>
      <c r="AR56" s="26" t="s">
        <v>128</v>
      </c>
      <c r="AS56" s="26" t="s">
        <v>129</v>
      </c>
      <c r="AT56" s="26" t="s">
        <v>130</v>
      </c>
      <c r="AU56" s="26" t="s">
        <v>131</v>
      </c>
      <c r="AV56" s="26" t="s">
        <v>132</v>
      </c>
      <c r="BA56" s="26" t="s">
        <v>127</v>
      </c>
      <c r="BB56" s="26" t="s">
        <v>128</v>
      </c>
      <c r="BC56" s="26" t="s">
        <v>129</v>
      </c>
      <c r="BD56" s="26" t="s">
        <v>130</v>
      </c>
      <c r="BE56" s="26" t="s">
        <v>131</v>
      </c>
      <c r="BF56" s="26" t="s">
        <v>132</v>
      </c>
      <c r="BK56" s="26" t="s">
        <v>127</v>
      </c>
      <c r="BL56" s="26" t="s">
        <v>128</v>
      </c>
      <c r="BM56" s="26" t="s">
        <v>129</v>
      </c>
      <c r="BN56" s="26" t="s">
        <v>130</v>
      </c>
      <c r="BO56" s="26" t="s">
        <v>131</v>
      </c>
      <c r="BP56" s="26" t="s">
        <v>132</v>
      </c>
      <c r="BU56" s="26" t="s">
        <v>127</v>
      </c>
      <c r="BV56" s="26" t="s">
        <v>128</v>
      </c>
      <c r="BW56" s="26" t="s">
        <v>129</v>
      </c>
      <c r="BX56" s="26" t="s">
        <v>130</v>
      </c>
      <c r="BY56" s="26" t="s">
        <v>131</v>
      </c>
      <c r="BZ56" s="26" t="s">
        <v>132</v>
      </c>
      <c r="CE56" s="26" t="s">
        <v>127</v>
      </c>
      <c r="CF56" s="26" t="s">
        <v>128</v>
      </c>
      <c r="CG56" s="26" t="s">
        <v>129</v>
      </c>
      <c r="CH56" s="26" t="s">
        <v>130</v>
      </c>
      <c r="CI56" s="26" t="s">
        <v>131</v>
      </c>
      <c r="CJ56" s="26" t="s">
        <v>132</v>
      </c>
      <c r="CO56" s="26" t="s">
        <v>127</v>
      </c>
      <c r="CP56" s="26" t="s">
        <v>128</v>
      </c>
      <c r="CQ56" s="26" t="s">
        <v>129</v>
      </c>
      <c r="CR56" s="26" t="s">
        <v>130</v>
      </c>
      <c r="CS56" s="26" t="s">
        <v>131</v>
      </c>
      <c r="CT56" s="26" t="s">
        <v>132</v>
      </c>
      <c r="CY56" s="26" t="s">
        <v>127</v>
      </c>
      <c r="CZ56" s="26" t="s">
        <v>128</v>
      </c>
      <c r="DA56" s="26" t="s">
        <v>129</v>
      </c>
      <c r="DB56" s="26" t="s">
        <v>130</v>
      </c>
      <c r="DC56" s="26" t="s">
        <v>131</v>
      </c>
      <c r="DD56" s="26" t="s">
        <v>132</v>
      </c>
      <c r="DI56" s="26" t="s">
        <v>127</v>
      </c>
      <c r="DJ56" s="26" t="s">
        <v>128</v>
      </c>
      <c r="DK56" s="26" t="s">
        <v>129</v>
      </c>
      <c r="DL56" s="26" t="s">
        <v>130</v>
      </c>
      <c r="DM56" s="26" t="s">
        <v>131</v>
      </c>
      <c r="DN56" s="26" t="s">
        <v>132</v>
      </c>
      <c r="DS56" s="26" t="s">
        <v>127</v>
      </c>
      <c r="DT56" s="26" t="s">
        <v>128</v>
      </c>
      <c r="DU56" s="26" t="s">
        <v>129</v>
      </c>
      <c r="DV56" s="26" t="s">
        <v>130</v>
      </c>
      <c r="DW56" s="26" t="s">
        <v>131</v>
      </c>
      <c r="DX56" s="26" t="s">
        <v>132</v>
      </c>
      <c r="EC56" s="26" t="s">
        <v>127</v>
      </c>
      <c r="ED56" s="26" t="s">
        <v>128</v>
      </c>
      <c r="EE56" s="26" t="s">
        <v>129</v>
      </c>
      <c r="EF56" s="26" t="s">
        <v>130</v>
      </c>
      <c r="EG56" s="26" t="s">
        <v>131</v>
      </c>
      <c r="EH56" s="26" t="s">
        <v>132</v>
      </c>
      <c r="EM56" s="26" t="s">
        <v>127</v>
      </c>
      <c r="EN56" s="26" t="s">
        <v>128</v>
      </c>
      <c r="EO56" s="26" t="s">
        <v>129</v>
      </c>
      <c r="EP56" s="26" t="s">
        <v>130</v>
      </c>
      <c r="EQ56" s="26" t="s">
        <v>131</v>
      </c>
      <c r="ER56" s="26" t="s">
        <v>132</v>
      </c>
      <c r="EW56" s="26" t="s">
        <v>127</v>
      </c>
      <c r="EX56" s="26" t="s">
        <v>128</v>
      </c>
      <c r="EY56" s="26" t="s">
        <v>129</v>
      </c>
      <c r="EZ56" s="26" t="s">
        <v>130</v>
      </c>
      <c r="FA56" s="26" t="s">
        <v>131</v>
      </c>
      <c r="FB56" s="26" t="s">
        <v>132</v>
      </c>
      <c r="FG56" s="26" t="s">
        <v>127</v>
      </c>
      <c r="FH56" s="26" t="s">
        <v>128</v>
      </c>
      <c r="FI56" s="26" t="s">
        <v>129</v>
      </c>
      <c r="FJ56" s="26" t="s">
        <v>130</v>
      </c>
      <c r="FK56" s="26" t="s">
        <v>131</v>
      </c>
      <c r="FL56" s="26" t="s">
        <v>132</v>
      </c>
      <c r="FQ56" s="26" t="s">
        <v>127</v>
      </c>
      <c r="FR56" s="26" t="s">
        <v>128</v>
      </c>
      <c r="FS56" s="26" t="s">
        <v>129</v>
      </c>
      <c r="FT56" s="26" t="s">
        <v>130</v>
      </c>
      <c r="FU56" s="26" t="s">
        <v>131</v>
      </c>
      <c r="FV56" s="26" t="s">
        <v>132</v>
      </c>
      <c r="GA56" s="26" t="s">
        <v>127</v>
      </c>
      <c r="GB56" s="26" t="s">
        <v>128</v>
      </c>
      <c r="GC56" s="26" t="s">
        <v>129</v>
      </c>
      <c r="GD56" s="26" t="s">
        <v>130</v>
      </c>
      <c r="GE56" s="26" t="s">
        <v>131</v>
      </c>
      <c r="GF56" s="26" t="s">
        <v>132</v>
      </c>
      <c r="GK56" s="26" t="s">
        <v>127</v>
      </c>
      <c r="GL56" s="26" t="s">
        <v>128</v>
      </c>
      <c r="GM56" s="26" t="s">
        <v>129</v>
      </c>
      <c r="GN56" s="26" t="s">
        <v>130</v>
      </c>
      <c r="GO56" s="26" t="s">
        <v>131</v>
      </c>
      <c r="GP56" s="26" t="s">
        <v>132</v>
      </c>
      <c r="GU56" s="26" t="s">
        <v>127</v>
      </c>
      <c r="GV56" s="26" t="s">
        <v>128</v>
      </c>
      <c r="GW56" s="26" t="s">
        <v>129</v>
      </c>
      <c r="GX56" s="26" t="s">
        <v>130</v>
      </c>
      <c r="GY56" s="26" t="s">
        <v>131</v>
      </c>
      <c r="GZ56" s="26" t="s">
        <v>132</v>
      </c>
    </row>
    <row r="57" spans="2:208">
      <c r="B57" s="26">
        <v>17</v>
      </c>
      <c r="C57" s="26">
        <v>0</v>
      </c>
      <c r="D57" s="26">
        <v>219.3720703125</v>
      </c>
      <c r="E57" s="26">
        <v>0</v>
      </c>
      <c r="F57" s="26">
        <v>0</v>
      </c>
      <c r="G57" s="26">
        <v>0</v>
      </c>
      <c r="H57" s="26">
        <v>0</v>
      </c>
      <c r="L57" s="26">
        <v>17</v>
      </c>
      <c r="M57" s="26">
        <v>0</v>
      </c>
      <c r="N57" s="26">
        <v>275.76312255859375</v>
      </c>
      <c r="O57" s="26">
        <v>0</v>
      </c>
      <c r="P57" s="26">
        <v>0</v>
      </c>
      <c r="Q57" s="26">
        <v>0</v>
      </c>
      <c r="R57" s="26">
        <v>0</v>
      </c>
      <c r="V57" s="26">
        <v>17</v>
      </c>
      <c r="W57" s="26">
        <v>0</v>
      </c>
      <c r="X57" s="26">
        <v>-112.99581146240234</v>
      </c>
      <c r="Y57" s="26">
        <v>0</v>
      </c>
      <c r="Z57" s="26">
        <v>0</v>
      </c>
      <c r="AA57" s="26">
        <v>0</v>
      </c>
      <c r="AB57" s="26">
        <v>0</v>
      </c>
      <c r="AF57" s="26">
        <v>17</v>
      </c>
      <c r="AG57" s="26">
        <v>0</v>
      </c>
      <c r="AH57" s="26">
        <v>-145.85237121582031</v>
      </c>
      <c r="AI57" s="26">
        <v>0</v>
      </c>
      <c r="AJ57" s="26">
        <v>0</v>
      </c>
      <c r="AK57" s="26">
        <v>0</v>
      </c>
      <c r="AL57" s="26">
        <v>0</v>
      </c>
      <c r="AP57" s="26">
        <v>17</v>
      </c>
      <c r="AQ57" s="26">
        <v>0</v>
      </c>
      <c r="AR57" s="26">
        <v>26.740932464599609</v>
      </c>
      <c r="AS57" s="26">
        <v>0</v>
      </c>
      <c r="AT57" s="26">
        <v>0</v>
      </c>
      <c r="AU57" s="26">
        <v>0</v>
      </c>
      <c r="AV57" s="26">
        <v>0</v>
      </c>
      <c r="AZ57" s="26">
        <v>17</v>
      </c>
      <c r="BA57" s="26">
        <v>0</v>
      </c>
      <c r="BB57" s="26">
        <v>30.297430038452148</v>
      </c>
      <c r="BC57" s="26">
        <v>0</v>
      </c>
      <c r="BD57" s="26">
        <v>0</v>
      </c>
      <c r="BE57" s="26">
        <v>0</v>
      </c>
      <c r="BF57" s="26">
        <v>0</v>
      </c>
      <c r="BJ57" s="26">
        <v>17</v>
      </c>
      <c r="BK57" s="26">
        <v>0</v>
      </c>
      <c r="BL57" s="26">
        <v>31.474027633666992</v>
      </c>
      <c r="BM57" s="26">
        <v>0</v>
      </c>
      <c r="BN57" s="26">
        <v>0</v>
      </c>
      <c r="BO57" s="26">
        <v>0</v>
      </c>
      <c r="BP57" s="26">
        <v>0</v>
      </c>
      <c r="BT57" s="26">
        <v>17</v>
      </c>
      <c r="BU57" s="26">
        <v>0</v>
      </c>
      <c r="BV57" s="26">
        <v>31.474027633666992</v>
      </c>
      <c r="BW57" s="26">
        <v>0</v>
      </c>
      <c r="BX57" s="26">
        <v>0</v>
      </c>
      <c r="BY57" s="26">
        <v>0</v>
      </c>
      <c r="BZ57" s="26">
        <v>0</v>
      </c>
      <c r="CD57" s="26">
        <v>17</v>
      </c>
      <c r="CE57" s="26">
        <v>0</v>
      </c>
      <c r="CF57" s="26">
        <v>31.474027633666992</v>
      </c>
      <c r="CG57" s="26">
        <v>0</v>
      </c>
      <c r="CH57" s="26">
        <v>0</v>
      </c>
      <c r="CI57" s="26">
        <v>0</v>
      </c>
      <c r="CJ57" s="26">
        <v>0</v>
      </c>
      <c r="CN57" s="26">
        <v>17</v>
      </c>
      <c r="CO57" s="26">
        <v>0</v>
      </c>
      <c r="CP57" s="26">
        <v>-17.467916488647461</v>
      </c>
      <c r="CQ57" s="26">
        <v>0</v>
      </c>
      <c r="CR57" s="26">
        <v>0</v>
      </c>
      <c r="CS57" s="26">
        <v>0</v>
      </c>
      <c r="CT57" s="26">
        <v>0</v>
      </c>
      <c r="CX57" s="26">
        <v>17</v>
      </c>
      <c r="CY57" s="26">
        <v>0</v>
      </c>
      <c r="CZ57" s="26">
        <v>-21.834896087646484</v>
      </c>
      <c r="DA57" s="26">
        <v>0</v>
      </c>
      <c r="DB57" s="26">
        <v>0</v>
      </c>
      <c r="DC57" s="26">
        <v>0</v>
      </c>
      <c r="DD57" s="26">
        <v>0</v>
      </c>
      <c r="DH57" s="26">
        <v>17</v>
      </c>
      <c r="DI57" s="26">
        <v>0</v>
      </c>
      <c r="DJ57" s="26">
        <v>-77.027107238769531</v>
      </c>
      <c r="DK57" s="26">
        <v>0</v>
      </c>
      <c r="DL57" s="26">
        <v>0</v>
      </c>
      <c r="DM57" s="26">
        <v>0</v>
      </c>
      <c r="DN57" s="26">
        <v>0</v>
      </c>
      <c r="DR57" s="26">
        <v>17</v>
      </c>
      <c r="DS57" s="26">
        <v>0</v>
      </c>
      <c r="DT57" s="26">
        <v>-88.801406860351563</v>
      </c>
      <c r="DU57" s="26">
        <v>0</v>
      </c>
      <c r="DV57" s="26">
        <v>0</v>
      </c>
      <c r="DW57" s="26">
        <v>0</v>
      </c>
      <c r="DX57" s="26">
        <v>0</v>
      </c>
      <c r="EB57" s="26">
        <v>17</v>
      </c>
      <c r="EC57" s="26">
        <v>0</v>
      </c>
      <c r="ED57" s="26">
        <v>-120.6968994140625</v>
      </c>
      <c r="EE57" s="26">
        <v>0</v>
      </c>
      <c r="EF57" s="26">
        <v>0</v>
      </c>
      <c r="EG57" s="26">
        <v>0</v>
      </c>
      <c r="EH57" s="26">
        <v>0</v>
      </c>
      <c r="EL57" s="26">
        <v>17</v>
      </c>
      <c r="EM57" s="26">
        <v>0</v>
      </c>
      <c r="EN57" s="26">
        <v>-125.87084197998047</v>
      </c>
      <c r="EO57" s="26">
        <v>0</v>
      </c>
      <c r="EP57" s="26">
        <v>0</v>
      </c>
      <c r="EQ57" s="26">
        <v>0</v>
      </c>
      <c r="ER57" s="26">
        <v>0</v>
      </c>
      <c r="EV57" s="26">
        <v>17</v>
      </c>
      <c r="EW57" s="26">
        <v>0</v>
      </c>
      <c r="EX57" s="26">
        <v>-133.68690490722656</v>
      </c>
      <c r="EY57" s="26">
        <v>0</v>
      </c>
      <c r="EZ57" s="26">
        <v>0</v>
      </c>
      <c r="FA57" s="26">
        <v>0</v>
      </c>
      <c r="FB57" s="26">
        <v>0</v>
      </c>
      <c r="FF57" s="26">
        <v>17</v>
      </c>
      <c r="FG57" s="26">
        <v>0</v>
      </c>
      <c r="FH57" s="26">
        <v>-124.29872894287109</v>
      </c>
      <c r="FI57" s="26">
        <v>0</v>
      </c>
      <c r="FJ57" s="26">
        <v>0</v>
      </c>
      <c r="FK57" s="26">
        <v>0</v>
      </c>
      <c r="FL57" s="26">
        <v>0</v>
      </c>
      <c r="FP57" s="26">
        <v>17</v>
      </c>
      <c r="FQ57" s="26">
        <v>0</v>
      </c>
      <c r="FR57" s="26">
        <v>-16.85746955871582</v>
      </c>
      <c r="FS57" s="26">
        <v>0</v>
      </c>
      <c r="FT57" s="26">
        <v>0</v>
      </c>
      <c r="FU57" s="26">
        <v>0</v>
      </c>
      <c r="FV57" s="26">
        <v>0</v>
      </c>
      <c r="FZ57" s="26">
        <v>17</v>
      </c>
      <c r="GA57" s="26">
        <v>0</v>
      </c>
      <c r="GB57" s="26">
        <v>-13.613387107849121</v>
      </c>
      <c r="GC57" s="26">
        <v>0</v>
      </c>
      <c r="GD57" s="26">
        <v>0</v>
      </c>
      <c r="GE57" s="26">
        <v>0</v>
      </c>
      <c r="GF57" s="26">
        <v>0</v>
      </c>
      <c r="GJ57" s="26">
        <v>17</v>
      </c>
      <c r="GK57" s="26">
        <v>0</v>
      </c>
      <c r="GL57" s="26">
        <v>-11.507719039916992</v>
      </c>
      <c r="GM57" s="26">
        <v>0</v>
      </c>
      <c r="GN57" s="26">
        <v>0</v>
      </c>
      <c r="GO57" s="26">
        <v>0</v>
      </c>
      <c r="GP57" s="26">
        <v>0</v>
      </c>
      <c r="GT57" s="26">
        <v>17</v>
      </c>
      <c r="GU57" s="26">
        <v>0</v>
      </c>
      <c r="GV57" s="26">
        <v>-4.0113120079040527</v>
      </c>
      <c r="GW57" s="26">
        <v>0</v>
      </c>
      <c r="GX57" s="26">
        <v>0</v>
      </c>
      <c r="GY57" s="26">
        <v>0</v>
      </c>
      <c r="GZ57" s="26">
        <v>0</v>
      </c>
    </row>
    <row r="58" spans="2:208">
      <c r="B58" s="26">
        <v>18</v>
      </c>
      <c r="C58" s="26">
        <v>0</v>
      </c>
      <c r="D58" s="26">
        <v>296.81640625</v>
      </c>
      <c r="E58" s="26">
        <v>0</v>
      </c>
      <c r="F58" s="26">
        <v>0</v>
      </c>
      <c r="G58" s="26">
        <v>0</v>
      </c>
      <c r="H58" s="26">
        <v>0</v>
      </c>
      <c r="L58" s="26">
        <v>18</v>
      </c>
      <c r="M58" s="26">
        <v>0</v>
      </c>
      <c r="N58" s="26">
        <v>208.3118896484375</v>
      </c>
      <c r="O58" s="26">
        <v>0</v>
      </c>
      <c r="P58" s="26">
        <v>0</v>
      </c>
      <c r="Q58" s="26">
        <v>0</v>
      </c>
      <c r="R58" s="26">
        <v>0</v>
      </c>
      <c r="V58" s="26">
        <v>18</v>
      </c>
      <c r="W58" s="26">
        <v>0</v>
      </c>
      <c r="X58" s="26">
        <v>-112.99591064453125</v>
      </c>
      <c r="Y58" s="26">
        <v>0</v>
      </c>
      <c r="Z58" s="26">
        <v>0</v>
      </c>
      <c r="AA58" s="26">
        <v>0</v>
      </c>
      <c r="AB58" s="26">
        <v>0</v>
      </c>
      <c r="AF58" s="26">
        <v>18</v>
      </c>
      <c r="AG58" s="26">
        <v>0</v>
      </c>
      <c r="AH58" s="26">
        <v>-145.85264587402344</v>
      </c>
      <c r="AI58" s="26">
        <v>0</v>
      </c>
      <c r="AJ58" s="26">
        <v>0</v>
      </c>
      <c r="AK58" s="26">
        <v>0</v>
      </c>
      <c r="AL58" s="26">
        <v>0</v>
      </c>
      <c r="AP58" s="26">
        <v>18</v>
      </c>
      <c r="AQ58" s="26">
        <v>0</v>
      </c>
      <c r="AR58" s="26">
        <v>55.383563995361328</v>
      </c>
      <c r="AS58" s="26">
        <v>0</v>
      </c>
      <c r="AT58" s="26">
        <v>0</v>
      </c>
      <c r="AU58" s="26">
        <v>0</v>
      </c>
      <c r="AV58" s="26">
        <v>0</v>
      </c>
      <c r="AZ58" s="26">
        <v>18</v>
      </c>
      <c r="BA58" s="26">
        <v>0</v>
      </c>
      <c r="BB58" s="26">
        <v>62.749626159667969</v>
      </c>
      <c r="BC58" s="26">
        <v>0</v>
      </c>
      <c r="BD58" s="26">
        <v>0</v>
      </c>
      <c r="BE58" s="26">
        <v>0</v>
      </c>
      <c r="BF58" s="26">
        <v>0</v>
      </c>
      <c r="BJ58" s="26">
        <v>18</v>
      </c>
      <c r="BK58" s="26">
        <v>0</v>
      </c>
      <c r="BL58" s="26">
        <v>65.186508178710937</v>
      </c>
      <c r="BM58" s="26">
        <v>0</v>
      </c>
      <c r="BN58" s="26">
        <v>0</v>
      </c>
      <c r="BO58" s="26">
        <v>0</v>
      </c>
      <c r="BP58" s="26">
        <v>0</v>
      </c>
      <c r="BT58" s="26">
        <v>18</v>
      </c>
      <c r="BU58" s="26">
        <v>0</v>
      </c>
      <c r="BV58" s="26">
        <v>65.186508178710937</v>
      </c>
      <c r="BW58" s="26">
        <v>0</v>
      </c>
      <c r="BX58" s="26">
        <v>0</v>
      </c>
      <c r="BY58" s="26">
        <v>0</v>
      </c>
      <c r="BZ58" s="26">
        <v>0</v>
      </c>
      <c r="CD58" s="26">
        <v>18</v>
      </c>
      <c r="CE58" s="26">
        <v>0</v>
      </c>
      <c r="CF58" s="26">
        <v>65.186508178710937</v>
      </c>
      <c r="CG58" s="26">
        <v>0</v>
      </c>
      <c r="CH58" s="26">
        <v>0</v>
      </c>
      <c r="CI58" s="26">
        <v>0</v>
      </c>
      <c r="CJ58" s="26">
        <v>0</v>
      </c>
      <c r="CN58" s="26">
        <v>18</v>
      </c>
      <c r="CO58" s="26">
        <v>0</v>
      </c>
      <c r="CP58" s="26">
        <v>17.467916488647461</v>
      </c>
      <c r="CQ58" s="26">
        <v>0</v>
      </c>
      <c r="CR58" s="26">
        <v>0</v>
      </c>
      <c r="CS58" s="26">
        <v>0</v>
      </c>
      <c r="CT58" s="26">
        <v>0</v>
      </c>
      <c r="CX58" s="26">
        <v>18</v>
      </c>
      <c r="CY58" s="26">
        <v>0</v>
      </c>
      <c r="CZ58" s="26">
        <v>21.834896087646484</v>
      </c>
      <c r="DA58" s="26">
        <v>0</v>
      </c>
      <c r="DB58" s="26">
        <v>0</v>
      </c>
      <c r="DC58" s="26">
        <v>0</v>
      </c>
      <c r="DD58" s="26">
        <v>0</v>
      </c>
      <c r="DH58" s="26">
        <v>18</v>
      </c>
      <c r="DI58" s="26">
        <v>0</v>
      </c>
      <c r="DJ58" s="26">
        <v>77.027107238769531</v>
      </c>
      <c r="DK58" s="26">
        <v>0</v>
      </c>
      <c r="DL58" s="26">
        <v>0</v>
      </c>
      <c r="DM58" s="26">
        <v>0</v>
      </c>
      <c r="DN58" s="26">
        <v>0</v>
      </c>
      <c r="DR58" s="26">
        <v>18</v>
      </c>
      <c r="DS58" s="26">
        <v>0</v>
      </c>
      <c r="DT58" s="26">
        <v>88.801406860351563</v>
      </c>
      <c r="DU58" s="26">
        <v>0</v>
      </c>
      <c r="DV58" s="26">
        <v>0</v>
      </c>
      <c r="DW58" s="26">
        <v>0</v>
      </c>
      <c r="DX58" s="26">
        <v>0</v>
      </c>
      <c r="EB58" s="26">
        <v>18</v>
      </c>
      <c r="EC58" s="26">
        <v>0</v>
      </c>
      <c r="ED58" s="26">
        <v>120.6968994140625</v>
      </c>
      <c r="EE58" s="26">
        <v>0</v>
      </c>
      <c r="EF58" s="26">
        <v>0</v>
      </c>
      <c r="EG58" s="26">
        <v>0</v>
      </c>
      <c r="EH58" s="26">
        <v>0</v>
      </c>
      <c r="EL58" s="26">
        <v>18</v>
      </c>
      <c r="EM58" s="26">
        <v>0</v>
      </c>
      <c r="EN58" s="26">
        <v>125.87084197998047</v>
      </c>
      <c r="EO58" s="26">
        <v>0</v>
      </c>
      <c r="EP58" s="26">
        <v>0</v>
      </c>
      <c r="EQ58" s="26">
        <v>0</v>
      </c>
      <c r="ER58" s="26">
        <v>0</v>
      </c>
      <c r="EV58" s="26">
        <v>18</v>
      </c>
      <c r="EW58" s="26">
        <v>0</v>
      </c>
      <c r="EX58" s="26">
        <v>133.68690490722656</v>
      </c>
      <c r="EY58" s="26">
        <v>0</v>
      </c>
      <c r="EZ58" s="26">
        <v>0</v>
      </c>
      <c r="FA58" s="26">
        <v>0</v>
      </c>
      <c r="FB58" s="26">
        <v>0</v>
      </c>
      <c r="FF58" s="26">
        <v>18</v>
      </c>
      <c r="FG58" s="26">
        <v>0</v>
      </c>
      <c r="FH58" s="26">
        <v>124.29872894287109</v>
      </c>
      <c r="FI58" s="26">
        <v>0</v>
      </c>
      <c r="FJ58" s="26">
        <v>0</v>
      </c>
      <c r="FK58" s="26">
        <v>0</v>
      </c>
      <c r="FL58" s="26">
        <v>0</v>
      </c>
      <c r="FP58" s="26">
        <v>18</v>
      </c>
      <c r="FQ58" s="26">
        <v>0</v>
      </c>
      <c r="FR58" s="26">
        <v>70.993743896484375</v>
      </c>
      <c r="FS58" s="26">
        <v>0</v>
      </c>
      <c r="FT58" s="26">
        <v>0</v>
      </c>
      <c r="FU58" s="26">
        <v>0</v>
      </c>
      <c r="FV58" s="26">
        <v>0</v>
      </c>
      <c r="FZ58" s="26">
        <v>18</v>
      </c>
      <c r="GA58" s="26">
        <v>0</v>
      </c>
      <c r="GB58" s="26">
        <v>47.799266815185547</v>
      </c>
      <c r="GC58" s="26">
        <v>0</v>
      </c>
      <c r="GD58" s="26">
        <v>0</v>
      </c>
      <c r="GE58" s="26">
        <v>0</v>
      </c>
      <c r="GF58" s="26">
        <v>0</v>
      </c>
      <c r="GJ58" s="26">
        <v>18</v>
      </c>
      <c r="GK58" s="26">
        <v>0</v>
      </c>
      <c r="GL58" s="26">
        <v>43.121562957763672</v>
      </c>
      <c r="GM58" s="26">
        <v>0</v>
      </c>
      <c r="GN58" s="26">
        <v>0</v>
      </c>
      <c r="GO58" s="26">
        <v>0</v>
      </c>
      <c r="GP58" s="26">
        <v>0</v>
      </c>
      <c r="GT58" s="26">
        <v>18</v>
      </c>
      <c r="GU58" s="26">
        <v>0</v>
      </c>
      <c r="GV58" s="26">
        <v>12.627573013305664</v>
      </c>
      <c r="GW58" s="26">
        <v>0</v>
      </c>
      <c r="GX58" s="26">
        <v>0</v>
      </c>
      <c r="GY58" s="26">
        <v>0</v>
      </c>
      <c r="GZ58" s="26">
        <v>0</v>
      </c>
    </row>
    <row r="77" spans="2:210">
      <c r="B77" s="26" t="s">
        <v>133</v>
      </c>
      <c r="C77" s="26">
        <v>17</v>
      </c>
      <c r="L77" s="26" t="s">
        <v>133</v>
      </c>
      <c r="M77" s="26">
        <v>17</v>
      </c>
      <c r="V77" s="26" t="s">
        <v>133</v>
      </c>
      <c r="W77" s="26">
        <v>17</v>
      </c>
      <c r="AF77" s="26" t="s">
        <v>133</v>
      </c>
      <c r="AG77" s="26">
        <v>17</v>
      </c>
      <c r="AP77" s="26" t="s">
        <v>133</v>
      </c>
      <c r="AQ77" s="26">
        <v>17</v>
      </c>
      <c r="AZ77" s="26" t="s">
        <v>133</v>
      </c>
      <c r="BA77" s="26">
        <v>17</v>
      </c>
      <c r="BJ77" s="26" t="s">
        <v>133</v>
      </c>
      <c r="BK77" s="26">
        <v>17</v>
      </c>
      <c r="BT77" s="26" t="s">
        <v>133</v>
      </c>
      <c r="BU77" s="26">
        <v>17</v>
      </c>
      <c r="CD77" s="26" t="s">
        <v>133</v>
      </c>
      <c r="CE77" s="26">
        <v>17</v>
      </c>
      <c r="CN77" s="26" t="s">
        <v>133</v>
      </c>
      <c r="CO77" s="26">
        <v>17</v>
      </c>
      <c r="CX77" s="26" t="s">
        <v>133</v>
      </c>
      <c r="CY77" s="26">
        <v>17</v>
      </c>
      <c r="DH77" s="26" t="s">
        <v>133</v>
      </c>
      <c r="DI77" s="26">
        <v>17</v>
      </c>
      <c r="DR77" s="26" t="s">
        <v>133</v>
      </c>
      <c r="DS77" s="26">
        <v>17</v>
      </c>
      <c r="EB77" s="26" t="s">
        <v>133</v>
      </c>
      <c r="EC77" s="26">
        <v>17</v>
      </c>
      <c r="EL77" s="26" t="s">
        <v>133</v>
      </c>
      <c r="EM77" s="26">
        <v>17</v>
      </c>
      <c r="EV77" s="26" t="s">
        <v>133</v>
      </c>
      <c r="EW77" s="26">
        <v>17</v>
      </c>
      <c r="FF77" s="26" t="s">
        <v>133</v>
      </c>
      <c r="FG77" s="26">
        <v>17</v>
      </c>
      <c r="FP77" s="26" t="s">
        <v>133</v>
      </c>
      <c r="FQ77" s="26">
        <v>17</v>
      </c>
      <c r="FZ77" s="26" t="s">
        <v>133</v>
      </c>
      <c r="GA77" s="26">
        <v>17</v>
      </c>
      <c r="GJ77" s="26" t="s">
        <v>133</v>
      </c>
      <c r="GK77" s="26">
        <v>17</v>
      </c>
      <c r="GT77" s="26" t="s">
        <v>133</v>
      </c>
      <c r="GU77" s="26">
        <v>17</v>
      </c>
    </row>
    <row r="79" spans="2:210">
      <c r="B79" s="26" t="s">
        <v>134</v>
      </c>
      <c r="L79" s="26" t="s">
        <v>134</v>
      </c>
      <c r="V79" s="26" t="s">
        <v>134</v>
      </c>
      <c r="AF79" s="26" t="s">
        <v>134</v>
      </c>
      <c r="AP79" s="26" t="s">
        <v>134</v>
      </c>
      <c r="AZ79" s="26" t="s">
        <v>134</v>
      </c>
      <c r="BJ79" s="26" t="s">
        <v>134</v>
      </c>
      <c r="BT79" s="26" t="s">
        <v>134</v>
      </c>
      <c r="CD79" s="26" t="s">
        <v>134</v>
      </c>
      <c r="CN79" s="26" t="s">
        <v>134</v>
      </c>
      <c r="CX79" s="26" t="s">
        <v>134</v>
      </c>
      <c r="DH79" s="26" t="s">
        <v>134</v>
      </c>
      <c r="DR79" s="26" t="s">
        <v>134</v>
      </c>
      <c r="EB79" s="26" t="s">
        <v>134</v>
      </c>
      <c r="EL79" s="26" t="s">
        <v>134</v>
      </c>
      <c r="EV79" s="26" t="s">
        <v>134</v>
      </c>
      <c r="FF79" s="26" t="s">
        <v>134</v>
      </c>
      <c r="FP79" s="26" t="s">
        <v>134</v>
      </c>
      <c r="FZ79" s="26" t="s">
        <v>134</v>
      </c>
      <c r="GJ79" s="26" t="s">
        <v>134</v>
      </c>
      <c r="GT79" s="26" t="s">
        <v>134</v>
      </c>
    </row>
    <row r="80" spans="2:210">
      <c r="C80" s="26" t="s">
        <v>135</v>
      </c>
      <c r="D80" s="26" t="s">
        <v>139</v>
      </c>
      <c r="E80" s="26" t="s">
        <v>136</v>
      </c>
      <c r="F80" s="26" t="s">
        <v>137</v>
      </c>
      <c r="G80" s="26" t="s">
        <v>138</v>
      </c>
      <c r="H80" s="26" t="s">
        <v>130</v>
      </c>
      <c r="I80" s="26" t="s">
        <v>131</v>
      </c>
      <c r="J80" s="26" t="s">
        <v>132</v>
      </c>
      <c r="M80" s="26" t="s">
        <v>135</v>
      </c>
      <c r="N80" s="26" t="s">
        <v>139</v>
      </c>
      <c r="O80" s="26" t="s">
        <v>136</v>
      </c>
      <c r="P80" s="26" t="s">
        <v>137</v>
      </c>
      <c r="Q80" s="26" t="s">
        <v>138</v>
      </c>
      <c r="R80" s="26" t="s">
        <v>130</v>
      </c>
      <c r="S80" s="26" t="s">
        <v>131</v>
      </c>
      <c r="T80" s="26" t="s">
        <v>132</v>
      </c>
      <c r="W80" s="26" t="s">
        <v>135</v>
      </c>
      <c r="X80" s="26" t="s">
        <v>139</v>
      </c>
      <c r="Y80" s="26" t="s">
        <v>136</v>
      </c>
      <c r="Z80" s="26" t="s">
        <v>137</v>
      </c>
      <c r="AA80" s="26" t="s">
        <v>138</v>
      </c>
      <c r="AB80" s="26" t="s">
        <v>130</v>
      </c>
      <c r="AC80" s="26" t="s">
        <v>131</v>
      </c>
      <c r="AD80" s="26" t="s">
        <v>132</v>
      </c>
      <c r="AG80" s="26" t="s">
        <v>135</v>
      </c>
      <c r="AH80" s="26" t="s">
        <v>139</v>
      </c>
      <c r="AI80" s="26" t="s">
        <v>136</v>
      </c>
      <c r="AJ80" s="26" t="s">
        <v>137</v>
      </c>
      <c r="AK80" s="26" t="s">
        <v>138</v>
      </c>
      <c r="AL80" s="26" t="s">
        <v>130</v>
      </c>
      <c r="AM80" s="26" t="s">
        <v>131</v>
      </c>
      <c r="AN80" s="26" t="s">
        <v>132</v>
      </c>
      <c r="AQ80" s="26" t="s">
        <v>135</v>
      </c>
      <c r="AR80" s="26" t="s">
        <v>139</v>
      </c>
      <c r="AS80" s="26" t="s">
        <v>136</v>
      </c>
      <c r="AT80" s="26" t="s">
        <v>137</v>
      </c>
      <c r="AU80" s="26" t="s">
        <v>138</v>
      </c>
      <c r="AV80" s="26" t="s">
        <v>130</v>
      </c>
      <c r="AW80" s="26" t="s">
        <v>131</v>
      </c>
      <c r="AX80" s="26" t="s">
        <v>132</v>
      </c>
      <c r="BA80" s="26" t="s">
        <v>135</v>
      </c>
      <c r="BB80" s="26" t="s">
        <v>139</v>
      </c>
      <c r="BC80" s="26" t="s">
        <v>136</v>
      </c>
      <c r="BD80" s="26" t="s">
        <v>137</v>
      </c>
      <c r="BE80" s="26" t="s">
        <v>138</v>
      </c>
      <c r="BF80" s="26" t="s">
        <v>130</v>
      </c>
      <c r="BG80" s="26" t="s">
        <v>131</v>
      </c>
      <c r="BH80" s="26" t="s">
        <v>132</v>
      </c>
      <c r="BK80" s="26" t="s">
        <v>135</v>
      </c>
      <c r="BL80" s="26" t="s">
        <v>139</v>
      </c>
      <c r="BM80" s="26" t="s">
        <v>136</v>
      </c>
      <c r="BN80" s="26" t="s">
        <v>137</v>
      </c>
      <c r="BO80" s="26" t="s">
        <v>138</v>
      </c>
      <c r="BP80" s="26" t="s">
        <v>130</v>
      </c>
      <c r="BQ80" s="26" t="s">
        <v>131</v>
      </c>
      <c r="BR80" s="26" t="s">
        <v>132</v>
      </c>
      <c r="BU80" s="26" t="s">
        <v>135</v>
      </c>
      <c r="BV80" s="26" t="s">
        <v>139</v>
      </c>
      <c r="BW80" s="26" t="s">
        <v>136</v>
      </c>
      <c r="BX80" s="26" t="s">
        <v>137</v>
      </c>
      <c r="BY80" s="26" t="s">
        <v>138</v>
      </c>
      <c r="BZ80" s="26" t="s">
        <v>130</v>
      </c>
      <c r="CA80" s="26" t="s">
        <v>131</v>
      </c>
      <c r="CB80" s="26" t="s">
        <v>132</v>
      </c>
      <c r="CE80" s="26" t="s">
        <v>135</v>
      </c>
      <c r="CF80" s="26" t="s">
        <v>139</v>
      </c>
      <c r="CG80" s="26" t="s">
        <v>136</v>
      </c>
      <c r="CH80" s="26" t="s">
        <v>137</v>
      </c>
      <c r="CI80" s="26" t="s">
        <v>138</v>
      </c>
      <c r="CJ80" s="26" t="s">
        <v>130</v>
      </c>
      <c r="CK80" s="26" t="s">
        <v>131</v>
      </c>
      <c r="CL80" s="26" t="s">
        <v>132</v>
      </c>
      <c r="CO80" s="26" t="s">
        <v>135</v>
      </c>
      <c r="CP80" s="26" t="s">
        <v>139</v>
      </c>
      <c r="CQ80" s="26" t="s">
        <v>136</v>
      </c>
      <c r="CR80" s="26" t="s">
        <v>137</v>
      </c>
      <c r="CS80" s="26" t="s">
        <v>138</v>
      </c>
      <c r="CT80" s="26" t="s">
        <v>130</v>
      </c>
      <c r="CU80" s="26" t="s">
        <v>131</v>
      </c>
      <c r="CV80" s="26" t="s">
        <v>132</v>
      </c>
      <c r="CY80" s="26" t="s">
        <v>135</v>
      </c>
      <c r="CZ80" s="26" t="s">
        <v>139</v>
      </c>
      <c r="DA80" s="26" t="s">
        <v>136</v>
      </c>
      <c r="DB80" s="26" t="s">
        <v>137</v>
      </c>
      <c r="DC80" s="26" t="s">
        <v>138</v>
      </c>
      <c r="DD80" s="26" t="s">
        <v>130</v>
      </c>
      <c r="DE80" s="26" t="s">
        <v>131</v>
      </c>
      <c r="DF80" s="26" t="s">
        <v>132</v>
      </c>
      <c r="DI80" s="26" t="s">
        <v>135</v>
      </c>
      <c r="DJ80" s="26" t="s">
        <v>139</v>
      </c>
      <c r="DK80" s="26" t="s">
        <v>136</v>
      </c>
      <c r="DL80" s="26" t="s">
        <v>137</v>
      </c>
      <c r="DM80" s="26" t="s">
        <v>138</v>
      </c>
      <c r="DN80" s="26" t="s">
        <v>130</v>
      </c>
      <c r="DO80" s="26" t="s">
        <v>131</v>
      </c>
      <c r="DP80" s="26" t="s">
        <v>132</v>
      </c>
      <c r="DS80" s="26" t="s">
        <v>135</v>
      </c>
      <c r="DT80" s="26" t="s">
        <v>139</v>
      </c>
      <c r="DU80" s="26" t="s">
        <v>136</v>
      </c>
      <c r="DV80" s="26" t="s">
        <v>137</v>
      </c>
      <c r="DW80" s="26" t="s">
        <v>138</v>
      </c>
      <c r="DX80" s="26" t="s">
        <v>130</v>
      </c>
      <c r="DY80" s="26" t="s">
        <v>131</v>
      </c>
      <c r="DZ80" s="26" t="s">
        <v>132</v>
      </c>
      <c r="EC80" s="26" t="s">
        <v>135</v>
      </c>
      <c r="ED80" s="26" t="s">
        <v>139</v>
      </c>
      <c r="EE80" s="26" t="s">
        <v>136</v>
      </c>
      <c r="EF80" s="26" t="s">
        <v>137</v>
      </c>
      <c r="EG80" s="26" t="s">
        <v>138</v>
      </c>
      <c r="EH80" s="26" t="s">
        <v>130</v>
      </c>
      <c r="EI80" s="26" t="s">
        <v>131</v>
      </c>
      <c r="EJ80" s="26" t="s">
        <v>132</v>
      </c>
      <c r="EM80" s="26" t="s">
        <v>135</v>
      </c>
      <c r="EN80" s="26" t="s">
        <v>139</v>
      </c>
      <c r="EO80" s="26" t="s">
        <v>136</v>
      </c>
      <c r="EP80" s="26" t="s">
        <v>137</v>
      </c>
      <c r="EQ80" s="26" t="s">
        <v>138</v>
      </c>
      <c r="ER80" s="26" t="s">
        <v>130</v>
      </c>
      <c r="ES80" s="26" t="s">
        <v>131</v>
      </c>
      <c r="ET80" s="26" t="s">
        <v>132</v>
      </c>
      <c r="EW80" s="26" t="s">
        <v>135</v>
      </c>
      <c r="EX80" s="26" t="s">
        <v>139</v>
      </c>
      <c r="EY80" s="26" t="s">
        <v>136</v>
      </c>
      <c r="EZ80" s="26" t="s">
        <v>137</v>
      </c>
      <c r="FA80" s="26" t="s">
        <v>138</v>
      </c>
      <c r="FB80" s="26" t="s">
        <v>130</v>
      </c>
      <c r="FC80" s="26" t="s">
        <v>131</v>
      </c>
      <c r="FD80" s="26" t="s">
        <v>132</v>
      </c>
      <c r="FG80" s="26" t="s">
        <v>135</v>
      </c>
      <c r="FH80" s="26" t="s">
        <v>139</v>
      </c>
      <c r="FI80" s="26" t="s">
        <v>136</v>
      </c>
      <c r="FJ80" s="26" t="s">
        <v>137</v>
      </c>
      <c r="FK80" s="26" t="s">
        <v>138</v>
      </c>
      <c r="FL80" s="26" t="s">
        <v>130</v>
      </c>
      <c r="FM80" s="26" t="s">
        <v>131</v>
      </c>
      <c r="FN80" s="26" t="s">
        <v>132</v>
      </c>
      <c r="FQ80" s="26" t="s">
        <v>135</v>
      </c>
      <c r="FR80" s="26" t="s">
        <v>139</v>
      </c>
      <c r="FS80" s="26" t="s">
        <v>136</v>
      </c>
      <c r="FT80" s="26" t="s">
        <v>137</v>
      </c>
      <c r="FU80" s="26" t="s">
        <v>138</v>
      </c>
      <c r="FV80" s="26" t="s">
        <v>130</v>
      </c>
      <c r="FW80" s="26" t="s">
        <v>131</v>
      </c>
      <c r="FX80" s="26" t="s">
        <v>132</v>
      </c>
      <c r="GA80" s="26" t="s">
        <v>135</v>
      </c>
      <c r="GB80" s="26" t="s">
        <v>139</v>
      </c>
      <c r="GC80" s="26" t="s">
        <v>136</v>
      </c>
      <c r="GD80" s="26" t="s">
        <v>137</v>
      </c>
      <c r="GE80" s="26" t="s">
        <v>138</v>
      </c>
      <c r="GF80" s="26" t="s">
        <v>130</v>
      </c>
      <c r="GG80" s="26" t="s">
        <v>131</v>
      </c>
      <c r="GH80" s="26" t="s">
        <v>132</v>
      </c>
      <c r="GK80" s="26" t="s">
        <v>135</v>
      </c>
      <c r="GL80" s="26" t="s">
        <v>139</v>
      </c>
      <c r="GM80" s="26" t="s">
        <v>136</v>
      </c>
      <c r="GN80" s="26" t="s">
        <v>137</v>
      </c>
      <c r="GO80" s="26" t="s">
        <v>138</v>
      </c>
      <c r="GP80" s="26" t="s">
        <v>130</v>
      </c>
      <c r="GQ80" s="26" t="s">
        <v>131</v>
      </c>
      <c r="GR80" s="26" t="s">
        <v>132</v>
      </c>
      <c r="GU80" s="26" t="s">
        <v>135</v>
      </c>
      <c r="GV80" s="26" t="s">
        <v>139</v>
      </c>
      <c r="GW80" s="26" t="s">
        <v>136</v>
      </c>
      <c r="GX80" s="26" t="s">
        <v>137</v>
      </c>
      <c r="GY80" s="26" t="s">
        <v>138</v>
      </c>
      <c r="GZ80" s="26" t="s">
        <v>130</v>
      </c>
      <c r="HA80" s="26" t="s">
        <v>131</v>
      </c>
      <c r="HB80" s="26" t="s">
        <v>132</v>
      </c>
    </row>
    <row r="81" spans="2:210">
      <c r="B81" s="95">
        <v>1</v>
      </c>
      <c r="C81" s="26">
        <v>1</v>
      </c>
      <c r="D81" s="26">
        <v>0</v>
      </c>
      <c r="E81" s="26">
        <v>0</v>
      </c>
      <c r="F81" s="26">
        <v>0</v>
      </c>
      <c r="G81" s="26">
        <v>0</v>
      </c>
      <c r="H81" s="26">
        <v>0</v>
      </c>
      <c r="I81" s="26">
        <v>0</v>
      </c>
      <c r="J81" s="26">
        <v>-1.4901161193847656E-8</v>
      </c>
      <c r="L81" s="95">
        <v>1</v>
      </c>
      <c r="M81" s="26">
        <v>1</v>
      </c>
      <c r="N81" s="26">
        <v>0</v>
      </c>
      <c r="O81" s="26">
        <v>0</v>
      </c>
      <c r="P81" s="26">
        <v>5.9604644775390625E-8</v>
      </c>
      <c r="Q81" s="26">
        <v>0</v>
      </c>
      <c r="R81" s="26">
        <v>0</v>
      </c>
      <c r="S81" s="26">
        <v>0</v>
      </c>
      <c r="T81" s="26">
        <v>0</v>
      </c>
      <c r="V81" s="95">
        <v>1</v>
      </c>
      <c r="W81" s="26">
        <v>1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-9.0949470177292824E-13</v>
      </c>
      <c r="AF81" s="95">
        <v>1</v>
      </c>
      <c r="AG81" s="26">
        <v>1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-2.7284841053187847E-12</v>
      </c>
      <c r="AP81" s="95">
        <v>1</v>
      </c>
      <c r="AQ81" s="26">
        <v>1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0</v>
      </c>
      <c r="AX81" s="26">
        <v>-7.4505805969238281E-9</v>
      </c>
      <c r="AZ81" s="95">
        <v>1</v>
      </c>
      <c r="BA81" s="26">
        <v>1</v>
      </c>
      <c r="BB81" s="26">
        <v>0</v>
      </c>
      <c r="BC81" s="26">
        <v>0</v>
      </c>
      <c r="BD81" s="26">
        <v>-7.4505805969238281E-9</v>
      </c>
      <c r="BE81" s="26">
        <v>0</v>
      </c>
      <c r="BF81" s="26">
        <v>0</v>
      </c>
      <c r="BG81" s="26">
        <v>0</v>
      </c>
      <c r="BH81" s="26">
        <v>-3.7252902984619141E-9</v>
      </c>
      <c r="BJ81" s="95">
        <v>1</v>
      </c>
      <c r="BK81" s="26">
        <v>1</v>
      </c>
      <c r="BL81" s="26">
        <v>0</v>
      </c>
      <c r="BM81" s="26">
        <v>0</v>
      </c>
      <c r="BN81" s="26">
        <v>7.4505805969238281E-9</v>
      </c>
      <c r="BO81" s="26">
        <v>0</v>
      </c>
      <c r="BP81" s="26">
        <v>0</v>
      </c>
      <c r="BQ81" s="26">
        <v>0</v>
      </c>
      <c r="BR81" s="26">
        <v>-1.1175870895385742E-8</v>
      </c>
      <c r="BT81" s="95">
        <v>1</v>
      </c>
      <c r="BU81" s="26">
        <v>1</v>
      </c>
      <c r="BV81" s="26">
        <v>0</v>
      </c>
      <c r="BW81" s="26">
        <v>0</v>
      </c>
      <c r="BX81" s="26">
        <v>7.4505805969238281E-9</v>
      </c>
      <c r="BY81" s="26">
        <v>0</v>
      </c>
      <c r="BZ81" s="26">
        <v>0</v>
      </c>
      <c r="CA81" s="26">
        <v>0</v>
      </c>
      <c r="CB81" s="26">
        <v>-1.1175870895385742E-8</v>
      </c>
      <c r="CD81" s="95">
        <v>1</v>
      </c>
      <c r="CE81" s="26">
        <v>1</v>
      </c>
      <c r="CF81" s="26">
        <v>0</v>
      </c>
      <c r="CG81" s="26">
        <v>0</v>
      </c>
      <c r="CH81" s="26">
        <v>7.4505805969238281E-9</v>
      </c>
      <c r="CI81" s="26">
        <v>0</v>
      </c>
      <c r="CJ81" s="26">
        <v>0</v>
      </c>
      <c r="CK81" s="26">
        <v>0</v>
      </c>
      <c r="CL81" s="26">
        <v>-1.1175870895385742E-8</v>
      </c>
      <c r="CN81" s="95">
        <v>1</v>
      </c>
      <c r="CO81" s="26">
        <v>1</v>
      </c>
      <c r="CP81" s="26">
        <v>0</v>
      </c>
      <c r="CQ81" s="26">
        <v>0</v>
      </c>
      <c r="CR81" s="26">
        <v>0</v>
      </c>
      <c r="CS81" s="26">
        <v>0</v>
      </c>
      <c r="CT81" s="26">
        <v>0</v>
      </c>
      <c r="CU81" s="26">
        <v>0</v>
      </c>
      <c r="CV81" s="26">
        <v>-1.4901161193847656E-8</v>
      </c>
      <c r="CX81" s="95">
        <v>1</v>
      </c>
      <c r="CY81" s="26">
        <v>1</v>
      </c>
      <c r="CZ81" s="26">
        <v>0</v>
      </c>
      <c r="DA81" s="26">
        <v>0</v>
      </c>
      <c r="DB81" s="26">
        <v>-2.9802322387695313E-8</v>
      </c>
      <c r="DC81" s="26">
        <v>0</v>
      </c>
      <c r="DD81" s="26">
        <v>0</v>
      </c>
      <c r="DE81" s="26">
        <v>0</v>
      </c>
      <c r="DF81" s="26">
        <v>-1.4901161193847656E-8</v>
      </c>
      <c r="DH81" s="95">
        <v>1</v>
      </c>
      <c r="DI81" s="26">
        <v>1</v>
      </c>
      <c r="DJ81" s="26">
        <v>0</v>
      </c>
      <c r="DK81" s="26">
        <v>0</v>
      </c>
      <c r="DL81" s="26">
        <v>-1.1920928955078125E-7</v>
      </c>
      <c r="DM81" s="26">
        <v>0</v>
      </c>
      <c r="DN81" s="26">
        <v>0</v>
      </c>
      <c r="DO81" s="26">
        <v>0</v>
      </c>
      <c r="DP81" s="26">
        <v>0</v>
      </c>
      <c r="DR81" s="95">
        <v>1</v>
      </c>
      <c r="DS81" s="26">
        <v>1</v>
      </c>
      <c r="DT81" s="26">
        <v>0</v>
      </c>
      <c r="DU81" s="26">
        <v>0</v>
      </c>
      <c r="DV81" s="26">
        <v>0</v>
      </c>
      <c r="DW81" s="26">
        <v>0</v>
      </c>
      <c r="DX81" s="26">
        <v>0</v>
      </c>
      <c r="DY81" s="26">
        <v>0</v>
      </c>
      <c r="DZ81" s="26">
        <v>-5.9604644775390625E-8</v>
      </c>
      <c r="EB81" s="95">
        <v>1</v>
      </c>
      <c r="EC81" s="26">
        <v>1</v>
      </c>
      <c r="ED81" s="26">
        <v>0</v>
      </c>
      <c r="EE81" s="26">
        <v>0</v>
      </c>
      <c r="EF81" s="26">
        <v>0</v>
      </c>
      <c r="EG81" s="26">
        <v>0</v>
      </c>
      <c r="EH81" s="26">
        <v>0</v>
      </c>
      <c r="EI81" s="26">
        <v>0</v>
      </c>
      <c r="EJ81" s="26">
        <v>-1.1920928955078125E-7</v>
      </c>
      <c r="EL81" s="95">
        <v>1</v>
      </c>
      <c r="EM81" s="26">
        <v>1</v>
      </c>
      <c r="EN81" s="26">
        <v>0</v>
      </c>
      <c r="EO81" s="26">
        <v>0</v>
      </c>
      <c r="EP81" s="26">
        <v>1.1920928955078125E-7</v>
      </c>
      <c r="EQ81" s="26">
        <v>0</v>
      </c>
      <c r="ER81" s="26">
        <v>0</v>
      </c>
      <c r="ES81" s="26">
        <v>0</v>
      </c>
      <c r="ET81" s="26">
        <v>-1.1920928955078125E-7</v>
      </c>
      <c r="EV81" s="95">
        <v>1</v>
      </c>
      <c r="EW81" s="26">
        <v>1</v>
      </c>
      <c r="EX81" s="26">
        <v>0</v>
      </c>
      <c r="EY81" s="26">
        <v>0</v>
      </c>
      <c r="EZ81" s="26">
        <v>2.384185791015625E-7</v>
      </c>
      <c r="FA81" s="26">
        <v>0</v>
      </c>
      <c r="FB81" s="26">
        <v>0</v>
      </c>
      <c r="FC81" s="26">
        <v>0</v>
      </c>
      <c r="FD81" s="26">
        <v>-1.1920928955078125E-7</v>
      </c>
      <c r="FF81" s="95">
        <v>1</v>
      </c>
      <c r="FG81" s="26">
        <v>1</v>
      </c>
      <c r="FH81" s="26">
        <v>0</v>
      </c>
      <c r="FI81" s="26">
        <v>0</v>
      </c>
      <c r="FJ81" s="26">
        <v>-1.1920928955078125E-7</v>
      </c>
      <c r="FK81" s="26">
        <v>0</v>
      </c>
      <c r="FL81" s="26">
        <v>0</v>
      </c>
      <c r="FM81" s="26">
        <v>0</v>
      </c>
      <c r="FN81" s="26">
        <v>-5.9604644775390625E-8</v>
      </c>
      <c r="FP81" s="95">
        <v>1</v>
      </c>
      <c r="FQ81" s="26">
        <v>1</v>
      </c>
      <c r="FR81" s="26">
        <v>0</v>
      </c>
      <c r="FS81" s="26">
        <v>0</v>
      </c>
      <c r="FT81" s="26">
        <v>2.384185791015625E-7</v>
      </c>
      <c r="FU81" s="26">
        <v>0</v>
      </c>
      <c r="FV81" s="26">
        <v>0</v>
      </c>
      <c r="FW81" s="26">
        <v>0</v>
      </c>
      <c r="FX81" s="26">
        <v>-2.384185791015625E-7</v>
      </c>
      <c r="FZ81" s="95">
        <v>1</v>
      </c>
      <c r="GA81" s="26">
        <v>1</v>
      </c>
      <c r="GB81" s="26">
        <v>0</v>
      </c>
      <c r="GC81" s="26">
        <v>0</v>
      </c>
      <c r="GD81" s="26">
        <v>1.1920928955078125E-7</v>
      </c>
      <c r="GE81" s="26">
        <v>0</v>
      </c>
      <c r="GF81" s="26">
        <v>0</v>
      </c>
      <c r="GG81" s="26">
        <v>0</v>
      </c>
      <c r="GH81" s="26">
        <v>-5.9604644775390625E-8</v>
      </c>
      <c r="GJ81" s="95">
        <v>1</v>
      </c>
      <c r="GK81" s="26">
        <v>1</v>
      </c>
      <c r="GL81" s="26">
        <v>0</v>
      </c>
      <c r="GM81" s="26">
        <v>0</v>
      </c>
      <c r="GN81" s="26">
        <v>0</v>
      </c>
      <c r="GO81" s="26">
        <v>0</v>
      </c>
      <c r="GP81" s="26">
        <v>0</v>
      </c>
      <c r="GQ81" s="26">
        <v>0</v>
      </c>
      <c r="GR81" s="26">
        <v>-1.7881393432617188E-7</v>
      </c>
      <c r="GT81" s="95">
        <v>1</v>
      </c>
      <c r="GU81" s="26">
        <v>1</v>
      </c>
      <c r="GV81" s="26">
        <v>0</v>
      </c>
      <c r="GW81" s="26">
        <v>0</v>
      </c>
      <c r="GX81" s="26">
        <v>0</v>
      </c>
      <c r="GY81" s="26">
        <v>0</v>
      </c>
      <c r="GZ81" s="26">
        <v>0</v>
      </c>
      <c r="HA81" s="26">
        <v>0</v>
      </c>
      <c r="HB81" s="26">
        <v>-7.4505805969238281E-9</v>
      </c>
    </row>
    <row r="82" spans="2:210">
      <c r="C82" s="26">
        <v>3</v>
      </c>
      <c r="D82" s="26">
        <v>1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-4.4703483581542969E-8</v>
      </c>
      <c r="M82" s="26">
        <v>3</v>
      </c>
      <c r="N82" s="26">
        <v>1</v>
      </c>
      <c r="O82" s="26">
        <v>0</v>
      </c>
      <c r="P82" s="26">
        <v>5.9604644775390625E-8</v>
      </c>
      <c r="Q82" s="26">
        <v>0</v>
      </c>
      <c r="R82" s="26">
        <v>0</v>
      </c>
      <c r="S82" s="26">
        <v>0</v>
      </c>
      <c r="T82" s="26">
        <v>2.9802322387695313E-8</v>
      </c>
      <c r="W82" s="26">
        <v>3</v>
      </c>
      <c r="X82" s="26">
        <v>1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-1.8189894035458565E-12</v>
      </c>
      <c r="AG82" s="26">
        <v>3</v>
      </c>
      <c r="AH82" s="26">
        <v>1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-1.8189894035458565E-12</v>
      </c>
      <c r="AQ82" s="26">
        <v>3</v>
      </c>
      <c r="AR82" s="26">
        <v>1</v>
      </c>
      <c r="AS82" s="26">
        <v>0</v>
      </c>
      <c r="AT82" s="26">
        <v>0</v>
      </c>
      <c r="AU82" s="26">
        <v>0</v>
      </c>
      <c r="AV82" s="26">
        <v>0</v>
      </c>
      <c r="AW82" s="26">
        <v>0</v>
      </c>
      <c r="AX82" s="26">
        <v>-3.7252902984619141E-9</v>
      </c>
      <c r="BA82" s="26">
        <v>3</v>
      </c>
      <c r="BB82" s="26">
        <v>1</v>
      </c>
      <c r="BC82" s="26">
        <v>0</v>
      </c>
      <c r="BD82" s="26">
        <v>-7.4505805969238281E-9</v>
      </c>
      <c r="BE82" s="26">
        <v>0</v>
      </c>
      <c r="BF82" s="26">
        <v>0</v>
      </c>
      <c r="BG82" s="26">
        <v>0</v>
      </c>
      <c r="BH82" s="26">
        <v>-1.1175870895385742E-8</v>
      </c>
      <c r="BK82" s="26">
        <v>3</v>
      </c>
      <c r="BL82" s="26">
        <v>1</v>
      </c>
      <c r="BM82" s="26">
        <v>0</v>
      </c>
      <c r="BN82" s="26">
        <v>7.4505805969238281E-9</v>
      </c>
      <c r="BO82" s="26">
        <v>0</v>
      </c>
      <c r="BP82" s="26">
        <v>0</v>
      </c>
      <c r="BQ82" s="26">
        <v>0</v>
      </c>
      <c r="BR82" s="26">
        <v>-3.7252902984619141E-9</v>
      </c>
      <c r="BU82" s="26">
        <v>3</v>
      </c>
      <c r="BV82" s="26">
        <v>1</v>
      </c>
      <c r="BW82" s="26">
        <v>0</v>
      </c>
      <c r="BX82" s="26">
        <v>7.4505805969238281E-9</v>
      </c>
      <c r="BY82" s="26">
        <v>0</v>
      </c>
      <c r="BZ82" s="26">
        <v>0</v>
      </c>
      <c r="CA82" s="26">
        <v>0</v>
      </c>
      <c r="CB82" s="26">
        <v>-3.7252902984619141E-9</v>
      </c>
      <c r="CE82" s="26">
        <v>3</v>
      </c>
      <c r="CF82" s="26">
        <v>1</v>
      </c>
      <c r="CG82" s="26">
        <v>0</v>
      </c>
      <c r="CH82" s="26">
        <v>7.4505805969238281E-9</v>
      </c>
      <c r="CI82" s="26">
        <v>0</v>
      </c>
      <c r="CJ82" s="26">
        <v>0</v>
      </c>
      <c r="CK82" s="26">
        <v>0</v>
      </c>
      <c r="CL82" s="26">
        <v>-3.7252902984619141E-9</v>
      </c>
      <c r="CO82" s="26">
        <v>3</v>
      </c>
      <c r="CP82" s="26">
        <v>1</v>
      </c>
      <c r="CQ82" s="26">
        <v>0</v>
      </c>
      <c r="CR82" s="26">
        <v>0</v>
      </c>
      <c r="CS82" s="26">
        <v>0</v>
      </c>
      <c r="CT82" s="26">
        <v>0</v>
      </c>
      <c r="CU82" s="26">
        <v>0</v>
      </c>
      <c r="CV82" s="26">
        <v>-2.9802322387695313E-8</v>
      </c>
      <c r="CY82" s="26">
        <v>3</v>
      </c>
      <c r="CZ82" s="26">
        <v>1</v>
      </c>
      <c r="DA82" s="26">
        <v>0</v>
      </c>
      <c r="DB82" s="26">
        <v>-2.9802322387695313E-8</v>
      </c>
      <c r="DC82" s="26">
        <v>0</v>
      </c>
      <c r="DD82" s="26">
        <v>0</v>
      </c>
      <c r="DE82" s="26">
        <v>0</v>
      </c>
      <c r="DF82" s="26">
        <v>-2.9802322387695313E-8</v>
      </c>
      <c r="DI82" s="26">
        <v>3</v>
      </c>
      <c r="DJ82" s="26">
        <v>1</v>
      </c>
      <c r="DK82" s="26">
        <v>0</v>
      </c>
      <c r="DL82" s="26">
        <v>-1.1920928955078125E-7</v>
      </c>
      <c r="DM82" s="26">
        <v>0</v>
      </c>
      <c r="DN82" s="26">
        <v>0</v>
      </c>
      <c r="DO82" s="26">
        <v>0</v>
      </c>
      <c r="DP82" s="26">
        <v>-5.9604644775390625E-8</v>
      </c>
      <c r="DS82" s="26">
        <v>3</v>
      </c>
      <c r="DT82" s="26">
        <v>1</v>
      </c>
      <c r="DU82" s="26">
        <v>0</v>
      </c>
      <c r="DV82" s="26">
        <v>0</v>
      </c>
      <c r="DW82" s="26">
        <v>0</v>
      </c>
      <c r="DX82" s="26">
        <v>0</v>
      </c>
      <c r="DY82" s="26">
        <v>0</v>
      </c>
      <c r="DZ82" s="26">
        <v>-5.9604644775390625E-8</v>
      </c>
      <c r="EC82" s="26">
        <v>3</v>
      </c>
      <c r="ED82" s="26">
        <v>1</v>
      </c>
      <c r="EE82" s="26">
        <v>0</v>
      </c>
      <c r="EF82" s="26">
        <v>0</v>
      </c>
      <c r="EG82" s="26">
        <v>0</v>
      </c>
      <c r="EH82" s="26">
        <v>0</v>
      </c>
      <c r="EI82" s="26">
        <v>0</v>
      </c>
      <c r="EJ82" s="26">
        <v>-1.1920928955078125E-7</v>
      </c>
      <c r="EM82" s="26">
        <v>3</v>
      </c>
      <c r="EN82" s="26">
        <v>1</v>
      </c>
      <c r="EO82" s="26">
        <v>0</v>
      </c>
      <c r="EP82" s="26">
        <v>1.1920928955078125E-7</v>
      </c>
      <c r="EQ82" s="26">
        <v>0</v>
      </c>
      <c r="ER82" s="26">
        <v>0</v>
      </c>
      <c r="ES82" s="26">
        <v>0</v>
      </c>
      <c r="ET82" s="26">
        <v>-1.1920928955078125E-7</v>
      </c>
      <c r="EW82" s="26">
        <v>3</v>
      </c>
      <c r="EX82" s="26">
        <v>1</v>
      </c>
      <c r="EY82" s="26">
        <v>0</v>
      </c>
      <c r="EZ82" s="26">
        <v>2.384185791015625E-7</v>
      </c>
      <c r="FA82" s="26">
        <v>0</v>
      </c>
      <c r="FB82" s="26">
        <v>0</v>
      </c>
      <c r="FC82" s="26">
        <v>0</v>
      </c>
      <c r="FD82" s="26">
        <v>0</v>
      </c>
      <c r="FG82" s="26">
        <v>3</v>
      </c>
      <c r="FH82" s="26">
        <v>1</v>
      </c>
      <c r="FI82" s="26">
        <v>0</v>
      </c>
      <c r="FJ82" s="26">
        <v>-1.1920928955078125E-7</v>
      </c>
      <c r="FK82" s="26">
        <v>0</v>
      </c>
      <c r="FL82" s="26">
        <v>0</v>
      </c>
      <c r="FM82" s="26">
        <v>0</v>
      </c>
      <c r="FN82" s="26">
        <v>-1.7881393432617188E-7</v>
      </c>
      <c r="FQ82" s="26">
        <v>3</v>
      </c>
      <c r="FR82" s="26">
        <v>1</v>
      </c>
      <c r="FS82" s="26">
        <v>0</v>
      </c>
      <c r="FT82" s="26">
        <v>2.384185791015625E-7</v>
      </c>
      <c r="FU82" s="26">
        <v>0</v>
      </c>
      <c r="FV82" s="26">
        <v>0</v>
      </c>
      <c r="FW82" s="26">
        <v>0</v>
      </c>
      <c r="FX82" s="26">
        <v>0</v>
      </c>
      <c r="GA82" s="26">
        <v>3</v>
      </c>
      <c r="GB82" s="26">
        <v>1</v>
      </c>
      <c r="GC82" s="26">
        <v>0</v>
      </c>
      <c r="GD82" s="26">
        <v>1.1920928955078125E-7</v>
      </c>
      <c r="GE82" s="26">
        <v>0</v>
      </c>
      <c r="GF82" s="26">
        <v>0</v>
      </c>
      <c r="GG82" s="26">
        <v>0</v>
      </c>
      <c r="GH82" s="26">
        <v>-5.9604644775390625E-8</v>
      </c>
      <c r="GK82" s="26">
        <v>3</v>
      </c>
      <c r="GL82" s="26">
        <v>1</v>
      </c>
      <c r="GM82" s="26">
        <v>0</v>
      </c>
      <c r="GN82" s="26">
        <v>0</v>
      </c>
      <c r="GO82" s="26">
        <v>0</v>
      </c>
      <c r="GP82" s="26">
        <v>0</v>
      </c>
      <c r="GQ82" s="26">
        <v>0</v>
      </c>
      <c r="GR82" s="26">
        <v>-5.9604644775390625E-8</v>
      </c>
      <c r="GU82" s="26">
        <v>3</v>
      </c>
      <c r="GV82" s="26">
        <v>1</v>
      </c>
      <c r="GW82" s="26">
        <v>0</v>
      </c>
      <c r="GX82" s="26">
        <v>0</v>
      </c>
      <c r="GY82" s="26">
        <v>0</v>
      </c>
      <c r="GZ82" s="26">
        <v>0</v>
      </c>
      <c r="HA82" s="26">
        <v>0</v>
      </c>
      <c r="HB82" s="26">
        <v>-1.4901161193847656E-8</v>
      </c>
    </row>
    <row r="83" spans="2:210">
      <c r="B83" s="95">
        <v>2</v>
      </c>
      <c r="C83" s="26">
        <v>2</v>
      </c>
      <c r="D83" s="26">
        <v>0</v>
      </c>
      <c r="E83" s="26">
        <v>-0.16089199483394623</v>
      </c>
      <c r="F83" s="26">
        <v>2309.684326171875</v>
      </c>
      <c r="G83" s="26">
        <v>0</v>
      </c>
      <c r="H83" s="26">
        <v>0</v>
      </c>
      <c r="I83" s="26">
        <v>0</v>
      </c>
      <c r="J83" s="26">
        <v>-184.25471496582031</v>
      </c>
      <c r="L83" s="95">
        <v>2</v>
      </c>
      <c r="M83" s="26">
        <v>2</v>
      </c>
      <c r="N83" s="26">
        <v>0</v>
      </c>
      <c r="O83" s="26">
        <v>-0.18611034750938416</v>
      </c>
      <c r="P83" s="26">
        <v>2903.404052734375</v>
      </c>
      <c r="Q83" s="26">
        <v>0</v>
      </c>
      <c r="R83" s="26">
        <v>0</v>
      </c>
      <c r="S83" s="26">
        <v>0</v>
      </c>
      <c r="T83" s="26">
        <v>158.01641845703125</v>
      </c>
      <c r="V83" s="95">
        <v>2</v>
      </c>
      <c r="W83" s="26">
        <v>2</v>
      </c>
      <c r="X83" s="26">
        <v>0</v>
      </c>
      <c r="Y83" s="26">
        <v>7.8966774046421051E-2</v>
      </c>
      <c r="Z83" s="26">
        <v>-1189.689453125</v>
      </c>
      <c r="AA83" s="26">
        <v>0</v>
      </c>
      <c r="AB83" s="26">
        <v>0</v>
      </c>
      <c r="AC83" s="26">
        <v>0</v>
      </c>
      <c r="AD83" s="26">
        <v>0.59637773036956787</v>
      </c>
      <c r="AF83" s="95">
        <v>2</v>
      </c>
      <c r="AG83" s="26">
        <v>2</v>
      </c>
      <c r="AH83" s="26">
        <v>0</v>
      </c>
      <c r="AI83" s="26">
        <v>0.10192849487066269</v>
      </c>
      <c r="AJ83" s="26">
        <v>-1535.62353515625</v>
      </c>
      <c r="AK83" s="26">
        <v>0</v>
      </c>
      <c r="AL83" s="26">
        <v>0</v>
      </c>
      <c r="AM83" s="26">
        <v>0</v>
      </c>
      <c r="AN83" s="26">
        <v>0.77011948823928833</v>
      </c>
      <c r="AP83" s="95">
        <v>2</v>
      </c>
      <c r="AQ83" s="26">
        <v>2</v>
      </c>
      <c r="AR83" s="26">
        <v>0</v>
      </c>
      <c r="AS83" s="26">
        <v>-3.2403405755758286E-2</v>
      </c>
      <c r="AT83" s="26">
        <v>297.59869384765625</v>
      </c>
      <c r="AU83" s="26">
        <v>0</v>
      </c>
      <c r="AV83" s="26">
        <v>0</v>
      </c>
      <c r="AW83" s="26">
        <v>0</v>
      </c>
      <c r="AX83" s="26">
        <v>-48.315746307373047</v>
      </c>
      <c r="AZ83" s="95">
        <v>2</v>
      </c>
      <c r="BA83" s="26">
        <v>2</v>
      </c>
      <c r="BB83" s="26">
        <v>0</v>
      </c>
      <c r="BC83" s="26">
        <v>-3.6713026463985443E-2</v>
      </c>
      <c r="BD83" s="26">
        <v>337.17880249023437</v>
      </c>
      <c r="BE83" s="26">
        <v>0</v>
      </c>
      <c r="BF83" s="26">
        <v>0</v>
      </c>
      <c r="BG83" s="26">
        <v>0</v>
      </c>
      <c r="BH83" s="26">
        <v>-54.741897583007813</v>
      </c>
      <c r="BJ83" s="95">
        <v>2</v>
      </c>
      <c r="BK83" s="26">
        <v>2</v>
      </c>
      <c r="BL83" s="26">
        <v>0</v>
      </c>
      <c r="BM83" s="26">
        <v>-3.8138773292303085E-2</v>
      </c>
      <c r="BN83" s="26">
        <v>350.27310180664062</v>
      </c>
      <c r="BO83" s="26">
        <v>0</v>
      </c>
      <c r="BP83" s="26">
        <v>0</v>
      </c>
      <c r="BQ83" s="26">
        <v>0</v>
      </c>
      <c r="BR83" s="26">
        <v>-56.867801666259766</v>
      </c>
      <c r="BT83" s="95">
        <v>2</v>
      </c>
      <c r="BU83" s="26">
        <v>2</v>
      </c>
      <c r="BV83" s="26">
        <v>0</v>
      </c>
      <c r="BW83" s="26">
        <v>-3.8138773292303085E-2</v>
      </c>
      <c r="BX83" s="26">
        <v>350.27310180664062</v>
      </c>
      <c r="BY83" s="26">
        <v>0</v>
      </c>
      <c r="BZ83" s="26">
        <v>0</v>
      </c>
      <c r="CA83" s="26">
        <v>0</v>
      </c>
      <c r="CB83" s="26">
        <v>-56.867801666259766</v>
      </c>
      <c r="CD83" s="95">
        <v>2</v>
      </c>
      <c r="CE83" s="26">
        <v>2</v>
      </c>
      <c r="CF83" s="26">
        <v>0</v>
      </c>
      <c r="CG83" s="26">
        <v>-3.8138773292303085E-2</v>
      </c>
      <c r="CH83" s="26">
        <v>350.27310180664062</v>
      </c>
      <c r="CI83" s="26">
        <v>0</v>
      </c>
      <c r="CJ83" s="26">
        <v>0</v>
      </c>
      <c r="CK83" s="26">
        <v>0</v>
      </c>
      <c r="CL83" s="26">
        <v>-56.867801666259766</v>
      </c>
      <c r="CN83" s="95">
        <v>2</v>
      </c>
      <c r="CO83" s="26">
        <v>2</v>
      </c>
      <c r="CP83" s="26">
        <v>0</v>
      </c>
      <c r="CQ83" s="26">
        <v>50.006122589111328</v>
      </c>
      <c r="CR83" s="26">
        <v>-194.39970397949219</v>
      </c>
      <c r="CS83" s="26">
        <v>0</v>
      </c>
      <c r="CT83" s="26">
        <v>0</v>
      </c>
      <c r="CU83" s="26">
        <v>0</v>
      </c>
      <c r="CV83" s="26">
        <v>179.940185546875</v>
      </c>
      <c r="CX83" s="95">
        <v>2</v>
      </c>
      <c r="CY83" s="26">
        <v>2</v>
      </c>
      <c r="CZ83" s="26">
        <v>0</v>
      </c>
      <c r="DA83" s="26">
        <v>62.507656097412109</v>
      </c>
      <c r="DB83" s="26">
        <v>-242.99961853027344</v>
      </c>
      <c r="DC83" s="26">
        <v>0</v>
      </c>
      <c r="DD83" s="26">
        <v>0</v>
      </c>
      <c r="DE83" s="26">
        <v>0</v>
      </c>
      <c r="DF83" s="26">
        <v>224.92523193359375</v>
      </c>
      <c r="DH83" s="95">
        <v>2</v>
      </c>
      <c r="DI83" s="26">
        <v>2</v>
      </c>
      <c r="DJ83" s="26">
        <v>0</v>
      </c>
      <c r="DK83" s="26">
        <v>212.33302307128906</v>
      </c>
      <c r="DL83" s="26">
        <v>-857.23138427734375</v>
      </c>
      <c r="DM83" s="26">
        <v>0</v>
      </c>
      <c r="DN83" s="26">
        <v>0</v>
      </c>
      <c r="DO83" s="26">
        <v>0</v>
      </c>
      <c r="DP83" s="26">
        <v>754.46234130859375</v>
      </c>
      <c r="DR83" s="95">
        <v>2</v>
      </c>
      <c r="DS83" s="26">
        <v>2</v>
      </c>
      <c r="DT83" s="26">
        <v>0</v>
      </c>
      <c r="DU83" s="26">
        <v>245.22224426269531</v>
      </c>
      <c r="DV83" s="26">
        <v>-988.26702880859375</v>
      </c>
      <c r="DW83" s="26">
        <v>0</v>
      </c>
      <c r="DX83" s="26">
        <v>0</v>
      </c>
      <c r="DY83" s="26">
        <v>0</v>
      </c>
      <c r="DZ83" s="26">
        <v>871.850830078125</v>
      </c>
      <c r="EB83" s="95">
        <v>2</v>
      </c>
      <c r="EC83" s="26">
        <v>2</v>
      </c>
      <c r="ED83" s="26">
        <v>0</v>
      </c>
      <c r="EE83" s="26">
        <v>337.34832763671875</v>
      </c>
      <c r="EF83" s="26">
        <v>-1343.2305908203125</v>
      </c>
      <c r="EG83" s="26">
        <v>0</v>
      </c>
      <c r="EH83" s="26">
        <v>0</v>
      </c>
      <c r="EI83" s="26">
        <v>0</v>
      </c>
      <c r="EJ83" s="26">
        <v>1204.312744140625</v>
      </c>
      <c r="EL83" s="95">
        <v>2</v>
      </c>
      <c r="EM83" s="26">
        <v>2</v>
      </c>
      <c r="EN83" s="26">
        <v>0</v>
      </c>
      <c r="EO83" s="26">
        <v>352.16012573242187</v>
      </c>
      <c r="EP83" s="26">
        <v>-1400.8111572265625</v>
      </c>
      <c r="EQ83" s="26">
        <v>0</v>
      </c>
      <c r="ER83" s="26">
        <v>0</v>
      </c>
      <c r="ES83" s="26">
        <v>0</v>
      </c>
      <c r="ET83" s="26">
        <v>1257.6112060546875</v>
      </c>
      <c r="EV83" s="95">
        <v>2</v>
      </c>
      <c r="EW83" s="26">
        <v>2</v>
      </c>
      <c r="EX83" s="26">
        <v>0</v>
      </c>
      <c r="EY83" s="26">
        <v>373.71798706054687</v>
      </c>
      <c r="EZ83" s="26">
        <v>-1487.7957763671875</v>
      </c>
      <c r="FA83" s="26">
        <v>0</v>
      </c>
      <c r="FB83" s="26">
        <v>0</v>
      </c>
      <c r="FC83" s="26">
        <v>0</v>
      </c>
      <c r="FD83" s="26">
        <v>1334.225341796875</v>
      </c>
      <c r="FF83" s="95">
        <v>2</v>
      </c>
      <c r="FG83" s="26">
        <v>2</v>
      </c>
      <c r="FH83" s="26">
        <v>0</v>
      </c>
      <c r="FI83" s="26">
        <v>347.65957641601562</v>
      </c>
      <c r="FJ83" s="26">
        <v>-1383.315185546875</v>
      </c>
      <c r="FK83" s="26">
        <v>0</v>
      </c>
      <c r="FL83" s="26">
        <v>0</v>
      </c>
      <c r="FM83" s="26">
        <v>0</v>
      </c>
      <c r="FN83" s="26">
        <v>1241.4166259765625</v>
      </c>
      <c r="FP83" s="95">
        <v>2</v>
      </c>
      <c r="FQ83" s="26">
        <v>2</v>
      </c>
      <c r="FR83" s="26">
        <v>0</v>
      </c>
      <c r="FS83" s="26">
        <v>339.60498046875</v>
      </c>
      <c r="FT83" s="26">
        <v>-177.48582458496094</v>
      </c>
      <c r="FU83" s="26">
        <v>0</v>
      </c>
      <c r="FV83" s="26">
        <v>0</v>
      </c>
      <c r="FW83" s="26">
        <v>0</v>
      </c>
      <c r="FX83" s="26">
        <v>1604.357421875</v>
      </c>
      <c r="FZ83" s="95">
        <v>2</v>
      </c>
      <c r="GA83" s="26">
        <v>2</v>
      </c>
      <c r="GB83" s="26">
        <v>0</v>
      </c>
      <c r="GC83" s="26">
        <v>214.44752502441406</v>
      </c>
      <c r="GD83" s="26">
        <v>-143.33012390136719</v>
      </c>
      <c r="GE83" s="26">
        <v>0</v>
      </c>
      <c r="GF83" s="26">
        <v>0</v>
      </c>
      <c r="GG83" s="26">
        <v>0</v>
      </c>
      <c r="GH83" s="26">
        <v>999.05914306640625</v>
      </c>
      <c r="GJ83" s="95">
        <v>2</v>
      </c>
      <c r="GK83" s="26">
        <v>2</v>
      </c>
      <c r="GL83" s="26">
        <v>0</v>
      </c>
      <c r="GM83" s="26">
        <v>198.32330322265625</v>
      </c>
      <c r="GN83" s="26">
        <v>-121.16035461425781</v>
      </c>
      <c r="GO83" s="26">
        <v>0</v>
      </c>
      <c r="GP83" s="26">
        <v>0</v>
      </c>
      <c r="GQ83" s="26">
        <v>0</v>
      </c>
      <c r="GR83" s="26">
        <v>929.057861328125</v>
      </c>
      <c r="GT83" s="95">
        <v>2</v>
      </c>
      <c r="GU83" s="26">
        <v>2</v>
      </c>
      <c r="GV83" s="26">
        <v>0</v>
      </c>
      <c r="GW83" s="26">
        <v>57.134342193603516</v>
      </c>
      <c r="GX83" s="26">
        <v>-44.641719818115234</v>
      </c>
      <c r="GY83" s="26">
        <v>0</v>
      </c>
      <c r="GZ83" s="26">
        <v>0</v>
      </c>
      <c r="HA83" s="26">
        <v>0</v>
      </c>
      <c r="HB83" s="26">
        <v>244.65960693359375</v>
      </c>
    </row>
    <row r="84" spans="2:210">
      <c r="D84" s="26">
        <v>2.2000000476837158</v>
      </c>
      <c r="E84" s="26">
        <v>-0.16089199483394623</v>
      </c>
      <c r="F84" s="26">
        <v>2309.684326171875</v>
      </c>
      <c r="G84" s="26">
        <v>0</v>
      </c>
      <c r="H84" s="26">
        <v>0</v>
      </c>
      <c r="I84" s="26">
        <v>0</v>
      </c>
      <c r="J84" s="26">
        <v>4897.05078125</v>
      </c>
      <c r="N84" s="26">
        <v>2.2000000476837158</v>
      </c>
      <c r="O84" s="26">
        <v>-0.18611034750938416</v>
      </c>
      <c r="P84" s="26">
        <v>2903.404052734375</v>
      </c>
      <c r="Q84" s="26">
        <v>0</v>
      </c>
      <c r="R84" s="26">
        <v>0</v>
      </c>
      <c r="S84" s="26">
        <v>0</v>
      </c>
      <c r="T84" s="26">
        <v>6545.50537109375</v>
      </c>
      <c r="X84" s="26">
        <v>2.2000000476837158</v>
      </c>
      <c r="Y84" s="26">
        <v>7.8966774046421051E-2</v>
      </c>
      <c r="Z84" s="26">
        <v>-1189.689453125</v>
      </c>
      <c r="AA84" s="26">
        <v>0</v>
      </c>
      <c r="AB84" s="26">
        <v>0</v>
      </c>
      <c r="AC84" s="26">
        <v>0</v>
      </c>
      <c r="AD84" s="26">
        <v>-2616.720458984375</v>
      </c>
      <c r="AH84" s="26">
        <v>2.2000000476837158</v>
      </c>
      <c r="AI84" s="26">
        <v>0.10192849487066269</v>
      </c>
      <c r="AJ84" s="26">
        <v>-1535.62353515625</v>
      </c>
      <c r="AK84" s="26">
        <v>0</v>
      </c>
      <c r="AL84" s="26">
        <v>0</v>
      </c>
      <c r="AM84" s="26">
        <v>0</v>
      </c>
      <c r="AN84" s="26">
        <v>-3377.601806640625</v>
      </c>
      <c r="AR84" s="26">
        <v>2.2000000476837158</v>
      </c>
      <c r="AS84" s="26">
        <v>-3.2403405755758286E-2</v>
      </c>
      <c r="AT84" s="26">
        <v>297.59869384765625</v>
      </c>
      <c r="AU84" s="26">
        <v>0</v>
      </c>
      <c r="AV84" s="26">
        <v>0</v>
      </c>
      <c r="AW84" s="26">
        <v>0</v>
      </c>
      <c r="AX84" s="26">
        <v>606.4013671875</v>
      </c>
      <c r="BB84" s="26">
        <v>2.2000000476837158</v>
      </c>
      <c r="BC84" s="26">
        <v>-3.6713026463985443E-2</v>
      </c>
      <c r="BD84" s="26">
        <v>337.17880249023437</v>
      </c>
      <c r="BE84" s="26">
        <v>0</v>
      </c>
      <c r="BF84" s="26">
        <v>0</v>
      </c>
      <c r="BG84" s="26">
        <v>0</v>
      </c>
      <c r="BH84" s="26">
        <v>687.05145263671875</v>
      </c>
      <c r="BL84" s="26">
        <v>2.2000000476837158</v>
      </c>
      <c r="BM84" s="26">
        <v>-3.8138773292303085E-2</v>
      </c>
      <c r="BN84" s="26">
        <v>350.27310180664062</v>
      </c>
      <c r="BO84" s="26">
        <v>0</v>
      </c>
      <c r="BP84" s="26">
        <v>0</v>
      </c>
      <c r="BQ84" s="26">
        <v>0</v>
      </c>
      <c r="BR84" s="26">
        <v>713.7330322265625</v>
      </c>
      <c r="BV84" s="26">
        <v>2.2000000476837158</v>
      </c>
      <c r="BW84" s="26">
        <v>-3.8138773292303085E-2</v>
      </c>
      <c r="BX84" s="26">
        <v>350.27310180664062</v>
      </c>
      <c r="BY84" s="26">
        <v>0</v>
      </c>
      <c r="BZ84" s="26">
        <v>0</v>
      </c>
      <c r="CA84" s="26">
        <v>0</v>
      </c>
      <c r="CB84" s="26">
        <v>713.7330322265625</v>
      </c>
      <c r="CF84" s="26">
        <v>2.2000000476837158</v>
      </c>
      <c r="CG84" s="26">
        <v>-3.8138773292303085E-2</v>
      </c>
      <c r="CH84" s="26">
        <v>350.27310180664062</v>
      </c>
      <c r="CI84" s="26">
        <v>0</v>
      </c>
      <c r="CJ84" s="26">
        <v>0</v>
      </c>
      <c r="CK84" s="26">
        <v>0</v>
      </c>
      <c r="CL84" s="26">
        <v>713.7330322265625</v>
      </c>
      <c r="CP84" s="26">
        <v>2.2000000476837158</v>
      </c>
      <c r="CQ84" s="26">
        <v>50.006122589111328</v>
      </c>
      <c r="CR84" s="26">
        <v>-194.39970397949219</v>
      </c>
      <c r="CS84" s="26">
        <v>0</v>
      </c>
      <c r="CT84" s="26">
        <v>0</v>
      </c>
      <c r="CU84" s="26">
        <v>0</v>
      </c>
      <c r="CV84" s="26">
        <v>-247.73915100097656</v>
      </c>
      <c r="CZ84" s="26">
        <v>2.2000000476837158</v>
      </c>
      <c r="DA84" s="26">
        <v>62.507656097412109</v>
      </c>
      <c r="DB84" s="26">
        <v>-242.99961853027344</v>
      </c>
      <c r="DC84" s="26">
        <v>0</v>
      </c>
      <c r="DD84" s="26">
        <v>0</v>
      </c>
      <c r="DE84" s="26">
        <v>0</v>
      </c>
      <c r="DF84" s="26">
        <v>-309.6739501953125</v>
      </c>
      <c r="DJ84" s="26">
        <v>2.2000000476837158</v>
      </c>
      <c r="DK84" s="26">
        <v>212.33302307128906</v>
      </c>
      <c r="DL84" s="26">
        <v>-857.23138427734375</v>
      </c>
      <c r="DM84" s="26">
        <v>0</v>
      </c>
      <c r="DN84" s="26">
        <v>0</v>
      </c>
      <c r="DO84" s="26">
        <v>0</v>
      </c>
      <c r="DP84" s="26">
        <v>-1131.4466552734375</v>
      </c>
      <c r="DT84" s="26">
        <v>2.2000000476837158</v>
      </c>
      <c r="DU84" s="26">
        <v>245.22224426269531</v>
      </c>
      <c r="DV84" s="26">
        <v>-988.26702880859375</v>
      </c>
      <c r="DW84" s="26">
        <v>0</v>
      </c>
      <c r="DX84" s="26">
        <v>0</v>
      </c>
      <c r="DY84" s="26">
        <v>0</v>
      </c>
      <c r="DZ84" s="26">
        <v>-1302.336669921875</v>
      </c>
      <c r="ED84" s="26">
        <v>2.2000000476837158</v>
      </c>
      <c r="EE84" s="26">
        <v>337.34832763671875</v>
      </c>
      <c r="EF84" s="26">
        <v>-1343.2305908203125</v>
      </c>
      <c r="EG84" s="26">
        <v>0</v>
      </c>
      <c r="EH84" s="26">
        <v>0</v>
      </c>
      <c r="EI84" s="26">
        <v>0</v>
      </c>
      <c r="EJ84" s="26">
        <v>-1750.7945556640625</v>
      </c>
      <c r="EN84" s="26">
        <v>2.2000000476837158</v>
      </c>
      <c r="EO84" s="26">
        <v>352.16012573242187</v>
      </c>
      <c r="EP84" s="26">
        <v>-1400.8111572265625</v>
      </c>
      <c r="EQ84" s="26">
        <v>0</v>
      </c>
      <c r="ER84" s="26">
        <v>0</v>
      </c>
      <c r="ES84" s="26">
        <v>0</v>
      </c>
      <c r="ET84" s="26">
        <v>-1824.1734619140625</v>
      </c>
      <c r="EX84" s="26">
        <v>2.2000000476837158</v>
      </c>
      <c r="EY84" s="26">
        <v>373.71798706054687</v>
      </c>
      <c r="EZ84" s="26">
        <v>-1487.7957763671875</v>
      </c>
      <c r="FA84" s="26">
        <v>0</v>
      </c>
      <c r="FB84" s="26">
        <v>0</v>
      </c>
      <c r="FC84" s="26">
        <v>0</v>
      </c>
      <c r="FD84" s="26">
        <v>-1938.92529296875</v>
      </c>
      <c r="FH84" s="26">
        <v>2.2000000476837158</v>
      </c>
      <c r="FI84" s="26">
        <v>347.65957641601562</v>
      </c>
      <c r="FJ84" s="26">
        <v>-1383.315185546875</v>
      </c>
      <c r="FK84" s="26">
        <v>0</v>
      </c>
      <c r="FL84" s="26">
        <v>0</v>
      </c>
      <c r="FM84" s="26">
        <v>0</v>
      </c>
      <c r="FN84" s="26">
        <v>-1801.876953125</v>
      </c>
      <c r="FR84" s="26">
        <v>2.2000000476837158</v>
      </c>
      <c r="FS84" s="26">
        <v>339.60498046875</v>
      </c>
      <c r="FT84" s="26">
        <v>-177.48582458496094</v>
      </c>
      <c r="FU84" s="26">
        <v>0</v>
      </c>
      <c r="FV84" s="26">
        <v>0</v>
      </c>
      <c r="FW84" s="26">
        <v>0</v>
      </c>
      <c r="FX84" s="26">
        <v>1213.888671875</v>
      </c>
      <c r="GB84" s="26">
        <v>2.2000000476837158</v>
      </c>
      <c r="GC84" s="26">
        <v>214.44752502441406</v>
      </c>
      <c r="GD84" s="26">
        <v>-143.33012390136719</v>
      </c>
      <c r="GE84" s="26">
        <v>0</v>
      </c>
      <c r="GF84" s="26">
        <v>0</v>
      </c>
      <c r="GG84" s="26">
        <v>0</v>
      </c>
      <c r="GH84" s="26">
        <v>683.73284912109375</v>
      </c>
      <c r="GL84" s="26">
        <v>2.2000000476837158</v>
      </c>
      <c r="GM84" s="26">
        <v>198.32330322265625</v>
      </c>
      <c r="GN84" s="26">
        <v>-121.16035461425781</v>
      </c>
      <c r="GO84" s="26">
        <v>0</v>
      </c>
      <c r="GP84" s="26">
        <v>0</v>
      </c>
      <c r="GQ84" s="26">
        <v>0</v>
      </c>
      <c r="GR84" s="26">
        <v>662.505126953125</v>
      </c>
      <c r="GV84" s="26">
        <v>2.2000000476837158</v>
      </c>
      <c r="GW84" s="26">
        <v>57.134342193603516</v>
      </c>
      <c r="GX84" s="26">
        <v>-44.641719818115234</v>
      </c>
      <c r="GY84" s="26">
        <v>0</v>
      </c>
      <c r="GZ84" s="26">
        <v>0</v>
      </c>
      <c r="HA84" s="26">
        <v>0</v>
      </c>
      <c r="HB84" s="26">
        <v>146.44783020019531</v>
      </c>
    </row>
    <row r="85" spans="2:210">
      <c r="B85" s="95"/>
      <c r="D85" s="26">
        <v>2.2000000476837158</v>
      </c>
      <c r="E85" s="26">
        <v>-0.16089200973510742</v>
      </c>
      <c r="F85" s="26">
        <v>2309.684326171875</v>
      </c>
      <c r="G85" s="26">
        <v>0</v>
      </c>
      <c r="H85" s="26">
        <v>0</v>
      </c>
      <c r="I85" s="26">
        <v>0</v>
      </c>
      <c r="J85" s="26">
        <v>4897.05078125</v>
      </c>
      <c r="L85" s="95"/>
      <c r="N85" s="26">
        <v>2.2000000476837158</v>
      </c>
      <c r="O85" s="26">
        <v>-0.18611034750938416</v>
      </c>
      <c r="P85" s="26">
        <v>2903.404052734375</v>
      </c>
      <c r="Q85" s="26">
        <v>0</v>
      </c>
      <c r="R85" s="26">
        <v>0</v>
      </c>
      <c r="S85" s="26">
        <v>0</v>
      </c>
      <c r="T85" s="26">
        <v>6545.50537109375</v>
      </c>
      <c r="V85" s="95"/>
      <c r="X85" s="26">
        <v>2.2000000476837158</v>
      </c>
      <c r="Y85" s="26">
        <v>7.8966774046421051E-2</v>
      </c>
      <c r="Z85" s="26">
        <v>-1189.689453125</v>
      </c>
      <c r="AA85" s="26">
        <v>0</v>
      </c>
      <c r="AB85" s="26">
        <v>0</v>
      </c>
      <c r="AC85" s="26">
        <v>0</v>
      </c>
      <c r="AD85" s="26">
        <v>-2616.720458984375</v>
      </c>
      <c r="AF85" s="95"/>
      <c r="AH85" s="26">
        <v>2.2000000476837158</v>
      </c>
      <c r="AI85" s="26">
        <v>0.10192849487066269</v>
      </c>
      <c r="AJ85" s="26">
        <v>-1535.62353515625</v>
      </c>
      <c r="AK85" s="26">
        <v>0</v>
      </c>
      <c r="AL85" s="26">
        <v>0</v>
      </c>
      <c r="AM85" s="26">
        <v>0</v>
      </c>
      <c r="AN85" s="26">
        <v>-3377.601806640625</v>
      </c>
      <c r="AP85" s="95"/>
      <c r="AR85" s="26">
        <v>2.2000000476837158</v>
      </c>
      <c r="AS85" s="26">
        <v>-3.2403405755758286E-2</v>
      </c>
      <c r="AT85" s="26">
        <v>297.59869384765625</v>
      </c>
      <c r="AU85" s="26">
        <v>0</v>
      </c>
      <c r="AV85" s="26">
        <v>0</v>
      </c>
      <c r="AW85" s="26">
        <v>0</v>
      </c>
      <c r="AX85" s="26">
        <v>606.4013671875</v>
      </c>
      <c r="AZ85" s="95"/>
      <c r="BB85" s="26">
        <v>2.2000000476837158</v>
      </c>
      <c r="BC85" s="26">
        <v>-3.6713026463985443E-2</v>
      </c>
      <c r="BD85" s="26">
        <v>337.17880249023437</v>
      </c>
      <c r="BE85" s="26">
        <v>0</v>
      </c>
      <c r="BF85" s="26">
        <v>0</v>
      </c>
      <c r="BG85" s="26">
        <v>0</v>
      </c>
      <c r="BH85" s="26">
        <v>687.05145263671875</v>
      </c>
      <c r="BJ85" s="95"/>
      <c r="BL85" s="26">
        <v>2.2000000476837158</v>
      </c>
      <c r="BM85" s="26">
        <v>-3.8138773292303085E-2</v>
      </c>
      <c r="BN85" s="26">
        <v>350.27310180664062</v>
      </c>
      <c r="BO85" s="26">
        <v>0</v>
      </c>
      <c r="BP85" s="26">
        <v>0</v>
      </c>
      <c r="BQ85" s="26">
        <v>0</v>
      </c>
      <c r="BR85" s="26">
        <v>713.7330322265625</v>
      </c>
      <c r="BT85" s="95"/>
      <c r="BV85" s="26">
        <v>2.2000000476837158</v>
      </c>
      <c r="BW85" s="26">
        <v>-3.8138773292303085E-2</v>
      </c>
      <c r="BX85" s="26">
        <v>350.27310180664062</v>
      </c>
      <c r="BY85" s="26">
        <v>0</v>
      </c>
      <c r="BZ85" s="26">
        <v>0</v>
      </c>
      <c r="CA85" s="26">
        <v>0</v>
      </c>
      <c r="CB85" s="26">
        <v>713.7330322265625</v>
      </c>
      <c r="CD85" s="95"/>
      <c r="CF85" s="26">
        <v>2.2000000476837158</v>
      </c>
      <c r="CG85" s="26">
        <v>-3.8138773292303085E-2</v>
      </c>
      <c r="CH85" s="26">
        <v>350.27310180664062</v>
      </c>
      <c r="CI85" s="26">
        <v>0</v>
      </c>
      <c r="CJ85" s="26">
        <v>0</v>
      </c>
      <c r="CK85" s="26">
        <v>0</v>
      </c>
      <c r="CL85" s="26">
        <v>713.7330322265625</v>
      </c>
      <c r="CN85" s="95"/>
      <c r="CP85" s="26">
        <v>2.2000000476837158</v>
      </c>
      <c r="CQ85" s="26">
        <v>50.006122589111328</v>
      </c>
      <c r="CR85" s="26">
        <v>-194.39970397949219</v>
      </c>
      <c r="CS85" s="26">
        <v>0</v>
      </c>
      <c r="CT85" s="26">
        <v>0</v>
      </c>
      <c r="CU85" s="26">
        <v>0</v>
      </c>
      <c r="CV85" s="26">
        <v>-247.73915100097656</v>
      </c>
      <c r="CX85" s="95"/>
      <c r="CZ85" s="26">
        <v>2.2000000476837158</v>
      </c>
      <c r="DA85" s="26">
        <v>62.507656097412109</v>
      </c>
      <c r="DB85" s="26">
        <v>-242.99961853027344</v>
      </c>
      <c r="DC85" s="26">
        <v>0</v>
      </c>
      <c r="DD85" s="26">
        <v>0</v>
      </c>
      <c r="DE85" s="26">
        <v>0</v>
      </c>
      <c r="DF85" s="26">
        <v>-309.6739501953125</v>
      </c>
      <c r="DH85" s="95"/>
      <c r="DJ85" s="26">
        <v>2.2000000476837158</v>
      </c>
      <c r="DK85" s="26">
        <v>212.33302307128906</v>
      </c>
      <c r="DL85" s="26">
        <v>-857.23138427734375</v>
      </c>
      <c r="DM85" s="26">
        <v>0</v>
      </c>
      <c r="DN85" s="26">
        <v>0</v>
      </c>
      <c r="DO85" s="26">
        <v>0</v>
      </c>
      <c r="DP85" s="26">
        <v>-1131.4466552734375</v>
      </c>
      <c r="DR85" s="95"/>
      <c r="DT85" s="26">
        <v>2.2000000476837158</v>
      </c>
      <c r="DU85" s="26">
        <v>245.22224426269531</v>
      </c>
      <c r="DV85" s="26">
        <v>-988.26702880859375</v>
      </c>
      <c r="DW85" s="26">
        <v>0</v>
      </c>
      <c r="DX85" s="26">
        <v>0</v>
      </c>
      <c r="DY85" s="26">
        <v>0</v>
      </c>
      <c r="DZ85" s="26">
        <v>-1302.336669921875</v>
      </c>
      <c r="EB85" s="95"/>
      <c r="ED85" s="26">
        <v>2.2000000476837158</v>
      </c>
      <c r="EE85" s="26">
        <v>337.34832763671875</v>
      </c>
      <c r="EF85" s="26">
        <v>-1343.2305908203125</v>
      </c>
      <c r="EG85" s="26">
        <v>0</v>
      </c>
      <c r="EH85" s="26">
        <v>0</v>
      </c>
      <c r="EI85" s="26">
        <v>0</v>
      </c>
      <c r="EJ85" s="26">
        <v>-1750.7945556640625</v>
      </c>
      <c r="EL85" s="95"/>
      <c r="EN85" s="26">
        <v>2.2000000476837158</v>
      </c>
      <c r="EO85" s="26">
        <v>352.16012573242187</v>
      </c>
      <c r="EP85" s="26">
        <v>-1400.8111572265625</v>
      </c>
      <c r="EQ85" s="26">
        <v>0</v>
      </c>
      <c r="ER85" s="26">
        <v>0</v>
      </c>
      <c r="ES85" s="26">
        <v>0</v>
      </c>
      <c r="ET85" s="26">
        <v>-1824.1734619140625</v>
      </c>
      <c r="EV85" s="95"/>
      <c r="EX85" s="26">
        <v>2.2000000476837158</v>
      </c>
      <c r="EY85" s="26">
        <v>373.71798706054687</v>
      </c>
      <c r="EZ85" s="26">
        <v>-1487.7957763671875</v>
      </c>
      <c r="FA85" s="26">
        <v>0</v>
      </c>
      <c r="FB85" s="26">
        <v>0</v>
      </c>
      <c r="FC85" s="26">
        <v>0</v>
      </c>
      <c r="FD85" s="26">
        <v>-1938.92529296875</v>
      </c>
      <c r="FF85" s="95"/>
      <c r="FH85" s="26">
        <v>2.2000000476837158</v>
      </c>
      <c r="FI85" s="26">
        <v>347.65957641601562</v>
      </c>
      <c r="FJ85" s="26">
        <v>-1383.315185546875</v>
      </c>
      <c r="FK85" s="26">
        <v>0</v>
      </c>
      <c r="FL85" s="26">
        <v>0</v>
      </c>
      <c r="FM85" s="26">
        <v>0</v>
      </c>
      <c r="FN85" s="26">
        <v>-1801.876953125</v>
      </c>
      <c r="FP85" s="95"/>
      <c r="FR85" s="26">
        <v>2.2000000476837158</v>
      </c>
      <c r="FS85" s="26">
        <v>339.60498046875</v>
      </c>
      <c r="FT85" s="26">
        <v>-177.48582458496094</v>
      </c>
      <c r="FU85" s="26">
        <v>0</v>
      </c>
      <c r="FV85" s="26">
        <v>0</v>
      </c>
      <c r="FW85" s="26">
        <v>0</v>
      </c>
      <c r="FX85" s="26">
        <v>1213.888671875</v>
      </c>
      <c r="FZ85" s="95"/>
      <c r="GB85" s="26">
        <v>2.2000000476837158</v>
      </c>
      <c r="GC85" s="26">
        <v>214.44752502441406</v>
      </c>
      <c r="GD85" s="26">
        <v>-143.33012390136719</v>
      </c>
      <c r="GE85" s="26">
        <v>0</v>
      </c>
      <c r="GF85" s="26">
        <v>0</v>
      </c>
      <c r="GG85" s="26">
        <v>0</v>
      </c>
      <c r="GH85" s="26">
        <v>683.73284912109375</v>
      </c>
      <c r="GJ85" s="95"/>
      <c r="GL85" s="26">
        <v>2.2000000476837158</v>
      </c>
      <c r="GM85" s="26">
        <v>198.32330322265625</v>
      </c>
      <c r="GN85" s="26">
        <v>-121.16035461425781</v>
      </c>
      <c r="GO85" s="26">
        <v>0</v>
      </c>
      <c r="GP85" s="26">
        <v>0</v>
      </c>
      <c r="GQ85" s="26">
        <v>0</v>
      </c>
      <c r="GR85" s="26">
        <v>662.505126953125</v>
      </c>
      <c r="GT85" s="95"/>
      <c r="GV85" s="26">
        <v>2.2000000476837158</v>
      </c>
      <c r="GW85" s="26">
        <v>57.134342193603516</v>
      </c>
      <c r="GX85" s="26">
        <v>-44.641719818115234</v>
      </c>
      <c r="GY85" s="26">
        <v>0</v>
      </c>
      <c r="GZ85" s="26">
        <v>0</v>
      </c>
      <c r="HA85" s="26">
        <v>0</v>
      </c>
      <c r="HB85" s="26">
        <v>146.44783020019531</v>
      </c>
    </row>
    <row r="86" spans="2:210">
      <c r="C86" s="26">
        <v>3</v>
      </c>
      <c r="D86" s="26">
        <v>3</v>
      </c>
      <c r="E86" s="26">
        <v>-0.16089200973510742</v>
      </c>
      <c r="F86" s="26">
        <v>2309.684326171875</v>
      </c>
      <c r="G86" s="26">
        <v>0</v>
      </c>
      <c r="H86" s="26">
        <v>0</v>
      </c>
      <c r="I86" s="26">
        <v>0</v>
      </c>
      <c r="J86" s="26">
        <v>6744.7978515625</v>
      </c>
      <c r="M86" s="26">
        <v>3</v>
      </c>
      <c r="N86" s="26">
        <v>3</v>
      </c>
      <c r="O86" s="26">
        <v>-0.18611034750938416</v>
      </c>
      <c r="P86" s="26">
        <v>2903.404052734375</v>
      </c>
      <c r="Q86" s="26">
        <v>0</v>
      </c>
      <c r="R86" s="26">
        <v>0</v>
      </c>
      <c r="S86" s="26">
        <v>0</v>
      </c>
      <c r="T86" s="26">
        <v>8868.228515625</v>
      </c>
      <c r="W86" s="26">
        <v>3</v>
      </c>
      <c r="X86" s="26">
        <v>3</v>
      </c>
      <c r="Y86" s="26">
        <v>7.8966774046421051E-2</v>
      </c>
      <c r="Z86" s="26">
        <v>-1189.689453125</v>
      </c>
      <c r="AA86" s="26">
        <v>0</v>
      </c>
      <c r="AB86" s="26">
        <v>0</v>
      </c>
      <c r="AC86" s="26">
        <v>0</v>
      </c>
      <c r="AD86" s="26">
        <v>-3568.471923828125</v>
      </c>
      <c r="AG86" s="26">
        <v>3</v>
      </c>
      <c r="AH86" s="26">
        <v>3</v>
      </c>
      <c r="AI86" s="26">
        <v>0.10192849487066269</v>
      </c>
      <c r="AJ86" s="26">
        <v>-1535.62353515625</v>
      </c>
      <c r="AK86" s="26">
        <v>0</v>
      </c>
      <c r="AL86" s="26">
        <v>0</v>
      </c>
      <c r="AM86" s="26">
        <v>0</v>
      </c>
      <c r="AN86" s="26">
        <v>-4606.1005859375</v>
      </c>
      <c r="AQ86" s="26">
        <v>3</v>
      </c>
      <c r="AR86" s="26">
        <v>3</v>
      </c>
      <c r="AS86" s="26">
        <v>-3.2403405755758286E-2</v>
      </c>
      <c r="AT86" s="26">
        <v>297.59869384765625</v>
      </c>
      <c r="AU86" s="26">
        <v>0</v>
      </c>
      <c r="AV86" s="26">
        <v>0</v>
      </c>
      <c r="AW86" s="26">
        <v>0</v>
      </c>
      <c r="AX86" s="26">
        <v>844.4803466796875</v>
      </c>
      <c r="BA86" s="26">
        <v>3</v>
      </c>
      <c r="BB86" s="26">
        <v>3</v>
      </c>
      <c r="BC86" s="26">
        <v>-3.6713026463985443E-2</v>
      </c>
      <c r="BD86" s="26">
        <v>337.17880249023437</v>
      </c>
      <c r="BE86" s="26">
        <v>0</v>
      </c>
      <c r="BF86" s="26">
        <v>0</v>
      </c>
      <c r="BG86" s="26">
        <v>0</v>
      </c>
      <c r="BH86" s="26">
        <v>956.79449462890625</v>
      </c>
      <c r="BK86" s="26">
        <v>3</v>
      </c>
      <c r="BL86" s="26">
        <v>3</v>
      </c>
      <c r="BM86" s="26">
        <v>-3.8138773292303085E-2</v>
      </c>
      <c r="BN86" s="26">
        <v>350.27310180664062</v>
      </c>
      <c r="BO86" s="26">
        <v>0</v>
      </c>
      <c r="BP86" s="26">
        <v>0</v>
      </c>
      <c r="BQ86" s="26">
        <v>0</v>
      </c>
      <c r="BR86" s="26">
        <v>993.9515380859375</v>
      </c>
      <c r="BU86" s="26">
        <v>3</v>
      </c>
      <c r="BV86" s="26">
        <v>3</v>
      </c>
      <c r="BW86" s="26">
        <v>-3.8138773292303085E-2</v>
      </c>
      <c r="BX86" s="26">
        <v>350.27310180664062</v>
      </c>
      <c r="BY86" s="26">
        <v>0</v>
      </c>
      <c r="BZ86" s="26">
        <v>0</v>
      </c>
      <c r="CA86" s="26">
        <v>0</v>
      </c>
      <c r="CB86" s="26">
        <v>993.9515380859375</v>
      </c>
      <c r="CE86" s="26">
        <v>3</v>
      </c>
      <c r="CF86" s="26">
        <v>3</v>
      </c>
      <c r="CG86" s="26">
        <v>-3.8138773292303085E-2</v>
      </c>
      <c r="CH86" s="26">
        <v>350.27310180664062</v>
      </c>
      <c r="CI86" s="26">
        <v>0</v>
      </c>
      <c r="CJ86" s="26">
        <v>0</v>
      </c>
      <c r="CK86" s="26">
        <v>0</v>
      </c>
      <c r="CL86" s="26">
        <v>993.9515380859375</v>
      </c>
      <c r="CO86" s="26">
        <v>3</v>
      </c>
      <c r="CP86" s="26">
        <v>3</v>
      </c>
      <c r="CQ86" s="26">
        <v>50.006122589111328</v>
      </c>
      <c r="CR86" s="26">
        <v>-194.39970397949219</v>
      </c>
      <c r="CS86" s="26">
        <v>0</v>
      </c>
      <c r="CT86" s="26">
        <v>0</v>
      </c>
      <c r="CU86" s="26">
        <v>0</v>
      </c>
      <c r="CV86" s="26">
        <v>-403.2589111328125</v>
      </c>
      <c r="CY86" s="26">
        <v>3</v>
      </c>
      <c r="CZ86" s="26">
        <v>3</v>
      </c>
      <c r="DA86" s="26">
        <v>62.507656097412109</v>
      </c>
      <c r="DB86" s="26">
        <v>-242.99961853027344</v>
      </c>
      <c r="DC86" s="26">
        <v>0</v>
      </c>
      <c r="DD86" s="26">
        <v>0</v>
      </c>
      <c r="DE86" s="26">
        <v>0</v>
      </c>
      <c r="DF86" s="26">
        <v>-504.07363891601562</v>
      </c>
      <c r="DI86" s="26">
        <v>3</v>
      </c>
      <c r="DJ86" s="26">
        <v>3</v>
      </c>
      <c r="DK86" s="26">
        <v>212.33302307128906</v>
      </c>
      <c r="DL86" s="26">
        <v>-857.23138427734375</v>
      </c>
      <c r="DM86" s="26">
        <v>0</v>
      </c>
      <c r="DN86" s="26">
        <v>0</v>
      </c>
      <c r="DO86" s="26">
        <v>0</v>
      </c>
      <c r="DP86" s="26">
        <v>-1817.2318115234375</v>
      </c>
      <c r="DS86" s="26">
        <v>3</v>
      </c>
      <c r="DT86" s="26">
        <v>3</v>
      </c>
      <c r="DU86" s="26">
        <v>245.22224426269531</v>
      </c>
      <c r="DV86" s="26">
        <v>-988.26702880859375</v>
      </c>
      <c r="DW86" s="26">
        <v>0</v>
      </c>
      <c r="DX86" s="26">
        <v>0</v>
      </c>
      <c r="DY86" s="26">
        <v>0</v>
      </c>
      <c r="DZ86" s="26">
        <v>-2092.950439453125</v>
      </c>
      <c r="EC86" s="26">
        <v>3</v>
      </c>
      <c r="ED86" s="26">
        <v>3</v>
      </c>
      <c r="EE86" s="26">
        <v>337.34832763671875</v>
      </c>
      <c r="EF86" s="26">
        <v>-1343.2305908203125</v>
      </c>
      <c r="EG86" s="26">
        <v>0</v>
      </c>
      <c r="EH86" s="26">
        <v>0</v>
      </c>
      <c r="EI86" s="26">
        <v>0</v>
      </c>
      <c r="EJ86" s="26">
        <v>-2825.379150390625</v>
      </c>
      <c r="EM86" s="26">
        <v>3</v>
      </c>
      <c r="EN86" s="26">
        <v>3</v>
      </c>
      <c r="EO86" s="26">
        <v>352.16012573242187</v>
      </c>
      <c r="EP86" s="26">
        <v>-1400.8111572265625</v>
      </c>
      <c r="EQ86" s="26">
        <v>0</v>
      </c>
      <c r="ER86" s="26">
        <v>0</v>
      </c>
      <c r="ES86" s="26">
        <v>0</v>
      </c>
      <c r="ET86" s="26">
        <v>-2944.822509765625</v>
      </c>
      <c r="EW86" s="26">
        <v>3</v>
      </c>
      <c r="EX86" s="26">
        <v>3</v>
      </c>
      <c r="EY86" s="26">
        <v>373.71798706054687</v>
      </c>
      <c r="EZ86" s="26">
        <v>-1487.7957763671875</v>
      </c>
      <c r="FA86" s="26">
        <v>0</v>
      </c>
      <c r="FB86" s="26">
        <v>0</v>
      </c>
      <c r="FC86" s="26">
        <v>0</v>
      </c>
      <c r="FD86" s="26">
        <v>-3129.161865234375</v>
      </c>
      <c r="FG86" s="26">
        <v>3</v>
      </c>
      <c r="FH86" s="26">
        <v>3</v>
      </c>
      <c r="FI86" s="26">
        <v>347.65957641601562</v>
      </c>
      <c r="FJ86" s="26">
        <v>-1383.315185546875</v>
      </c>
      <c r="FK86" s="26">
        <v>0</v>
      </c>
      <c r="FL86" s="26">
        <v>0</v>
      </c>
      <c r="FM86" s="26">
        <v>0</v>
      </c>
      <c r="FN86" s="26">
        <v>-2908.529052734375</v>
      </c>
      <c r="FQ86" s="26">
        <v>3</v>
      </c>
      <c r="FR86" s="26">
        <v>3</v>
      </c>
      <c r="FS86" s="26">
        <v>339.60498046875</v>
      </c>
      <c r="FT86" s="26">
        <v>-177.48582458496094</v>
      </c>
      <c r="FU86" s="26">
        <v>0</v>
      </c>
      <c r="FV86" s="26">
        <v>0</v>
      </c>
      <c r="FW86" s="26">
        <v>0</v>
      </c>
      <c r="FX86" s="26">
        <v>1071.9000244140625</v>
      </c>
      <c r="GA86" s="26">
        <v>3</v>
      </c>
      <c r="GB86" s="26">
        <v>3</v>
      </c>
      <c r="GC86" s="26">
        <v>214.44752502441406</v>
      </c>
      <c r="GD86" s="26">
        <v>-143.33012390136719</v>
      </c>
      <c r="GE86" s="26">
        <v>0</v>
      </c>
      <c r="GF86" s="26">
        <v>0</v>
      </c>
      <c r="GG86" s="26">
        <v>0</v>
      </c>
      <c r="GH86" s="26">
        <v>569.06878662109375</v>
      </c>
      <c r="GK86" s="26">
        <v>3</v>
      </c>
      <c r="GL86" s="26">
        <v>3</v>
      </c>
      <c r="GM86" s="26">
        <v>198.32330322265625</v>
      </c>
      <c r="GN86" s="26">
        <v>-121.16035461425781</v>
      </c>
      <c r="GO86" s="26">
        <v>0</v>
      </c>
      <c r="GP86" s="26">
        <v>0</v>
      </c>
      <c r="GQ86" s="26">
        <v>0</v>
      </c>
      <c r="GR86" s="26">
        <v>565.57684326171875</v>
      </c>
      <c r="GU86" s="26">
        <v>3</v>
      </c>
      <c r="GV86" s="26">
        <v>3</v>
      </c>
      <c r="GW86" s="26">
        <v>57.134342193603516</v>
      </c>
      <c r="GX86" s="26">
        <v>-44.641719818115234</v>
      </c>
      <c r="GY86" s="26">
        <v>0</v>
      </c>
      <c r="GZ86" s="26">
        <v>0</v>
      </c>
      <c r="HA86" s="26">
        <v>0</v>
      </c>
      <c r="HB86" s="26">
        <v>110.73445129394531</v>
      </c>
    </row>
    <row r="87" spans="2:210">
      <c r="B87" s="95">
        <v>3</v>
      </c>
      <c r="C87" s="26">
        <v>3</v>
      </c>
      <c r="D87" s="26">
        <v>0</v>
      </c>
      <c r="E87" s="26">
        <v>-0.16089197993278503</v>
      </c>
      <c r="F87" s="26">
        <v>-3125.065673828125</v>
      </c>
      <c r="G87" s="26">
        <v>0</v>
      </c>
      <c r="H87" s="26">
        <v>0</v>
      </c>
      <c r="I87" s="26">
        <v>0</v>
      </c>
      <c r="J87" s="26">
        <v>4869.408203125</v>
      </c>
      <c r="L87" s="95">
        <v>3</v>
      </c>
      <c r="M87" s="26">
        <v>3</v>
      </c>
      <c r="N87" s="26">
        <v>0</v>
      </c>
      <c r="O87" s="26">
        <v>-0.18611037731170654</v>
      </c>
      <c r="P87" s="26">
        <v>-2193.23583984375</v>
      </c>
      <c r="Q87" s="26">
        <v>0</v>
      </c>
      <c r="R87" s="26">
        <v>0</v>
      </c>
      <c r="S87" s="26">
        <v>0</v>
      </c>
      <c r="T87" s="26">
        <v>3129.0087890625</v>
      </c>
      <c r="V87" s="95">
        <v>3</v>
      </c>
      <c r="W87" s="26">
        <v>3</v>
      </c>
      <c r="X87" s="26">
        <v>0</v>
      </c>
      <c r="Y87" s="26">
        <v>7.8966774046421051E-2</v>
      </c>
      <c r="Z87" s="26">
        <v>1189.6905517578125</v>
      </c>
      <c r="AA87" s="26">
        <v>0</v>
      </c>
      <c r="AB87" s="26">
        <v>0</v>
      </c>
      <c r="AC87" s="26">
        <v>0</v>
      </c>
      <c r="AD87" s="26">
        <v>-1783.9320068359375</v>
      </c>
      <c r="AF87" s="95">
        <v>3</v>
      </c>
      <c r="AG87" s="26">
        <v>3</v>
      </c>
      <c r="AH87" s="26">
        <v>0</v>
      </c>
      <c r="AI87" s="26">
        <v>0.10192849487066269</v>
      </c>
      <c r="AJ87" s="26">
        <v>1535.62646484375</v>
      </c>
      <c r="AK87" s="26">
        <v>0</v>
      </c>
      <c r="AL87" s="26">
        <v>0</v>
      </c>
      <c r="AM87" s="26">
        <v>0</v>
      </c>
      <c r="AN87" s="26">
        <v>-2302.66064453125</v>
      </c>
      <c r="AP87" s="95">
        <v>3</v>
      </c>
      <c r="AQ87" s="26">
        <v>3</v>
      </c>
      <c r="AR87" s="26">
        <v>0</v>
      </c>
      <c r="AS87" s="26">
        <v>-3.2403398305177689E-2</v>
      </c>
      <c r="AT87" s="26">
        <v>-616.361328125</v>
      </c>
      <c r="AU87" s="26">
        <v>0</v>
      </c>
      <c r="AV87" s="26">
        <v>0</v>
      </c>
      <c r="AW87" s="26">
        <v>0</v>
      </c>
      <c r="AX87" s="26">
        <v>972.43035888671875</v>
      </c>
      <c r="AZ87" s="95">
        <v>3</v>
      </c>
      <c r="BA87" s="26">
        <v>3</v>
      </c>
      <c r="BB87" s="26">
        <v>0</v>
      </c>
      <c r="BC87" s="26">
        <v>-3.6713019013404846E-2</v>
      </c>
      <c r="BD87" s="26">
        <v>-698.337890625</v>
      </c>
      <c r="BE87" s="26">
        <v>0</v>
      </c>
      <c r="BF87" s="26">
        <v>0</v>
      </c>
      <c r="BG87" s="26">
        <v>0</v>
      </c>
      <c r="BH87" s="26">
        <v>1101.7645263671875</v>
      </c>
      <c r="BJ87" s="95">
        <v>3</v>
      </c>
      <c r="BK87" s="26">
        <v>3</v>
      </c>
      <c r="BL87" s="26">
        <v>0</v>
      </c>
      <c r="BM87" s="26">
        <v>-3.8138765841722488E-2</v>
      </c>
      <c r="BN87" s="26">
        <v>-725.45782470703125</v>
      </c>
      <c r="BO87" s="26">
        <v>0</v>
      </c>
      <c r="BP87" s="26">
        <v>0</v>
      </c>
      <c r="BQ87" s="26">
        <v>0</v>
      </c>
      <c r="BR87" s="26">
        <v>1144.551513671875</v>
      </c>
      <c r="BT87" s="95">
        <v>3</v>
      </c>
      <c r="BU87" s="26">
        <v>3</v>
      </c>
      <c r="BV87" s="26">
        <v>0</v>
      </c>
      <c r="BW87" s="26">
        <v>-3.8138765841722488E-2</v>
      </c>
      <c r="BX87" s="26">
        <v>-725.45782470703125</v>
      </c>
      <c r="BY87" s="26">
        <v>0</v>
      </c>
      <c r="BZ87" s="26">
        <v>0</v>
      </c>
      <c r="CA87" s="26">
        <v>0</v>
      </c>
      <c r="CB87" s="26">
        <v>1144.551513671875</v>
      </c>
      <c r="CD87" s="95">
        <v>3</v>
      </c>
      <c r="CE87" s="26">
        <v>3</v>
      </c>
      <c r="CF87" s="26">
        <v>0</v>
      </c>
      <c r="CG87" s="26">
        <v>-3.8138765841722488E-2</v>
      </c>
      <c r="CH87" s="26">
        <v>-725.45782470703125</v>
      </c>
      <c r="CI87" s="26">
        <v>0</v>
      </c>
      <c r="CJ87" s="26">
        <v>0</v>
      </c>
      <c r="CK87" s="26">
        <v>0</v>
      </c>
      <c r="CL87" s="26">
        <v>1144.551513671875</v>
      </c>
      <c r="CN87" s="95">
        <v>3</v>
      </c>
      <c r="CO87" s="26">
        <v>3</v>
      </c>
      <c r="CP87" s="26">
        <v>0</v>
      </c>
      <c r="CQ87" s="26">
        <v>-49.993877410888672</v>
      </c>
      <c r="CR87" s="26">
        <v>-194.39970397949219</v>
      </c>
      <c r="CS87" s="26">
        <v>0</v>
      </c>
      <c r="CT87" s="26">
        <v>0</v>
      </c>
      <c r="CU87" s="26">
        <v>0</v>
      </c>
      <c r="CV87" s="26">
        <v>111.7410888671875</v>
      </c>
      <c r="CX87" s="95">
        <v>3</v>
      </c>
      <c r="CY87" s="26">
        <v>3</v>
      </c>
      <c r="CZ87" s="26">
        <v>0</v>
      </c>
      <c r="DA87" s="26">
        <v>-62.492343902587891</v>
      </c>
      <c r="DB87" s="26">
        <v>-242.99961853027344</v>
      </c>
      <c r="DC87" s="26">
        <v>0</v>
      </c>
      <c r="DD87" s="26">
        <v>0</v>
      </c>
      <c r="DE87" s="26">
        <v>0</v>
      </c>
      <c r="DF87" s="26">
        <v>139.67636108398437</v>
      </c>
      <c r="DH87" s="95">
        <v>3</v>
      </c>
      <c r="DI87" s="26">
        <v>3</v>
      </c>
      <c r="DJ87" s="26">
        <v>0</v>
      </c>
      <c r="DK87" s="26">
        <v>-212.2769775390625</v>
      </c>
      <c r="DL87" s="26">
        <v>-857.23138427734375</v>
      </c>
      <c r="DM87" s="26">
        <v>0</v>
      </c>
      <c r="DN87" s="26">
        <v>0</v>
      </c>
      <c r="DO87" s="26">
        <v>0</v>
      </c>
      <c r="DP87" s="26">
        <v>531.75823974609375</v>
      </c>
      <c r="DR87" s="95">
        <v>3</v>
      </c>
      <c r="DS87" s="26">
        <v>3</v>
      </c>
      <c r="DT87" s="26">
        <v>0</v>
      </c>
      <c r="DU87" s="26">
        <v>-245.15776062011719</v>
      </c>
      <c r="DV87" s="26">
        <v>-988.26702880859375</v>
      </c>
      <c r="DW87" s="26">
        <v>0</v>
      </c>
      <c r="DX87" s="26">
        <v>0</v>
      </c>
      <c r="DY87" s="26">
        <v>0</v>
      </c>
      <c r="DZ87" s="26">
        <v>610.97967529296875</v>
      </c>
      <c r="EB87" s="95">
        <v>3</v>
      </c>
      <c r="EC87" s="26">
        <v>3</v>
      </c>
      <c r="ED87" s="26">
        <v>0</v>
      </c>
      <c r="EE87" s="26">
        <v>-337.26168823242187</v>
      </c>
      <c r="EF87" s="26">
        <v>-1343.2305908203125</v>
      </c>
      <c r="EG87" s="26">
        <v>0</v>
      </c>
      <c r="EH87" s="26">
        <v>0</v>
      </c>
      <c r="EI87" s="26">
        <v>0</v>
      </c>
      <c r="EJ87" s="26">
        <v>811.1109619140625</v>
      </c>
      <c r="EL87" s="95">
        <v>3</v>
      </c>
      <c r="EM87" s="26">
        <v>3</v>
      </c>
      <c r="EN87" s="26">
        <v>0</v>
      </c>
      <c r="EO87" s="26">
        <v>-352.06985473632812</v>
      </c>
      <c r="EP87" s="26">
        <v>-1400.8111572265625</v>
      </c>
      <c r="EQ87" s="26">
        <v>0</v>
      </c>
      <c r="ER87" s="26">
        <v>0</v>
      </c>
      <c r="ES87" s="26">
        <v>0</v>
      </c>
      <c r="ET87" s="26">
        <v>844.2076416015625</v>
      </c>
      <c r="EV87" s="95">
        <v>3</v>
      </c>
      <c r="EW87" s="26">
        <v>3</v>
      </c>
      <c r="EX87" s="26">
        <v>0</v>
      </c>
      <c r="EY87" s="26">
        <v>-373.62200927734375</v>
      </c>
      <c r="EZ87" s="26">
        <v>-1487.7957763671875</v>
      </c>
      <c r="FA87" s="26">
        <v>0</v>
      </c>
      <c r="FB87" s="26">
        <v>0</v>
      </c>
      <c r="FC87" s="26">
        <v>0</v>
      </c>
      <c r="FD87" s="26">
        <v>898.108154296875</v>
      </c>
      <c r="FF87" s="95">
        <v>3</v>
      </c>
      <c r="FG87" s="26">
        <v>3</v>
      </c>
      <c r="FH87" s="26">
        <v>0</v>
      </c>
      <c r="FI87" s="26">
        <v>-347.57040405273438</v>
      </c>
      <c r="FJ87" s="26">
        <v>-1383.315185546875</v>
      </c>
      <c r="FK87" s="26">
        <v>0</v>
      </c>
      <c r="FL87" s="26">
        <v>0</v>
      </c>
      <c r="FM87" s="26">
        <v>0</v>
      </c>
      <c r="FN87" s="26">
        <v>834.15093994140625</v>
      </c>
      <c r="FP87" s="95">
        <v>3</v>
      </c>
      <c r="FQ87" s="26">
        <v>3</v>
      </c>
      <c r="FR87" s="26">
        <v>0</v>
      </c>
      <c r="FS87" s="26">
        <v>-339.6650390625</v>
      </c>
      <c r="FT87" s="26">
        <v>-747.4658203125</v>
      </c>
      <c r="FU87" s="26">
        <v>0</v>
      </c>
      <c r="FV87" s="26">
        <v>0</v>
      </c>
      <c r="FW87" s="26">
        <v>0</v>
      </c>
      <c r="FX87" s="26">
        <v>-483.61001586914063</v>
      </c>
      <c r="FZ87" s="95">
        <v>3</v>
      </c>
      <c r="GA87" s="26">
        <v>3</v>
      </c>
      <c r="GB87" s="26">
        <v>0</v>
      </c>
      <c r="GC87" s="26">
        <v>-214.48246765136719</v>
      </c>
      <c r="GD87" s="26">
        <v>-503.2601318359375</v>
      </c>
      <c r="GE87" s="26">
        <v>0</v>
      </c>
      <c r="GF87" s="26">
        <v>0</v>
      </c>
      <c r="GG87" s="26">
        <v>0</v>
      </c>
      <c r="GH87" s="26">
        <v>-244.43122863769531</v>
      </c>
      <c r="GJ87" s="95">
        <v>3</v>
      </c>
      <c r="GK87" s="26">
        <v>3</v>
      </c>
      <c r="GL87" s="26">
        <v>0</v>
      </c>
      <c r="GM87" s="26">
        <v>-198.35670471191406</v>
      </c>
      <c r="GN87" s="26">
        <v>-454.01034545898437</v>
      </c>
      <c r="GO87" s="26">
        <v>0</v>
      </c>
      <c r="GP87" s="26">
        <v>0</v>
      </c>
      <c r="GQ87" s="26">
        <v>0</v>
      </c>
      <c r="GR87" s="26">
        <v>-248.29316711425781</v>
      </c>
      <c r="GT87" s="95">
        <v>3</v>
      </c>
      <c r="GU87" s="26">
        <v>3</v>
      </c>
      <c r="GV87" s="26">
        <v>0</v>
      </c>
      <c r="GW87" s="26">
        <v>-57.145656585693359</v>
      </c>
      <c r="GX87" s="26">
        <v>-140.53172302246094</v>
      </c>
      <c r="GY87" s="26">
        <v>0</v>
      </c>
      <c r="GZ87" s="26">
        <v>0</v>
      </c>
      <c r="HA87" s="26">
        <v>0</v>
      </c>
      <c r="HB87" s="26">
        <v>-33.935550689697266</v>
      </c>
    </row>
    <row r="88" spans="2:210">
      <c r="D88" s="26">
        <v>0.80000001192092896</v>
      </c>
      <c r="E88" s="26">
        <v>-0.16089197993278503</v>
      </c>
      <c r="F88" s="26">
        <v>-3125.065673828125</v>
      </c>
      <c r="G88" s="26">
        <v>0</v>
      </c>
      <c r="H88" s="26">
        <v>0</v>
      </c>
      <c r="I88" s="26">
        <v>0</v>
      </c>
      <c r="J88" s="26">
        <v>2369.35546875</v>
      </c>
      <c r="N88" s="26">
        <v>0.80000001192092896</v>
      </c>
      <c r="O88" s="26">
        <v>-0.18611037731170654</v>
      </c>
      <c r="P88" s="26">
        <v>-2193.23583984375</v>
      </c>
      <c r="Q88" s="26">
        <v>0</v>
      </c>
      <c r="R88" s="26">
        <v>0</v>
      </c>
      <c r="S88" s="26">
        <v>0</v>
      </c>
      <c r="T88" s="26">
        <v>1374.4200439453125</v>
      </c>
      <c r="X88" s="26">
        <v>0.80000001192092896</v>
      </c>
      <c r="Y88" s="26">
        <v>7.8966774046421051E-2</v>
      </c>
      <c r="Z88" s="26">
        <v>1189.6905517578125</v>
      </c>
      <c r="AA88" s="26">
        <v>0</v>
      </c>
      <c r="AB88" s="26">
        <v>0</v>
      </c>
      <c r="AC88" s="26">
        <v>0</v>
      </c>
      <c r="AD88" s="26">
        <v>-832.1795654296875</v>
      </c>
      <c r="AH88" s="26">
        <v>0.80000001192092896</v>
      </c>
      <c r="AI88" s="26">
        <v>0.10192849487066269</v>
      </c>
      <c r="AJ88" s="26">
        <v>1535.62646484375</v>
      </c>
      <c r="AK88" s="26">
        <v>0</v>
      </c>
      <c r="AL88" s="26">
        <v>0</v>
      </c>
      <c r="AM88" s="26">
        <v>0</v>
      </c>
      <c r="AN88" s="26">
        <v>-1074.159423828125</v>
      </c>
      <c r="AR88" s="26">
        <v>0.80000001192092896</v>
      </c>
      <c r="AS88" s="26">
        <v>-3.2403398305177689E-2</v>
      </c>
      <c r="AT88" s="26">
        <v>-616.361328125</v>
      </c>
      <c r="AU88" s="26">
        <v>0</v>
      </c>
      <c r="AV88" s="26">
        <v>0</v>
      </c>
      <c r="AW88" s="26">
        <v>0</v>
      </c>
      <c r="AX88" s="26">
        <v>479.34127807617187</v>
      </c>
      <c r="BB88" s="26">
        <v>0.80000001192092896</v>
      </c>
      <c r="BC88" s="26">
        <v>-3.6713019013404846E-2</v>
      </c>
      <c r="BD88" s="26">
        <v>-698.337890625</v>
      </c>
      <c r="BE88" s="26">
        <v>0</v>
      </c>
      <c r="BF88" s="26">
        <v>0</v>
      </c>
      <c r="BG88" s="26">
        <v>0</v>
      </c>
      <c r="BH88" s="26">
        <v>543.09417724609375</v>
      </c>
      <c r="BL88" s="26">
        <v>0.80000001192092896</v>
      </c>
      <c r="BM88" s="26">
        <v>-3.8138765841722488E-2</v>
      </c>
      <c r="BN88" s="26">
        <v>-725.45782470703125</v>
      </c>
      <c r="BO88" s="26">
        <v>0</v>
      </c>
      <c r="BP88" s="26">
        <v>0</v>
      </c>
      <c r="BQ88" s="26">
        <v>0</v>
      </c>
      <c r="BR88" s="26">
        <v>564.18524169921875</v>
      </c>
      <c r="BV88" s="26">
        <v>0.80000001192092896</v>
      </c>
      <c r="BW88" s="26">
        <v>-3.8138765841722488E-2</v>
      </c>
      <c r="BX88" s="26">
        <v>-725.45782470703125</v>
      </c>
      <c r="BY88" s="26">
        <v>0</v>
      </c>
      <c r="BZ88" s="26">
        <v>0</v>
      </c>
      <c r="CA88" s="26">
        <v>0</v>
      </c>
      <c r="CB88" s="26">
        <v>564.18524169921875</v>
      </c>
      <c r="CF88" s="26">
        <v>0.80000001192092896</v>
      </c>
      <c r="CG88" s="26">
        <v>-3.8138765841722488E-2</v>
      </c>
      <c r="CH88" s="26">
        <v>-725.45782470703125</v>
      </c>
      <c r="CI88" s="26">
        <v>0</v>
      </c>
      <c r="CJ88" s="26">
        <v>0</v>
      </c>
      <c r="CK88" s="26">
        <v>0</v>
      </c>
      <c r="CL88" s="26">
        <v>564.18524169921875</v>
      </c>
      <c r="CP88" s="26">
        <v>0.80000001192092896</v>
      </c>
      <c r="CQ88" s="26">
        <v>-49.993877410888672</v>
      </c>
      <c r="CR88" s="26">
        <v>-194.39970397949219</v>
      </c>
      <c r="CS88" s="26">
        <v>0</v>
      </c>
      <c r="CT88" s="26">
        <v>0</v>
      </c>
      <c r="CU88" s="26">
        <v>0</v>
      </c>
      <c r="CV88" s="26">
        <v>-43.778671264648438</v>
      </c>
      <c r="CZ88" s="26">
        <v>0.80000001192092896</v>
      </c>
      <c r="DA88" s="26">
        <v>-62.492343902587891</v>
      </c>
      <c r="DB88" s="26">
        <v>-242.99961853027344</v>
      </c>
      <c r="DC88" s="26">
        <v>0</v>
      </c>
      <c r="DD88" s="26">
        <v>0</v>
      </c>
      <c r="DE88" s="26">
        <v>0</v>
      </c>
      <c r="DF88" s="26">
        <v>-54.723339080810547</v>
      </c>
      <c r="DJ88" s="26">
        <v>0.80000001192092896</v>
      </c>
      <c r="DK88" s="26">
        <v>-212.2769775390625</v>
      </c>
      <c r="DL88" s="26">
        <v>-857.23138427734375</v>
      </c>
      <c r="DM88" s="26">
        <v>0</v>
      </c>
      <c r="DN88" s="26">
        <v>0</v>
      </c>
      <c r="DO88" s="26">
        <v>0</v>
      </c>
      <c r="DP88" s="26">
        <v>-154.02684020996094</v>
      </c>
      <c r="DT88" s="26">
        <v>0.80000001192092896</v>
      </c>
      <c r="DU88" s="26">
        <v>-245.15776062011719</v>
      </c>
      <c r="DV88" s="26">
        <v>-988.26702880859375</v>
      </c>
      <c r="DW88" s="26">
        <v>0</v>
      </c>
      <c r="DX88" s="26">
        <v>0</v>
      </c>
      <c r="DY88" s="26">
        <v>0</v>
      </c>
      <c r="DZ88" s="26">
        <v>-179.63395690917969</v>
      </c>
      <c r="ED88" s="26">
        <v>0.80000001192092896</v>
      </c>
      <c r="EE88" s="26">
        <v>-337.26168823242187</v>
      </c>
      <c r="EF88" s="26">
        <v>-1343.2305908203125</v>
      </c>
      <c r="EG88" s="26">
        <v>0</v>
      </c>
      <c r="EH88" s="26">
        <v>0</v>
      </c>
      <c r="EI88" s="26">
        <v>0</v>
      </c>
      <c r="EJ88" s="26">
        <v>-263.4735107421875</v>
      </c>
      <c r="EN88" s="26">
        <v>0.80000001192092896</v>
      </c>
      <c r="EO88" s="26">
        <v>-352.06985473632812</v>
      </c>
      <c r="EP88" s="26">
        <v>-1400.8111572265625</v>
      </c>
      <c r="EQ88" s="26">
        <v>0</v>
      </c>
      <c r="ER88" s="26">
        <v>0</v>
      </c>
      <c r="ES88" s="26">
        <v>0</v>
      </c>
      <c r="ET88" s="26">
        <v>-276.44134521484375</v>
      </c>
      <c r="EX88" s="26">
        <v>0.80000001192092896</v>
      </c>
      <c r="EY88" s="26">
        <v>-373.62200927734375</v>
      </c>
      <c r="EZ88" s="26">
        <v>-1487.7957763671875</v>
      </c>
      <c r="FA88" s="26">
        <v>0</v>
      </c>
      <c r="FB88" s="26">
        <v>0</v>
      </c>
      <c r="FC88" s="26">
        <v>0</v>
      </c>
      <c r="FD88" s="26">
        <v>-292.12841796875</v>
      </c>
      <c r="FH88" s="26">
        <v>0.80000001192092896</v>
      </c>
      <c r="FI88" s="26">
        <v>-347.57040405273438</v>
      </c>
      <c r="FJ88" s="26">
        <v>-1383.315185546875</v>
      </c>
      <c r="FK88" s="26">
        <v>0</v>
      </c>
      <c r="FL88" s="26">
        <v>0</v>
      </c>
      <c r="FM88" s="26">
        <v>0</v>
      </c>
      <c r="FN88" s="26">
        <v>-272.50128173828125</v>
      </c>
      <c r="FR88" s="26">
        <v>0.80000001192092896</v>
      </c>
      <c r="FS88" s="26">
        <v>-339.6650390625</v>
      </c>
      <c r="FT88" s="26">
        <v>-747.4658203125</v>
      </c>
      <c r="FU88" s="26">
        <v>0</v>
      </c>
      <c r="FV88" s="26">
        <v>0</v>
      </c>
      <c r="FW88" s="26">
        <v>0</v>
      </c>
      <c r="FX88" s="26">
        <v>-1081.5826416015625</v>
      </c>
      <c r="GB88" s="26">
        <v>0.80000001192092896</v>
      </c>
      <c r="GC88" s="26">
        <v>-214.48246765136719</v>
      </c>
      <c r="GD88" s="26">
        <v>-503.2601318359375</v>
      </c>
      <c r="GE88" s="26">
        <v>0</v>
      </c>
      <c r="GF88" s="26">
        <v>0</v>
      </c>
      <c r="GG88" s="26">
        <v>0</v>
      </c>
      <c r="GH88" s="26">
        <v>-647.039306640625</v>
      </c>
      <c r="GL88" s="26">
        <v>0.80000001192092896</v>
      </c>
      <c r="GM88" s="26">
        <v>-198.35670471191406</v>
      </c>
      <c r="GN88" s="26">
        <v>-454.01034545898437</v>
      </c>
      <c r="GO88" s="26">
        <v>0</v>
      </c>
      <c r="GP88" s="26">
        <v>0</v>
      </c>
      <c r="GQ88" s="26">
        <v>0</v>
      </c>
      <c r="GR88" s="26">
        <v>-611.50146484375</v>
      </c>
      <c r="GV88" s="26">
        <v>0.80000001192092896</v>
      </c>
      <c r="GW88" s="26">
        <v>-57.145656585693359</v>
      </c>
      <c r="GX88" s="26">
        <v>-140.53172302246094</v>
      </c>
      <c r="GY88" s="26">
        <v>0</v>
      </c>
      <c r="GZ88" s="26">
        <v>0</v>
      </c>
      <c r="HA88" s="26">
        <v>0</v>
      </c>
      <c r="HB88" s="26">
        <v>-146.36093139648437</v>
      </c>
    </row>
    <row r="89" spans="2:210">
      <c r="B89" s="95"/>
      <c r="D89" s="26">
        <v>0.80000001192092896</v>
      </c>
      <c r="E89" s="26">
        <v>-0.16089195013046265</v>
      </c>
      <c r="F89" s="26">
        <v>-3125.065673828125</v>
      </c>
      <c r="G89" s="26">
        <v>0</v>
      </c>
      <c r="H89" s="26">
        <v>0</v>
      </c>
      <c r="I89" s="26">
        <v>0</v>
      </c>
      <c r="J89" s="26">
        <v>2369.35546875</v>
      </c>
      <c r="L89" s="95"/>
      <c r="N89" s="26">
        <v>0.80000001192092896</v>
      </c>
      <c r="O89" s="26">
        <v>-0.18611037731170654</v>
      </c>
      <c r="P89" s="26">
        <v>-2193.23583984375</v>
      </c>
      <c r="Q89" s="26">
        <v>0</v>
      </c>
      <c r="R89" s="26">
        <v>0</v>
      </c>
      <c r="S89" s="26">
        <v>0</v>
      </c>
      <c r="T89" s="26">
        <v>1374.4200439453125</v>
      </c>
      <c r="V89" s="95"/>
      <c r="X89" s="26">
        <v>0.80000001192092896</v>
      </c>
      <c r="Y89" s="26">
        <v>7.8966774046421051E-2</v>
      </c>
      <c r="Z89" s="26">
        <v>1189.6905517578125</v>
      </c>
      <c r="AA89" s="26">
        <v>0</v>
      </c>
      <c r="AB89" s="26">
        <v>0</v>
      </c>
      <c r="AC89" s="26">
        <v>0</v>
      </c>
      <c r="AD89" s="26">
        <v>-832.1795654296875</v>
      </c>
      <c r="AF89" s="95"/>
      <c r="AH89" s="26">
        <v>0.80000001192092896</v>
      </c>
      <c r="AI89" s="26">
        <v>0.10192848742008209</v>
      </c>
      <c r="AJ89" s="26">
        <v>1535.62646484375</v>
      </c>
      <c r="AK89" s="26">
        <v>0</v>
      </c>
      <c r="AL89" s="26">
        <v>0</v>
      </c>
      <c r="AM89" s="26">
        <v>0</v>
      </c>
      <c r="AN89" s="26">
        <v>-1074.159423828125</v>
      </c>
      <c r="AP89" s="95"/>
      <c r="AR89" s="26">
        <v>0.80000001192092896</v>
      </c>
      <c r="AS89" s="26">
        <v>-3.240339457988739E-2</v>
      </c>
      <c r="AT89" s="26">
        <v>-616.361328125</v>
      </c>
      <c r="AU89" s="26">
        <v>0</v>
      </c>
      <c r="AV89" s="26">
        <v>0</v>
      </c>
      <c r="AW89" s="26">
        <v>0</v>
      </c>
      <c r="AX89" s="26">
        <v>479.34127807617187</v>
      </c>
      <c r="AZ89" s="95"/>
      <c r="BB89" s="26">
        <v>0.80000001192092896</v>
      </c>
      <c r="BC89" s="26">
        <v>-3.6713015288114548E-2</v>
      </c>
      <c r="BD89" s="26">
        <v>-698.337890625</v>
      </c>
      <c r="BE89" s="26">
        <v>0</v>
      </c>
      <c r="BF89" s="26">
        <v>0</v>
      </c>
      <c r="BG89" s="26">
        <v>0</v>
      </c>
      <c r="BH89" s="26">
        <v>543.09417724609375</v>
      </c>
      <c r="BJ89" s="95"/>
      <c r="BL89" s="26">
        <v>0.80000001192092896</v>
      </c>
      <c r="BM89" s="26">
        <v>-3.813876211643219E-2</v>
      </c>
      <c r="BN89" s="26">
        <v>-725.45782470703125</v>
      </c>
      <c r="BO89" s="26">
        <v>0</v>
      </c>
      <c r="BP89" s="26">
        <v>0</v>
      </c>
      <c r="BQ89" s="26">
        <v>0</v>
      </c>
      <c r="BR89" s="26">
        <v>564.18524169921875</v>
      </c>
      <c r="BT89" s="95"/>
      <c r="BV89" s="26">
        <v>0.80000001192092896</v>
      </c>
      <c r="BW89" s="26">
        <v>-3.813876211643219E-2</v>
      </c>
      <c r="BX89" s="26">
        <v>-725.45782470703125</v>
      </c>
      <c r="BY89" s="26">
        <v>0</v>
      </c>
      <c r="BZ89" s="26">
        <v>0</v>
      </c>
      <c r="CA89" s="26">
        <v>0</v>
      </c>
      <c r="CB89" s="26">
        <v>564.18524169921875</v>
      </c>
      <c r="CD89" s="95"/>
      <c r="CF89" s="26">
        <v>0.80000001192092896</v>
      </c>
      <c r="CG89" s="26">
        <v>-3.813876211643219E-2</v>
      </c>
      <c r="CH89" s="26">
        <v>-725.45782470703125</v>
      </c>
      <c r="CI89" s="26">
        <v>0</v>
      </c>
      <c r="CJ89" s="26">
        <v>0</v>
      </c>
      <c r="CK89" s="26">
        <v>0</v>
      </c>
      <c r="CL89" s="26">
        <v>564.18524169921875</v>
      </c>
      <c r="CN89" s="95"/>
      <c r="CP89" s="26">
        <v>0.80000001192092896</v>
      </c>
      <c r="CQ89" s="26">
        <v>-49.993877410888672</v>
      </c>
      <c r="CR89" s="26">
        <v>-194.39970397949219</v>
      </c>
      <c r="CS89" s="26">
        <v>0</v>
      </c>
      <c r="CT89" s="26">
        <v>0</v>
      </c>
      <c r="CU89" s="26">
        <v>0</v>
      </c>
      <c r="CV89" s="26">
        <v>-43.778671264648438</v>
      </c>
      <c r="CX89" s="95"/>
      <c r="CZ89" s="26">
        <v>0.80000001192092896</v>
      </c>
      <c r="DA89" s="26">
        <v>-62.492343902587891</v>
      </c>
      <c r="DB89" s="26">
        <v>-242.99961853027344</v>
      </c>
      <c r="DC89" s="26">
        <v>0</v>
      </c>
      <c r="DD89" s="26">
        <v>0</v>
      </c>
      <c r="DE89" s="26">
        <v>0</v>
      </c>
      <c r="DF89" s="26">
        <v>-54.723339080810547</v>
      </c>
      <c r="DH89" s="95"/>
      <c r="DJ89" s="26">
        <v>0.80000001192092896</v>
      </c>
      <c r="DK89" s="26">
        <v>-212.2769775390625</v>
      </c>
      <c r="DL89" s="26">
        <v>-857.23138427734375</v>
      </c>
      <c r="DM89" s="26">
        <v>0</v>
      </c>
      <c r="DN89" s="26">
        <v>0</v>
      </c>
      <c r="DO89" s="26">
        <v>0</v>
      </c>
      <c r="DP89" s="26">
        <v>-154.02684020996094</v>
      </c>
      <c r="DR89" s="95"/>
      <c r="DT89" s="26">
        <v>0.80000001192092896</v>
      </c>
      <c r="DU89" s="26">
        <v>-245.15776062011719</v>
      </c>
      <c r="DV89" s="26">
        <v>-988.26702880859375</v>
      </c>
      <c r="DW89" s="26">
        <v>0</v>
      </c>
      <c r="DX89" s="26">
        <v>0</v>
      </c>
      <c r="DY89" s="26">
        <v>0</v>
      </c>
      <c r="DZ89" s="26">
        <v>-179.63395690917969</v>
      </c>
      <c r="EB89" s="95"/>
      <c r="ED89" s="26">
        <v>0.80000001192092896</v>
      </c>
      <c r="EE89" s="26">
        <v>-337.26168823242187</v>
      </c>
      <c r="EF89" s="26">
        <v>-1343.2305908203125</v>
      </c>
      <c r="EG89" s="26">
        <v>0</v>
      </c>
      <c r="EH89" s="26">
        <v>0</v>
      </c>
      <c r="EI89" s="26">
        <v>0</v>
      </c>
      <c r="EJ89" s="26">
        <v>-263.4735107421875</v>
      </c>
      <c r="EL89" s="95"/>
      <c r="EN89" s="26">
        <v>0.80000001192092896</v>
      </c>
      <c r="EO89" s="26">
        <v>-352.06985473632812</v>
      </c>
      <c r="EP89" s="26">
        <v>-1400.8111572265625</v>
      </c>
      <c r="EQ89" s="26">
        <v>0</v>
      </c>
      <c r="ER89" s="26">
        <v>0</v>
      </c>
      <c r="ES89" s="26">
        <v>0</v>
      </c>
      <c r="ET89" s="26">
        <v>-276.44134521484375</v>
      </c>
      <c r="EV89" s="95"/>
      <c r="EX89" s="26">
        <v>0.80000001192092896</v>
      </c>
      <c r="EY89" s="26">
        <v>-373.62200927734375</v>
      </c>
      <c r="EZ89" s="26">
        <v>-1487.7957763671875</v>
      </c>
      <c r="FA89" s="26">
        <v>0</v>
      </c>
      <c r="FB89" s="26">
        <v>0</v>
      </c>
      <c r="FC89" s="26">
        <v>0</v>
      </c>
      <c r="FD89" s="26">
        <v>-292.12841796875</v>
      </c>
      <c r="FF89" s="95"/>
      <c r="FH89" s="26">
        <v>0.80000001192092896</v>
      </c>
      <c r="FI89" s="26">
        <v>-347.57040405273438</v>
      </c>
      <c r="FJ89" s="26">
        <v>-1383.315185546875</v>
      </c>
      <c r="FK89" s="26">
        <v>0</v>
      </c>
      <c r="FL89" s="26">
        <v>0</v>
      </c>
      <c r="FM89" s="26">
        <v>0</v>
      </c>
      <c r="FN89" s="26">
        <v>-272.50128173828125</v>
      </c>
      <c r="FP89" s="95"/>
      <c r="FR89" s="26">
        <v>0.80000001192092896</v>
      </c>
      <c r="FS89" s="26">
        <v>-339.6650390625</v>
      </c>
      <c r="FT89" s="26">
        <v>-747.4658203125</v>
      </c>
      <c r="FU89" s="26">
        <v>0</v>
      </c>
      <c r="FV89" s="26">
        <v>0</v>
      </c>
      <c r="FW89" s="26">
        <v>0</v>
      </c>
      <c r="FX89" s="26">
        <v>-1081.5826416015625</v>
      </c>
      <c r="FZ89" s="95"/>
      <c r="GB89" s="26">
        <v>0.80000001192092896</v>
      </c>
      <c r="GC89" s="26">
        <v>-214.48246765136719</v>
      </c>
      <c r="GD89" s="26">
        <v>-503.2601318359375</v>
      </c>
      <c r="GE89" s="26">
        <v>0</v>
      </c>
      <c r="GF89" s="26">
        <v>0</v>
      </c>
      <c r="GG89" s="26">
        <v>0</v>
      </c>
      <c r="GH89" s="26">
        <v>-647.039306640625</v>
      </c>
      <c r="GJ89" s="95"/>
      <c r="GL89" s="26">
        <v>0.80000001192092896</v>
      </c>
      <c r="GM89" s="26">
        <v>-198.35670471191406</v>
      </c>
      <c r="GN89" s="26">
        <v>-454.01034545898437</v>
      </c>
      <c r="GO89" s="26">
        <v>0</v>
      </c>
      <c r="GP89" s="26">
        <v>0</v>
      </c>
      <c r="GQ89" s="26">
        <v>0</v>
      </c>
      <c r="GR89" s="26">
        <v>-611.50146484375</v>
      </c>
      <c r="GT89" s="95"/>
      <c r="GV89" s="26">
        <v>0.80000001192092896</v>
      </c>
      <c r="GW89" s="26">
        <v>-57.145656585693359</v>
      </c>
      <c r="GX89" s="26">
        <v>-140.53172302246094</v>
      </c>
      <c r="GY89" s="26">
        <v>0</v>
      </c>
      <c r="GZ89" s="26">
        <v>0</v>
      </c>
      <c r="HA89" s="26">
        <v>0</v>
      </c>
      <c r="HB89" s="26">
        <v>-146.36093139648437</v>
      </c>
    </row>
    <row r="90" spans="2:210">
      <c r="C90" s="26">
        <v>4</v>
      </c>
      <c r="D90" s="26">
        <v>1.5</v>
      </c>
      <c r="E90" s="26">
        <v>-0.16089195013046265</v>
      </c>
      <c r="F90" s="26">
        <v>-3125.065673828125</v>
      </c>
      <c r="G90" s="26">
        <v>0</v>
      </c>
      <c r="H90" s="26">
        <v>0</v>
      </c>
      <c r="I90" s="26">
        <v>0</v>
      </c>
      <c r="J90" s="26">
        <v>181.809326171875</v>
      </c>
      <c r="M90" s="26">
        <v>4</v>
      </c>
      <c r="N90" s="26">
        <v>1.5</v>
      </c>
      <c r="O90" s="26">
        <v>-0.18611037731170654</v>
      </c>
      <c r="P90" s="26">
        <v>-2193.23583984375</v>
      </c>
      <c r="Q90" s="26">
        <v>0</v>
      </c>
      <c r="R90" s="26">
        <v>0</v>
      </c>
      <c r="S90" s="26">
        <v>0</v>
      </c>
      <c r="T90" s="26">
        <v>-160.84510803222656</v>
      </c>
      <c r="W90" s="26">
        <v>4</v>
      </c>
      <c r="X90" s="26">
        <v>1.5</v>
      </c>
      <c r="Y90" s="26">
        <v>7.8966774046421051E-2</v>
      </c>
      <c r="Z90" s="26">
        <v>1189.6905517578125</v>
      </c>
      <c r="AA90" s="26">
        <v>0</v>
      </c>
      <c r="AB90" s="26">
        <v>0</v>
      </c>
      <c r="AC90" s="26">
        <v>0</v>
      </c>
      <c r="AD90" s="26">
        <v>0.60383409261703491</v>
      </c>
      <c r="AG90" s="26">
        <v>4</v>
      </c>
      <c r="AH90" s="26">
        <v>1.5</v>
      </c>
      <c r="AI90" s="26">
        <v>0.10192848742008209</v>
      </c>
      <c r="AJ90" s="26">
        <v>1535.62646484375</v>
      </c>
      <c r="AK90" s="26">
        <v>0</v>
      </c>
      <c r="AL90" s="26">
        <v>0</v>
      </c>
      <c r="AM90" s="26">
        <v>0</v>
      </c>
      <c r="AN90" s="26">
        <v>0.77908623218536377</v>
      </c>
      <c r="AQ90" s="26">
        <v>4</v>
      </c>
      <c r="AR90" s="26">
        <v>1.5</v>
      </c>
      <c r="AS90" s="26">
        <v>-3.240339457988739E-2</v>
      </c>
      <c r="AT90" s="26">
        <v>-616.361328125</v>
      </c>
      <c r="AU90" s="26">
        <v>0</v>
      </c>
      <c r="AV90" s="26">
        <v>0</v>
      </c>
      <c r="AW90" s="26">
        <v>0</v>
      </c>
      <c r="AX90" s="26">
        <v>47.888378143310547</v>
      </c>
      <c r="BA90" s="26">
        <v>4</v>
      </c>
      <c r="BB90" s="26">
        <v>1.5</v>
      </c>
      <c r="BC90" s="26">
        <v>-3.6713015288114548E-2</v>
      </c>
      <c r="BD90" s="26">
        <v>-698.337890625</v>
      </c>
      <c r="BE90" s="26">
        <v>0</v>
      </c>
      <c r="BF90" s="26">
        <v>0</v>
      </c>
      <c r="BG90" s="26">
        <v>0</v>
      </c>
      <c r="BH90" s="26">
        <v>54.2576904296875</v>
      </c>
      <c r="BK90" s="26">
        <v>4</v>
      </c>
      <c r="BL90" s="26">
        <v>1.5</v>
      </c>
      <c r="BM90" s="26">
        <v>-3.813876211643219E-2</v>
      </c>
      <c r="BN90" s="26">
        <v>-725.45782470703125</v>
      </c>
      <c r="BO90" s="26">
        <v>0</v>
      </c>
      <c r="BP90" s="26">
        <v>0</v>
      </c>
      <c r="BQ90" s="26">
        <v>0</v>
      </c>
      <c r="BR90" s="26">
        <v>56.364791870117188</v>
      </c>
      <c r="BU90" s="26">
        <v>4</v>
      </c>
      <c r="BV90" s="26">
        <v>1.5</v>
      </c>
      <c r="BW90" s="26">
        <v>-3.813876211643219E-2</v>
      </c>
      <c r="BX90" s="26">
        <v>-725.45782470703125</v>
      </c>
      <c r="BY90" s="26">
        <v>0</v>
      </c>
      <c r="BZ90" s="26">
        <v>0</v>
      </c>
      <c r="CA90" s="26">
        <v>0</v>
      </c>
      <c r="CB90" s="26">
        <v>56.364791870117188</v>
      </c>
      <c r="CE90" s="26">
        <v>4</v>
      </c>
      <c r="CF90" s="26">
        <v>1.5</v>
      </c>
      <c r="CG90" s="26">
        <v>-3.813876211643219E-2</v>
      </c>
      <c r="CH90" s="26">
        <v>-725.45782470703125</v>
      </c>
      <c r="CI90" s="26">
        <v>0</v>
      </c>
      <c r="CJ90" s="26">
        <v>0</v>
      </c>
      <c r="CK90" s="26">
        <v>0</v>
      </c>
      <c r="CL90" s="26">
        <v>56.364791870117188</v>
      </c>
      <c r="CO90" s="26">
        <v>4</v>
      </c>
      <c r="CP90" s="26">
        <v>1.5</v>
      </c>
      <c r="CQ90" s="26">
        <v>-49.993877410888672</v>
      </c>
      <c r="CR90" s="26">
        <v>-194.39970397949219</v>
      </c>
      <c r="CS90" s="26">
        <v>0</v>
      </c>
      <c r="CT90" s="26">
        <v>0</v>
      </c>
      <c r="CU90" s="26">
        <v>0</v>
      </c>
      <c r="CV90" s="26">
        <v>-179.85845947265625</v>
      </c>
      <c r="CY90" s="26">
        <v>4</v>
      </c>
      <c r="CZ90" s="26">
        <v>1.5</v>
      </c>
      <c r="DA90" s="26">
        <v>-62.492343902587891</v>
      </c>
      <c r="DB90" s="26">
        <v>-242.99961853027344</v>
      </c>
      <c r="DC90" s="26">
        <v>0</v>
      </c>
      <c r="DD90" s="26">
        <v>0</v>
      </c>
      <c r="DE90" s="26">
        <v>0</v>
      </c>
      <c r="DF90" s="26">
        <v>-224.82307434082031</v>
      </c>
      <c r="DI90" s="26">
        <v>4</v>
      </c>
      <c r="DJ90" s="26">
        <v>1.5</v>
      </c>
      <c r="DK90" s="26">
        <v>-212.2769775390625</v>
      </c>
      <c r="DL90" s="26">
        <v>-857.23138427734375</v>
      </c>
      <c r="DM90" s="26">
        <v>0</v>
      </c>
      <c r="DN90" s="26">
        <v>0</v>
      </c>
      <c r="DO90" s="26">
        <v>0</v>
      </c>
      <c r="DP90" s="26">
        <v>-754.08880615234375</v>
      </c>
      <c r="DS90" s="26">
        <v>4</v>
      </c>
      <c r="DT90" s="26">
        <v>1.5</v>
      </c>
      <c r="DU90" s="26">
        <v>-245.15776062011719</v>
      </c>
      <c r="DV90" s="26">
        <v>-988.26702880859375</v>
      </c>
      <c r="DW90" s="26">
        <v>0</v>
      </c>
      <c r="DX90" s="26">
        <v>0</v>
      </c>
      <c r="DY90" s="26">
        <v>0</v>
      </c>
      <c r="DZ90" s="26">
        <v>-871.4208984375</v>
      </c>
      <c r="EC90" s="26">
        <v>4</v>
      </c>
      <c r="ED90" s="26">
        <v>1.5</v>
      </c>
      <c r="EE90" s="26">
        <v>-337.26168823242187</v>
      </c>
      <c r="EF90" s="26">
        <v>-1343.2305908203125</v>
      </c>
      <c r="EG90" s="26">
        <v>0</v>
      </c>
      <c r="EH90" s="26">
        <v>0</v>
      </c>
      <c r="EI90" s="26">
        <v>0</v>
      </c>
      <c r="EJ90" s="26">
        <v>-1203.7349853515625</v>
      </c>
      <c r="EM90" s="26">
        <v>4</v>
      </c>
      <c r="EN90" s="26">
        <v>1.5</v>
      </c>
      <c r="EO90" s="26">
        <v>-352.06985473632812</v>
      </c>
      <c r="EP90" s="26">
        <v>-1400.8111572265625</v>
      </c>
      <c r="EQ90" s="26">
        <v>0</v>
      </c>
      <c r="ER90" s="26">
        <v>0</v>
      </c>
      <c r="ES90" s="26">
        <v>0</v>
      </c>
      <c r="ET90" s="26">
        <v>-1257.0091552734375</v>
      </c>
      <c r="EW90" s="26">
        <v>4</v>
      </c>
      <c r="EX90" s="26">
        <v>1.5</v>
      </c>
      <c r="EY90" s="26">
        <v>-373.62200927734375</v>
      </c>
      <c r="EZ90" s="26">
        <v>-1487.7957763671875</v>
      </c>
      <c r="FA90" s="26">
        <v>0</v>
      </c>
      <c r="FB90" s="26">
        <v>0</v>
      </c>
      <c r="FC90" s="26">
        <v>0</v>
      </c>
      <c r="FD90" s="26">
        <v>-1333.58544921875</v>
      </c>
      <c r="FG90" s="26">
        <v>4</v>
      </c>
      <c r="FH90" s="26">
        <v>1.5</v>
      </c>
      <c r="FI90" s="26">
        <v>-347.57040405273438</v>
      </c>
      <c r="FJ90" s="26">
        <v>-1383.315185546875</v>
      </c>
      <c r="FK90" s="26">
        <v>0</v>
      </c>
      <c r="FL90" s="26">
        <v>0</v>
      </c>
      <c r="FM90" s="26">
        <v>0</v>
      </c>
      <c r="FN90" s="26">
        <v>-1240.8218994140625</v>
      </c>
      <c r="FQ90" s="26">
        <v>4</v>
      </c>
      <c r="FR90" s="26">
        <v>1.5</v>
      </c>
      <c r="FS90" s="26">
        <v>-339.6650390625</v>
      </c>
      <c r="FT90" s="26">
        <v>-747.4658203125</v>
      </c>
      <c r="FU90" s="26">
        <v>0</v>
      </c>
      <c r="FV90" s="26">
        <v>0</v>
      </c>
      <c r="FW90" s="26">
        <v>0</v>
      </c>
      <c r="FX90" s="26">
        <v>-1604.8087158203125</v>
      </c>
      <c r="GA90" s="26">
        <v>4</v>
      </c>
      <c r="GB90" s="26">
        <v>1.5</v>
      </c>
      <c r="GC90" s="26">
        <v>-214.48246765136719</v>
      </c>
      <c r="GD90" s="26">
        <v>-503.2601318359375</v>
      </c>
      <c r="GE90" s="26">
        <v>0</v>
      </c>
      <c r="GF90" s="26">
        <v>0</v>
      </c>
      <c r="GG90" s="26">
        <v>0</v>
      </c>
      <c r="GH90" s="26">
        <v>-999.3214111328125</v>
      </c>
      <c r="GK90" s="26">
        <v>4</v>
      </c>
      <c r="GL90" s="26">
        <v>1.5</v>
      </c>
      <c r="GM90" s="26">
        <v>-198.35670471191406</v>
      </c>
      <c r="GN90" s="26">
        <v>-454.01034545898437</v>
      </c>
      <c r="GO90" s="26">
        <v>0</v>
      </c>
      <c r="GP90" s="26">
        <v>0</v>
      </c>
      <c r="GQ90" s="26">
        <v>0</v>
      </c>
      <c r="GR90" s="26">
        <v>-929.3087158203125</v>
      </c>
      <c r="GU90" s="26">
        <v>4</v>
      </c>
      <c r="GV90" s="26">
        <v>1.5</v>
      </c>
      <c r="GW90" s="26">
        <v>-57.145656585693359</v>
      </c>
      <c r="GX90" s="26">
        <v>-140.53172302246094</v>
      </c>
      <c r="GY90" s="26">
        <v>0</v>
      </c>
      <c r="GZ90" s="26">
        <v>0</v>
      </c>
      <c r="HA90" s="26">
        <v>0</v>
      </c>
      <c r="HB90" s="26">
        <v>-244.73312377929687</v>
      </c>
    </row>
    <row r="91" spans="2:210">
      <c r="B91" s="95">
        <v>4</v>
      </c>
      <c r="C91" s="26">
        <v>2</v>
      </c>
      <c r="D91" s="26">
        <v>0</v>
      </c>
      <c r="E91" s="26">
        <v>-2309.684326171875</v>
      </c>
      <c r="F91" s="26">
        <v>-0.16089200973510742</v>
      </c>
      <c r="G91" s="26">
        <v>0</v>
      </c>
      <c r="H91" s="26">
        <v>0</v>
      </c>
      <c r="I91" s="26">
        <v>0</v>
      </c>
      <c r="J91" s="26">
        <v>184.25471496582031</v>
      </c>
      <c r="L91" s="95">
        <v>4</v>
      </c>
      <c r="M91" s="26">
        <v>2</v>
      </c>
      <c r="N91" s="26">
        <v>0</v>
      </c>
      <c r="O91" s="26">
        <v>-2903.404052734375</v>
      </c>
      <c r="P91" s="26">
        <v>-0.18611034750938416</v>
      </c>
      <c r="Q91" s="26">
        <v>0</v>
      </c>
      <c r="R91" s="26">
        <v>0</v>
      </c>
      <c r="S91" s="26">
        <v>0</v>
      </c>
      <c r="T91" s="26">
        <v>-158.01641845703125</v>
      </c>
      <c r="V91" s="95">
        <v>4</v>
      </c>
      <c r="W91" s="26">
        <v>2</v>
      </c>
      <c r="X91" s="26">
        <v>0</v>
      </c>
      <c r="Y91" s="26">
        <v>1189.689453125</v>
      </c>
      <c r="Z91" s="26">
        <v>7.8966774046421051E-2</v>
      </c>
      <c r="AA91" s="26">
        <v>0</v>
      </c>
      <c r="AB91" s="26">
        <v>0</v>
      </c>
      <c r="AC91" s="26">
        <v>0</v>
      </c>
      <c r="AD91" s="26">
        <v>-0.59637773036956787</v>
      </c>
      <c r="AF91" s="95">
        <v>4</v>
      </c>
      <c r="AG91" s="26">
        <v>2</v>
      </c>
      <c r="AH91" s="26">
        <v>0</v>
      </c>
      <c r="AI91" s="26">
        <v>1535.62353515625</v>
      </c>
      <c r="AJ91" s="26">
        <v>0.10192849487066269</v>
      </c>
      <c r="AK91" s="26">
        <v>0</v>
      </c>
      <c r="AL91" s="26">
        <v>0</v>
      </c>
      <c r="AM91" s="26">
        <v>0</v>
      </c>
      <c r="AN91" s="26">
        <v>-0.77011948823928833</v>
      </c>
      <c r="AP91" s="95">
        <v>4</v>
      </c>
      <c r="AQ91" s="26">
        <v>2</v>
      </c>
      <c r="AR91" s="26">
        <v>0</v>
      </c>
      <c r="AS91" s="26">
        <v>-297.59869384765625</v>
      </c>
      <c r="AT91" s="26">
        <v>-3.2403409481048584E-2</v>
      </c>
      <c r="AU91" s="26">
        <v>0</v>
      </c>
      <c r="AV91" s="26">
        <v>0</v>
      </c>
      <c r="AW91" s="26">
        <v>0</v>
      </c>
      <c r="AX91" s="26">
        <v>48.315746307373047</v>
      </c>
      <c r="AZ91" s="95">
        <v>4</v>
      </c>
      <c r="BA91" s="26">
        <v>2</v>
      </c>
      <c r="BB91" s="26">
        <v>0</v>
      </c>
      <c r="BC91" s="26">
        <v>-337.17880249023437</v>
      </c>
      <c r="BD91" s="26">
        <v>-3.6713019013404846E-2</v>
      </c>
      <c r="BE91" s="26">
        <v>0</v>
      </c>
      <c r="BF91" s="26">
        <v>0</v>
      </c>
      <c r="BG91" s="26">
        <v>0</v>
      </c>
      <c r="BH91" s="26">
        <v>54.741897583007813</v>
      </c>
      <c r="BJ91" s="95">
        <v>4</v>
      </c>
      <c r="BK91" s="26">
        <v>2</v>
      </c>
      <c r="BL91" s="26">
        <v>0</v>
      </c>
      <c r="BM91" s="26">
        <v>-350.27310180664062</v>
      </c>
      <c r="BN91" s="26">
        <v>-3.8138777017593384E-2</v>
      </c>
      <c r="BO91" s="26">
        <v>0</v>
      </c>
      <c r="BP91" s="26">
        <v>0</v>
      </c>
      <c r="BQ91" s="26">
        <v>0</v>
      </c>
      <c r="BR91" s="26">
        <v>56.867801666259766</v>
      </c>
      <c r="BT91" s="95">
        <v>4</v>
      </c>
      <c r="BU91" s="26">
        <v>2</v>
      </c>
      <c r="BV91" s="26">
        <v>0</v>
      </c>
      <c r="BW91" s="26">
        <v>-350.27310180664062</v>
      </c>
      <c r="BX91" s="26">
        <v>-3.8138777017593384E-2</v>
      </c>
      <c r="BY91" s="26">
        <v>0</v>
      </c>
      <c r="BZ91" s="26">
        <v>0</v>
      </c>
      <c r="CA91" s="26">
        <v>0</v>
      </c>
      <c r="CB91" s="26">
        <v>56.867801666259766</v>
      </c>
      <c r="CD91" s="95">
        <v>4</v>
      </c>
      <c r="CE91" s="26">
        <v>2</v>
      </c>
      <c r="CF91" s="26">
        <v>0</v>
      </c>
      <c r="CG91" s="26">
        <v>-350.27310180664062</v>
      </c>
      <c r="CH91" s="26">
        <v>-3.8138777017593384E-2</v>
      </c>
      <c r="CI91" s="26">
        <v>0</v>
      </c>
      <c r="CJ91" s="26">
        <v>0</v>
      </c>
      <c r="CK91" s="26">
        <v>0</v>
      </c>
      <c r="CL91" s="26">
        <v>56.867801666259766</v>
      </c>
      <c r="CN91" s="95">
        <v>4</v>
      </c>
      <c r="CO91" s="26">
        <v>2</v>
      </c>
      <c r="CP91" s="26">
        <v>0</v>
      </c>
      <c r="CQ91" s="26">
        <v>194.39970397949219</v>
      </c>
      <c r="CR91" s="26">
        <v>50.006122589111328</v>
      </c>
      <c r="CS91" s="26">
        <v>0</v>
      </c>
      <c r="CT91" s="26">
        <v>0</v>
      </c>
      <c r="CU91" s="26">
        <v>0</v>
      </c>
      <c r="CV91" s="26">
        <v>-179.940185546875</v>
      </c>
      <c r="CX91" s="95">
        <v>4</v>
      </c>
      <c r="CY91" s="26">
        <v>2</v>
      </c>
      <c r="CZ91" s="26">
        <v>0</v>
      </c>
      <c r="DA91" s="26">
        <v>242.99961853027344</v>
      </c>
      <c r="DB91" s="26">
        <v>62.507656097412109</v>
      </c>
      <c r="DC91" s="26">
        <v>0</v>
      </c>
      <c r="DD91" s="26">
        <v>0</v>
      </c>
      <c r="DE91" s="26">
        <v>0</v>
      </c>
      <c r="DF91" s="26">
        <v>-224.92523193359375</v>
      </c>
      <c r="DH91" s="95">
        <v>4</v>
      </c>
      <c r="DI91" s="26">
        <v>2</v>
      </c>
      <c r="DJ91" s="26">
        <v>0</v>
      </c>
      <c r="DK91" s="26">
        <v>857.23138427734375</v>
      </c>
      <c r="DL91" s="26">
        <v>212.33302307128906</v>
      </c>
      <c r="DM91" s="26">
        <v>0</v>
      </c>
      <c r="DN91" s="26">
        <v>0</v>
      </c>
      <c r="DO91" s="26">
        <v>0</v>
      </c>
      <c r="DP91" s="26">
        <v>-754.46234130859375</v>
      </c>
      <c r="DR91" s="95">
        <v>4</v>
      </c>
      <c r="DS91" s="26">
        <v>2</v>
      </c>
      <c r="DT91" s="26">
        <v>0</v>
      </c>
      <c r="DU91" s="26">
        <v>988.26702880859375</v>
      </c>
      <c r="DV91" s="26">
        <v>245.22224426269531</v>
      </c>
      <c r="DW91" s="26">
        <v>0</v>
      </c>
      <c r="DX91" s="26">
        <v>0</v>
      </c>
      <c r="DY91" s="26">
        <v>0</v>
      </c>
      <c r="DZ91" s="26">
        <v>-871.850830078125</v>
      </c>
      <c r="EB91" s="95">
        <v>4</v>
      </c>
      <c r="EC91" s="26">
        <v>2</v>
      </c>
      <c r="ED91" s="26">
        <v>0</v>
      </c>
      <c r="EE91" s="26">
        <v>1343.2305908203125</v>
      </c>
      <c r="EF91" s="26">
        <v>337.34832763671875</v>
      </c>
      <c r="EG91" s="26">
        <v>0</v>
      </c>
      <c r="EH91" s="26">
        <v>0</v>
      </c>
      <c r="EI91" s="26">
        <v>0</v>
      </c>
      <c r="EJ91" s="26">
        <v>-1204.312744140625</v>
      </c>
      <c r="EL91" s="95">
        <v>4</v>
      </c>
      <c r="EM91" s="26">
        <v>2</v>
      </c>
      <c r="EN91" s="26">
        <v>0</v>
      </c>
      <c r="EO91" s="26">
        <v>1400.8111572265625</v>
      </c>
      <c r="EP91" s="26">
        <v>352.16012573242187</v>
      </c>
      <c r="EQ91" s="26">
        <v>0</v>
      </c>
      <c r="ER91" s="26">
        <v>0</v>
      </c>
      <c r="ES91" s="26">
        <v>0</v>
      </c>
      <c r="ET91" s="26">
        <v>-1257.6112060546875</v>
      </c>
      <c r="EV91" s="95">
        <v>4</v>
      </c>
      <c r="EW91" s="26">
        <v>2</v>
      </c>
      <c r="EX91" s="26">
        <v>0</v>
      </c>
      <c r="EY91" s="26">
        <v>1487.7957763671875</v>
      </c>
      <c r="EZ91" s="26">
        <v>373.71798706054687</v>
      </c>
      <c r="FA91" s="26">
        <v>0</v>
      </c>
      <c r="FB91" s="26">
        <v>0</v>
      </c>
      <c r="FC91" s="26">
        <v>0</v>
      </c>
      <c r="FD91" s="26">
        <v>-1334.225341796875</v>
      </c>
      <c r="FF91" s="95">
        <v>4</v>
      </c>
      <c r="FG91" s="26">
        <v>2</v>
      </c>
      <c r="FH91" s="26">
        <v>0</v>
      </c>
      <c r="FI91" s="26">
        <v>1383.315185546875</v>
      </c>
      <c r="FJ91" s="26">
        <v>347.65957641601562</v>
      </c>
      <c r="FK91" s="26">
        <v>0</v>
      </c>
      <c r="FL91" s="26">
        <v>0</v>
      </c>
      <c r="FM91" s="26">
        <v>0</v>
      </c>
      <c r="FN91" s="26">
        <v>-1241.4166259765625</v>
      </c>
      <c r="FP91" s="95">
        <v>4</v>
      </c>
      <c r="FQ91" s="26">
        <v>2</v>
      </c>
      <c r="FR91" s="26">
        <v>0</v>
      </c>
      <c r="FS91" s="26">
        <v>177.48582458496094</v>
      </c>
      <c r="FT91" s="26">
        <v>339.60498046875</v>
      </c>
      <c r="FU91" s="26">
        <v>0</v>
      </c>
      <c r="FV91" s="26">
        <v>0</v>
      </c>
      <c r="FW91" s="26">
        <v>0</v>
      </c>
      <c r="FX91" s="26">
        <v>-1604.357421875</v>
      </c>
      <c r="FZ91" s="95">
        <v>4</v>
      </c>
      <c r="GA91" s="26">
        <v>2</v>
      </c>
      <c r="GB91" s="26">
        <v>0</v>
      </c>
      <c r="GC91" s="26">
        <v>143.33012390136719</v>
      </c>
      <c r="GD91" s="26">
        <v>214.44752502441406</v>
      </c>
      <c r="GE91" s="26">
        <v>0</v>
      </c>
      <c r="GF91" s="26">
        <v>0</v>
      </c>
      <c r="GG91" s="26">
        <v>0</v>
      </c>
      <c r="GH91" s="26">
        <v>-999.05914306640625</v>
      </c>
      <c r="GJ91" s="95">
        <v>4</v>
      </c>
      <c r="GK91" s="26">
        <v>2</v>
      </c>
      <c r="GL91" s="26">
        <v>0</v>
      </c>
      <c r="GM91" s="26">
        <v>121.16035461425781</v>
      </c>
      <c r="GN91" s="26">
        <v>198.32330322265625</v>
      </c>
      <c r="GO91" s="26">
        <v>0</v>
      </c>
      <c r="GP91" s="26">
        <v>0</v>
      </c>
      <c r="GQ91" s="26">
        <v>0</v>
      </c>
      <c r="GR91" s="26">
        <v>-929.057861328125</v>
      </c>
      <c r="GT91" s="95">
        <v>4</v>
      </c>
      <c r="GU91" s="26">
        <v>2</v>
      </c>
      <c r="GV91" s="26">
        <v>0</v>
      </c>
      <c r="GW91" s="26">
        <v>44.641719818115234</v>
      </c>
      <c r="GX91" s="26">
        <v>57.134342193603516</v>
      </c>
      <c r="GY91" s="26">
        <v>0</v>
      </c>
      <c r="GZ91" s="26">
        <v>0</v>
      </c>
      <c r="HA91" s="26">
        <v>0</v>
      </c>
      <c r="HB91" s="26">
        <v>-244.65960693359375</v>
      </c>
    </row>
    <row r="92" spans="2:210">
      <c r="C92" s="26">
        <v>5</v>
      </c>
      <c r="D92" s="26">
        <v>1</v>
      </c>
      <c r="E92" s="26">
        <v>-2309.684326171875</v>
      </c>
      <c r="F92" s="26">
        <v>-0.16089200973510742</v>
      </c>
      <c r="G92" s="26">
        <v>0</v>
      </c>
      <c r="H92" s="26">
        <v>0</v>
      </c>
      <c r="I92" s="26">
        <v>0</v>
      </c>
      <c r="J92" s="26">
        <v>184.09382629394531</v>
      </c>
      <c r="M92" s="26">
        <v>5</v>
      </c>
      <c r="N92" s="26">
        <v>1</v>
      </c>
      <c r="O92" s="26">
        <v>-2903.404052734375</v>
      </c>
      <c r="P92" s="26">
        <v>-0.18611034750938416</v>
      </c>
      <c r="Q92" s="26">
        <v>0</v>
      </c>
      <c r="R92" s="26">
        <v>0</v>
      </c>
      <c r="S92" s="26">
        <v>0</v>
      </c>
      <c r="T92" s="26">
        <v>-158.20252990722656</v>
      </c>
      <c r="W92" s="26">
        <v>5</v>
      </c>
      <c r="X92" s="26">
        <v>1</v>
      </c>
      <c r="Y92" s="26">
        <v>1189.689453125</v>
      </c>
      <c r="Z92" s="26">
        <v>7.8966774046421051E-2</v>
      </c>
      <c r="AA92" s="26">
        <v>0</v>
      </c>
      <c r="AB92" s="26">
        <v>0</v>
      </c>
      <c r="AC92" s="26">
        <v>0</v>
      </c>
      <c r="AD92" s="26">
        <v>-0.51741093397140503</v>
      </c>
      <c r="AG92" s="26">
        <v>5</v>
      </c>
      <c r="AH92" s="26">
        <v>1</v>
      </c>
      <c r="AI92" s="26">
        <v>1535.62353515625</v>
      </c>
      <c r="AJ92" s="26">
        <v>0.10192849487066269</v>
      </c>
      <c r="AK92" s="26">
        <v>0</v>
      </c>
      <c r="AL92" s="26">
        <v>0</v>
      </c>
      <c r="AM92" s="26">
        <v>0</v>
      </c>
      <c r="AN92" s="26">
        <v>-0.66819101572036743</v>
      </c>
      <c r="AQ92" s="26">
        <v>5</v>
      </c>
      <c r="AR92" s="26">
        <v>1</v>
      </c>
      <c r="AS92" s="26">
        <v>-297.59869384765625</v>
      </c>
      <c r="AT92" s="26">
        <v>-3.2403409481048584E-2</v>
      </c>
      <c r="AU92" s="26">
        <v>0</v>
      </c>
      <c r="AV92" s="26">
        <v>0</v>
      </c>
      <c r="AW92" s="26">
        <v>0</v>
      </c>
      <c r="AX92" s="26">
        <v>48.283340454101563</v>
      </c>
      <c r="BA92" s="26">
        <v>5</v>
      </c>
      <c r="BB92" s="26">
        <v>1</v>
      </c>
      <c r="BC92" s="26">
        <v>-337.17880249023437</v>
      </c>
      <c r="BD92" s="26">
        <v>-3.6713019013404846E-2</v>
      </c>
      <c r="BE92" s="26">
        <v>0</v>
      </c>
      <c r="BF92" s="26">
        <v>0</v>
      </c>
      <c r="BG92" s="26">
        <v>0</v>
      </c>
      <c r="BH92" s="26">
        <v>54.705184936523438</v>
      </c>
      <c r="BK92" s="26">
        <v>5</v>
      </c>
      <c r="BL92" s="26">
        <v>1</v>
      </c>
      <c r="BM92" s="26">
        <v>-350.27310180664062</v>
      </c>
      <c r="BN92" s="26">
        <v>-3.8138777017593384E-2</v>
      </c>
      <c r="BO92" s="26">
        <v>0</v>
      </c>
      <c r="BP92" s="26">
        <v>0</v>
      </c>
      <c r="BQ92" s="26">
        <v>0</v>
      </c>
      <c r="BR92" s="26">
        <v>56.829662322998047</v>
      </c>
      <c r="BU92" s="26">
        <v>5</v>
      </c>
      <c r="BV92" s="26">
        <v>1</v>
      </c>
      <c r="BW92" s="26">
        <v>-350.27310180664062</v>
      </c>
      <c r="BX92" s="26">
        <v>-3.8138777017593384E-2</v>
      </c>
      <c r="BY92" s="26">
        <v>0</v>
      </c>
      <c r="BZ92" s="26">
        <v>0</v>
      </c>
      <c r="CA92" s="26">
        <v>0</v>
      </c>
      <c r="CB92" s="26">
        <v>56.829662322998047</v>
      </c>
      <c r="CE92" s="26">
        <v>5</v>
      </c>
      <c r="CF92" s="26">
        <v>1</v>
      </c>
      <c r="CG92" s="26">
        <v>-350.27310180664062</v>
      </c>
      <c r="CH92" s="26">
        <v>-3.8138777017593384E-2</v>
      </c>
      <c r="CI92" s="26">
        <v>0</v>
      </c>
      <c r="CJ92" s="26">
        <v>0</v>
      </c>
      <c r="CK92" s="26">
        <v>0</v>
      </c>
      <c r="CL92" s="26">
        <v>56.829662322998047</v>
      </c>
      <c r="CO92" s="26">
        <v>5</v>
      </c>
      <c r="CP92" s="26">
        <v>1</v>
      </c>
      <c r="CQ92" s="26">
        <v>194.39970397949219</v>
      </c>
      <c r="CR92" s="26">
        <v>50.006122589111328</v>
      </c>
      <c r="CS92" s="26">
        <v>0</v>
      </c>
      <c r="CT92" s="26">
        <v>0</v>
      </c>
      <c r="CU92" s="26">
        <v>0</v>
      </c>
      <c r="CV92" s="26">
        <v>-129.93405151367187</v>
      </c>
      <c r="CY92" s="26">
        <v>5</v>
      </c>
      <c r="CZ92" s="26">
        <v>1</v>
      </c>
      <c r="DA92" s="26">
        <v>242.99961853027344</v>
      </c>
      <c r="DB92" s="26">
        <v>62.507656097412109</v>
      </c>
      <c r="DC92" s="26">
        <v>0</v>
      </c>
      <c r="DD92" s="26">
        <v>0</v>
      </c>
      <c r="DE92" s="26">
        <v>0</v>
      </c>
      <c r="DF92" s="26">
        <v>-162.41757202148437</v>
      </c>
      <c r="DI92" s="26">
        <v>5</v>
      </c>
      <c r="DJ92" s="26">
        <v>1</v>
      </c>
      <c r="DK92" s="26">
        <v>857.23138427734375</v>
      </c>
      <c r="DL92" s="26">
        <v>212.33302307128906</v>
      </c>
      <c r="DM92" s="26">
        <v>0</v>
      </c>
      <c r="DN92" s="26">
        <v>0</v>
      </c>
      <c r="DO92" s="26">
        <v>0</v>
      </c>
      <c r="DP92" s="26">
        <v>-542.1292724609375</v>
      </c>
      <c r="DS92" s="26">
        <v>5</v>
      </c>
      <c r="DT92" s="26">
        <v>1</v>
      </c>
      <c r="DU92" s="26">
        <v>988.26702880859375</v>
      </c>
      <c r="DV92" s="26">
        <v>245.22224426269531</v>
      </c>
      <c r="DW92" s="26">
        <v>0</v>
      </c>
      <c r="DX92" s="26">
        <v>0</v>
      </c>
      <c r="DY92" s="26">
        <v>0</v>
      </c>
      <c r="DZ92" s="26">
        <v>-626.62860107421875</v>
      </c>
      <c r="EC92" s="26">
        <v>5</v>
      </c>
      <c r="ED92" s="26">
        <v>1</v>
      </c>
      <c r="EE92" s="26">
        <v>1343.2305908203125</v>
      </c>
      <c r="EF92" s="26">
        <v>337.34832763671875</v>
      </c>
      <c r="EG92" s="26">
        <v>0</v>
      </c>
      <c r="EH92" s="26">
        <v>0</v>
      </c>
      <c r="EI92" s="26">
        <v>0</v>
      </c>
      <c r="EJ92" s="26">
        <v>-866.96441650390625</v>
      </c>
      <c r="EM92" s="26">
        <v>5</v>
      </c>
      <c r="EN92" s="26">
        <v>1</v>
      </c>
      <c r="EO92" s="26">
        <v>1400.8111572265625</v>
      </c>
      <c r="EP92" s="26">
        <v>352.16012573242187</v>
      </c>
      <c r="EQ92" s="26">
        <v>0</v>
      </c>
      <c r="ER92" s="26">
        <v>0</v>
      </c>
      <c r="ES92" s="26">
        <v>0</v>
      </c>
      <c r="ET92" s="26">
        <v>-905.45111083984375</v>
      </c>
      <c r="EW92" s="26">
        <v>5</v>
      </c>
      <c r="EX92" s="26">
        <v>1</v>
      </c>
      <c r="EY92" s="26">
        <v>1487.7957763671875</v>
      </c>
      <c r="EZ92" s="26">
        <v>373.71798706054687</v>
      </c>
      <c r="FA92" s="26">
        <v>0</v>
      </c>
      <c r="FB92" s="26">
        <v>0</v>
      </c>
      <c r="FC92" s="26">
        <v>0</v>
      </c>
      <c r="FD92" s="26">
        <v>-960.50738525390625</v>
      </c>
      <c r="FG92" s="26">
        <v>5</v>
      </c>
      <c r="FH92" s="26">
        <v>1</v>
      </c>
      <c r="FI92" s="26">
        <v>1383.315185546875</v>
      </c>
      <c r="FJ92" s="26">
        <v>347.65957641601562</v>
      </c>
      <c r="FK92" s="26">
        <v>0</v>
      </c>
      <c r="FL92" s="26">
        <v>0</v>
      </c>
      <c r="FM92" s="26">
        <v>0</v>
      </c>
      <c r="FN92" s="26">
        <v>-893.75701904296875</v>
      </c>
      <c r="FQ92" s="26">
        <v>5</v>
      </c>
      <c r="FR92" s="26">
        <v>1</v>
      </c>
      <c r="FS92" s="26">
        <v>177.48582458496094</v>
      </c>
      <c r="FT92" s="26">
        <v>339.60498046875</v>
      </c>
      <c r="FU92" s="26">
        <v>0</v>
      </c>
      <c r="FV92" s="26">
        <v>0</v>
      </c>
      <c r="FW92" s="26">
        <v>0</v>
      </c>
      <c r="FX92" s="26">
        <v>-1264.75244140625</v>
      </c>
      <c r="GA92" s="26">
        <v>5</v>
      </c>
      <c r="GB92" s="26">
        <v>1</v>
      </c>
      <c r="GC92" s="26">
        <v>143.33012390136719</v>
      </c>
      <c r="GD92" s="26">
        <v>214.44752502441406</v>
      </c>
      <c r="GE92" s="26">
        <v>0</v>
      </c>
      <c r="GF92" s="26">
        <v>0</v>
      </c>
      <c r="GG92" s="26">
        <v>0</v>
      </c>
      <c r="GH92" s="26">
        <v>-784.61163330078125</v>
      </c>
      <c r="GK92" s="26">
        <v>5</v>
      </c>
      <c r="GL92" s="26">
        <v>1</v>
      </c>
      <c r="GM92" s="26">
        <v>121.16035461425781</v>
      </c>
      <c r="GN92" s="26">
        <v>198.32330322265625</v>
      </c>
      <c r="GO92" s="26">
        <v>0</v>
      </c>
      <c r="GP92" s="26">
        <v>0</v>
      </c>
      <c r="GQ92" s="26">
        <v>0</v>
      </c>
      <c r="GR92" s="26">
        <v>-730.73455810546875</v>
      </c>
      <c r="GU92" s="26">
        <v>5</v>
      </c>
      <c r="GV92" s="26">
        <v>1</v>
      </c>
      <c r="GW92" s="26">
        <v>44.641719818115234</v>
      </c>
      <c r="GX92" s="26">
        <v>57.134342193603516</v>
      </c>
      <c r="GY92" s="26">
        <v>0</v>
      </c>
      <c r="GZ92" s="26">
        <v>0</v>
      </c>
      <c r="HA92" s="26">
        <v>0</v>
      </c>
      <c r="HB92" s="26">
        <v>-187.5252685546875</v>
      </c>
    </row>
    <row r="93" spans="2:210">
      <c r="B93" s="95">
        <v>5</v>
      </c>
      <c r="C93" s="26">
        <v>5</v>
      </c>
      <c r="D93" s="26">
        <v>0</v>
      </c>
      <c r="E93" s="26">
        <v>-2309.684326171875</v>
      </c>
      <c r="F93" s="26">
        <v>-0.16089197993278503</v>
      </c>
      <c r="G93" s="26">
        <v>0</v>
      </c>
      <c r="H93" s="26">
        <v>0</v>
      </c>
      <c r="I93" s="26">
        <v>0</v>
      </c>
      <c r="J93" s="26">
        <v>184.09382629394531</v>
      </c>
      <c r="L93" s="95">
        <v>5</v>
      </c>
      <c r="M93" s="26">
        <v>5</v>
      </c>
      <c r="N93" s="26">
        <v>0</v>
      </c>
      <c r="O93" s="26">
        <v>-2903.404052734375</v>
      </c>
      <c r="P93" s="26">
        <v>-0.18611036241054535</v>
      </c>
      <c r="Q93" s="26">
        <v>0</v>
      </c>
      <c r="R93" s="26">
        <v>0</v>
      </c>
      <c r="S93" s="26">
        <v>0</v>
      </c>
      <c r="T93" s="26">
        <v>-158.20252990722656</v>
      </c>
      <c r="V93" s="95">
        <v>5</v>
      </c>
      <c r="W93" s="26">
        <v>5</v>
      </c>
      <c r="X93" s="26">
        <v>0</v>
      </c>
      <c r="Y93" s="26">
        <v>1189.689453125</v>
      </c>
      <c r="Z93" s="26">
        <v>7.8966774046421051E-2</v>
      </c>
      <c r="AA93" s="26">
        <v>0</v>
      </c>
      <c r="AB93" s="26">
        <v>0</v>
      </c>
      <c r="AC93" s="26">
        <v>0</v>
      </c>
      <c r="AD93" s="26">
        <v>-0.51741093397140503</v>
      </c>
      <c r="AF93" s="95">
        <v>5</v>
      </c>
      <c r="AG93" s="26">
        <v>5</v>
      </c>
      <c r="AH93" s="26">
        <v>0</v>
      </c>
      <c r="AI93" s="26">
        <v>1535.62353515625</v>
      </c>
      <c r="AJ93" s="26">
        <v>0.10192849487066269</v>
      </c>
      <c r="AK93" s="26">
        <v>0</v>
      </c>
      <c r="AL93" s="26">
        <v>0</v>
      </c>
      <c r="AM93" s="26">
        <v>0</v>
      </c>
      <c r="AN93" s="26">
        <v>-0.66819101572036743</v>
      </c>
      <c r="AP93" s="95">
        <v>5</v>
      </c>
      <c r="AQ93" s="26">
        <v>5</v>
      </c>
      <c r="AR93" s="26">
        <v>0</v>
      </c>
      <c r="AS93" s="26">
        <v>-297.59869384765625</v>
      </c>
      <c r="AT93" s="26">
        <v>-3.2403402030467987E-2</v>
      </c>
      <c r="AU93" s="26">
        <v>0</v>
      </c>
      <c r="AV93" s="26">
        <v>0</v>
      </c>
      <c r="AW93" s="26">
        <v>0</v>
      </c>
      <c r="AX93" s="26">
        <v>48.283340454101563</v>
      </c>
      <c r="AZ93" s="95">
        <v>5</v>
      </c>
      <c r="BA93" s="26">
        <v>5</v>
      </c>
      <c r="BB93" s="26">
        <v>0</v>
      </c>
      <c r="BC93" s="26">
        <v>-337.17880249023437</v>
      </c>
      <c r="BD93" s="26">
        <v>-3.6713022738695145E-2</v>
      </c>
      <c r="BE93" s="26">
        <v>0</v>
      </c>
      <c r="BF93" s="26">
        <v>0</v>
      </c>
      <c r="BG93" s="26">
        <v>0</v>
      </c>
      <c r="BH93" s="26">
        <v>54.705184936523438</v>
      </c>
      <c r="BJ93" s="95">
        <v>5</v>
      </c>
      <c r="BK93" s="26">
        <v>5</v>
      </c>
      <c r="BL93" s="26">
        <v>0</v>
      </c>
      <c r="BM93" s="26">
        <v>-350.27310180664062</v>
      </c>
      <c r="BN93" s="26">
        <v>-3.8138769567012787E-2</v>
      </c>
      <c r="BO93" s="26">
        <v>0</v>
      </c>
      <c r="BP93" s="26">
        <v>0</v>
      </c>
      <c r="BQ93" s="26">
        <v>0</v>
      </c>
      <c r="BR93" s="26">
        <v>56.829662322998047</v>
      </c>
      <c r="BT93" s="95">
        <v>5</v>
      </c>
      <c r="BU93" s="26">
        <v>5</v>
      </c>
      <c r="BV93" s="26">
        <v>0</v>
      </c>
      <c r="BW93" s="26">
        <v>-350.27310180664062</v>
      </c>
      <c r="BX93" s="26">
        <v>-3.8138769567012787E-2</v>
      </c>
      <c r="BY93" s="26">
        <v>0</v>
      </c>
      <c r="BZ93" s="26">
        <v>0</v>
      </c>
      <c r="CA93" s="26">
        <v>0</v>
      </c>
      <c r="CB93" s="26">
        <v>56.829662322998047</v>
      </c>
      <c r="CD93" s="95">
        <v>5</v>
      </c>
      <c r="CE93" s="26">
        <v>5</v>
      </c>
      <c r="CF93" s="26">
        <v>0</v>
      </c>
      <c r="CG93" s="26">
        <v>-350.27310180664062</v>
      </c>
      <c r="CH93" s="26">
        <v>-3.8138769567012787E-2</v>
      </c>
      <c r="CI93" s="26">
        <v>0</v>
      </c>
      <c r="CJ93" s="26">
        <v>0</v>
      </c>
      <c r="CK93" s="26">
        <v>0</v>
      </c>
      <c r="CL93" s="26">
        <v>56.829662322998047</v>
      </c>
      <c r="CN93" s="95">
        <v>5</v>
      </c>
      <c r="CO93" s="26">
        <v>5</v>
      </c>
      <c r="CP93" s="26">
        <v>0</v>
      </c>
      <c r="CQ93" s="26">
        <v>194.39970397949219</v>
      </c>
      <c r="CR93" s="26">
        <v>50.006122589111328</v>
      </c>
      <c r="CS93" s="26">
        <v>0</v>
      </c>
      <c r="CT93" s="26">
        <v>0</v>
      </c>
      <c r="CU93" s="26">
        <v>0</v>
      </c>
      <c r="CV93" s="26">
        <v>-129.93405151367187</v>
      </c>
      <c r="CX93" s="95">
        <v>5</v>
      </c>
      <c r="CY93" s="26">
        <v>5</v>
      </c>
      <c r="CZ93" s="26">
        <v>0</v>
      </c>
      <c r="DA93" s="26">
        <v>242.99961853027344</v>
      </c>
      <c r="DB93" s="26">
        <v>62.507656097412109</v>
      </c>
      <c r="DC93" s="26">
        <v>0</v>
      </c>
      <c r="DD93" s="26">
        <v>0</v>
      </c>
      <c r="DE93" s="26">
        <v>0</v>
      </c>
      <c r="DF93" s="26">
        <v>-162.41757202148437</v>
      </c>
      <c r="DH93" s="95">
        <v>5</v>
      </c>
      <c r="DI93" s="26">
        <v>5</v>
      </c>
      <c r="DJ93" s="26">
        <v>0</v>
      </c>
      <c r="DK93" s="26">
        <v>857.23138427734375</v>
      </c>
      <c r="DL93" s="26">
        <v>212.33302307128906</v>
      </c>
      <c r="DM93" s="26">
        <v>0</v>
      </c>
      <c r="DN93" s="26">
        <v>0</v>
      </c>
      <c r="DO93" s="26">
        <v>0</v>
      </c>
      <c r="DP93" s="26">
        <v>-542.1292724609375</v>
      </c>
      <c r="DR93" s="95">
        <v>5</v>
      </c>
      <c r="DS93" s="26">
        <v>5</v>
      </c>
      <c r="DT93" s="26">
        <v>0</v>
      </c>
      <c r="DU93" s="26">
        <v>988.26702880859375</v>
      </c>
      <c r="DV93" s="26">
        <v>245.22224426269531</v>
      </c>
      <c r="DW93" s="26">
        <v>0</v>
      </c>
      <c r="DX93" s="26">
        <v>0</v>
      </c>
      <c r="DY93" s="26">
        <v>0</v>
      </c>
      <c r="DZ93" s="26">
        <v>-626.62860107421875</v>
      </c>
      <c r="EB93" s="95">
        <v>5</v>
      </c>
      <c r="EC93" s="26">
        <v>5</v>
      </c>
      <c r="ED93" s="26">
        <v>0</v>
      </c>
      <c r="EE93" s="26">
        <v>1343.2305908203125</v>
      </c>
      <c r="EF93" s="26">
        <v>337.34832763671875</v>
      </c>
      <c r="EG93" s="26">
        <v>0</v>
      </c>
      <c r="EH93" s="26">
        <v>0</v>
      </c>
      <c r="EI93" s="26">
        <v>0</v>
      </c>
      <c r="EJ93" s="26">
        <v>-866.96441650390625</v>
      </c>
      <c r="EL93" s="95">
        <v>5</v>
      </c>
      <c r="EM93" s="26">
        <v>5</v>
      </c>
      <c r="EN93" s="26">
        <v>0</v>
      </c>
      <c r="EO93" s="26">
        <v>1400.8111572265625</v>
      </c>
      <c r="EP93" s="26">
        <v>352.16012573242187</v>
      </c>
      <c r="EQ93" s="26">
        <v>0</v>
      </c>
      <c r="ER93" s="26">
        <v>0</v>
      </c>
      <c r="ES93" s="26">
        <v>0</v>
      </c>
      <c r="ET93" s="26">
        <v>-905.45111083984375</v>
      </c>
      <c r="EV93" s="95">
        <v>5</v>
      </c>
      <c r="EW93" s="26">
        <v>5</v>
      </c>
      <c r="EX93" s="26">
        <v>0</v>
      </c>
      <c r="EY93" s="26">
        <v>1487.7957763671875</v>
      </c>
      <c r="EZ93" s="26">
        <v>373.71798706054687</v>
      </c>
      <c r="FA93" s="26">
        <v>0</v>
      </c>
      <c r="FB93" s="26">
        <v>0</v>
      </c>
      <c r="FC93" s="26">
        <v>0</v>
      </c>
      <c r="FD93" s="26">
        <v>-960.50738525390625</v>
      </c>
      <c r="FF93" s="95">
        <v>5</v>
      </c>
      <c r="FG93" s="26">
        <v>5</v>
      </c>
      <c r="FH93" s="26">
        <v>0</v>
      </c>
      <c r="FI93" s="26">
        <v>1383.315185546875</v>
      </c>
      <c r="FJ93" s="26">
        <v>347.65957641601562</v>
      </c>
      <c r="FK93" s="26">
        <v>0</v>
      </c>
      <c r="FL93" s="26">
        <v>0</v>
      </c>
      <c r="FM93" s="26">
        <v>0</v>
      </c>
      <c r="FN93" s="26">
        <v>-893.75701904296875</v>
      </c>
      <c r="FP93" s="95">
        <v>5</v>
      </c>
      <c r="FQ93" s="26">
        <v>5</v>
      </c>
      <c r="FR93" s="26">
        <v>0</v>
      </c>
      <c r="FS93" s="26">
        <v>177.48582458496094</v>
      </c>
      <c r="FT93" s="26">
        <v>339.60498046875</v>
      </c>
      <c r="FU93" s="26">
        <v>0</v>
      </c>
      <c r="FV93" s="26">
        <v>0</v>
      </c>
      <c r="FW93" s="26">
        <v>0</v>
      </c>
      <c r="FX93" s="26">
        <v>-1264.75244140625</v>
      </c>
      <c r="FZ93" s="95">
        <v>5</v>
      </c>
      <c r="GA93" s="26">
        <v>5</v>
      </c>
      <c r="GB93" s="26">
        <v>0</v>
      </c>
      <c r="GC93" s="26">
        <v>143.33012390136719</v>
      </c>
      <c r="GD93" s="26">
        <v>214.44752502441406</v>
      </c>
      <c r="GE93" s="26">
        <v>0</v>
      </c>
      <c r="GF93" s="26">
        <v>0</v>
      </c>
      <c r="GG93" s="26">
        <v>0</v>
      </c>
      <c r="GH93" s="26">
        <v>-784.61163330078125</v>
      </c>
      <c r="GJ93" s="95">
        <v>5</v>
      </c>
      <c r="GK93" s="26">
        <v>5</v>
      </c>
      <c r="GL93" s="26">
        <v>0</v>
      </c>
      <c r="GM93" s="26">
        <v>121.16035461425781</v>
      </c>
      <c r="GN93" s="26">
        <v>198.32330322265625</v>
      </c>
      <c r="GO93" s="26">
        <v>0</v>
      </c>
      <c r="GP93" s="26">
        <v>0</v>
      </c>
      <c r="GQ93" s="26">
        <v>0</v>
      </c>
      <c r="GR93" s="26">
        <v>-730.73455810546875</v>
      </c>
      <c r="GT93" s="95">
        <v>5</v>
      </c>
      <c r="GU93" s="26">
        <v>5</v>
      </c>
      <c r="GV93" s="26">
        <v>0</v>
      </c>
      <c r="GW93" s="26">
        <v>44.641719818115234</v>
      </c>
      <c r="GX93" s="26">
        <v>57.134342193603516</v>
      </c>
      <c r="GY93" s="26">
        <v>0</v>
      </c>
      <c r="GZ93" s="26">
        <v>0</v>
      </c>
      <c r="HA93" s="26">
        <v>0</v>
      </c>
      <c r="HB93" s="26">
        <v>-187.5252685546875</v>
      </c>
    </row>
    <row r="94" spans="2:210">
      <c r="C94" s="26">
        <v>7</v>
      </c>
      <c r="D94" s="26">
        <v>2.2400000095367432</v>
      </c>
      <c r="E94" s="26">
        <v>-2309.684326171875</v>
      </c>
      <c r="F94" s="26">
        <v>-0.16089197993278503</v>
      </c>
      <c r="G94" s="26">
        <v>0</v>
      </c>
      <c r="H94" s="26">
        <v>0</v>
      </c>
      <c r="I94" s="26">
        <v>0</v>
      </c>
      <c r="J94" s="26">
        <v>183.73341369628906</v>
      </c>
      <c r="M94" s="26">
        <v>7</v>
      </c>
      <c r="N94" s="26">
        <v>2.2400000095367432</v>
      </c>
      <c r="O94" s="26">
        <v>-2903.404052734375</v>
      </c>
      <c r="P94" s="26">
        <v>-0.18611036241054535</v>
      </c>
      <c r="Q94" s="26">
        <v>0</v>
      </c>
      <c r="R94" s="26">
        <v>0</v>
      </c>
      <c r="S94" s="26">
        <v>0</v>
      </c>
      <c r="T94" s="26">
        <v>-158.61943054199219</v>
      </c>
      <c r="W94" s="26">
        <v>7</v>
      </c>
      <c r="X94" s="26">
        <v>2.2400000095367432</v>
      </c>
      <c r="Y94" s="26">
        <v>1189.689453125</v>
      </c>
      <c r="Z94" s="26">
        <v>7.8966774046421051E-2</v>
      </c>
      <c r="AA94" s="26">
        <v>0</v>
      </c>
      <c r="AB94" s="26">
        <v>0</v>
      </c>
      <c r="AC94" s="26">
        <v>0</v>
      </c>
      <c r="AD94" s="26">
        <v>-0.34052535891532898</v>
      </c>
      <c r="AG94" s="26">
        <v>7</v>
      </c>
      <c r="AH94" s="26">
        <v>2.2400000095367432</v>
      </c>
      <c r="AI94" s="26">
        <v>1535.62353515625</v>
      </c>
      <c r="AJ94" s="26">
        <v>0.10192849487066269</v>
      </c>
      <c r="AK94" s="26">
        <v>0</v>
      </c>
      <c r="AL94" s="26">
        <v>0</v>
      </c>
      <c r="AM94" s="26">
        <v>0</v>
      </c>
      <c r="AN94" s="26">
        <v>-0.4398711621761322</v>
      </c>
      <c r="AQ94" s="26">
        <v>7</v>
      </c>
      <c r="AR94" s="26">
        <v>2.2400000095367432</v>
      </c>
      <c r="AS94" s="26">
        <v>-297.59869384765625</v>
      </c>
      <c r="AT94" s="26">
        <v>-3.2403402030467987E-2</v>
      </c>
      <c r="AU94" s="26">
        <v>0</v>
      </c>
      <c r="AV94" s="26">
        <v>0</v>
      </c>
      <c r="AW94" s="26">
        <v>0</v>
      </c>
      <c r="AX94" s="26">
        <v>48.210758209228516</v>
      </c>
      <c r="BA94" s="26">
        <v>7</v>
      </c>
      <c r="BB94" s="26">
        <v>2.2400000095367432</v>
      </c>
      <c r="BC94" s="26">
        <v>-337.17880249023437</v>
      </c>
      <c r="BD94" s="26">
        <v>-3.6713022738695145E-2</v>
      </c>
      <c r="BE94" s="26">
        <v>0</v>
      </c>
      <c r="BF94" s="26">
        <v>0</v>
      </c>
      <c r="BG94" s="26">
        <v>0</v>
      </c>
      <c r="BH94" s="26">
        <v>54.622947692871094</v>
      </c>
      <c r="BK94" s="26">
        <v>7</v>
      </c>
      <c r="BL94" s="26">
        <v>2.2400000095367432</v>
      </c>
      <c r="BM94" s="26">
        <v>-350.27310180664062</v>
      </c>
      <c r="BN94" s="26">
        <v>-3.8138769567012787E-2</v>
      </c>
      <c r="BO94" s="26">
        <v>0</v>
      </c>
      <c r="BP94" s="26">
        <v>0</v>
      </c>
      <c r="BQ94" s="26">
        <v>0</v>
      </c>
      <c r="BR94" s="26">
        <v>56.744232177734375</v>
      </c>
      <c r="BU94" s="26">
        <v>7</v>
      </c>
      <c r="BV94" s="26">
        <v>2.2400000095367432</v>
      </c>
      <c r="BW94" s="26">
        <v>-350.27310180664062</v>
      </c>
      <c r="BX94" s="26">
        <v>-3.8138769567012787E-2</v>
      </c>
      <c r="BY94" s="26">
        <v>0</v>
      </c>
      <c r="BZ94" s="26">
        <v>0</v>
      </c>
      <c r="CA94" s="26">
        <v>0</v>
      </c>
      <c r="CB94" s="26">
        <v>56.744232177734375</v>
      </c>
      <c r="CE94" s="26">
        <v>7</v>
      </c>
      <c r="CF94" s="26">
        <v>2.2400000095367432</v>
      </c>
      <c r="CG94" s="26">
        <v>-350.27310180664062</v>
      </c>
      <c r="CH94" s="26">
        <v>-3.8138769567012787E-2</v>
      </c>
      <c r="CI94" s="26">
        <v>0</v>
      </c>
      <c r="CJ94" s="26">
        <v>0</v>
      </c>
      <c r="CK94" s="26">
        <v>0</v>
      </c>
      <c r="CL94" s="26">
        <v>56.744232177734375</v>
      </c>
      <c r="CO94" s="26">
        <v>7</v>
      </c>
      <c r="CP94" s="26">
        <v>2.2400000095367432</v>
      </c>
      <c r="CQ94" s="26">
        <v>194.39970397949219</v>
      </c>
      <c r="CR94" s="26">
        <v>50.006122589111328</v>
      </c>
      <c r="CS94" s="26">
        <v>0</v>
      </c>
      <c r="CT94" s="26">
        <v>0</v>
      </c>
      <c r="CU94" s="26">
        <v>0</v>
      </c>
      <c r="CV94" s="26">
        <v>-17.920339584350586</v>
      </c>
      <c r="CY94" s="26">
        <v>7</v>
      </c>
      <c r="CZ94" s="26">
        <v>2.2400000095367432</v>
      </c>
      <c r="DA94" s="26">
        <v>242.99961853027344</v>
      </c>
      <c r="DB94" s="26">
        <v>62.507656097412109</v>
      </c>
      <c r="DC94" s="26">
        <v>0</v>
      </c>
      <c r="DD94" s="26">
        <v>0</v>
      </c>
      <c r="DE94" s="26">
        <v>0</v>
      </c>
      <c r="DF94" s="26">
        <v>-22.400424957275391</v>
      </c>
      <c r="DI94" s="26">
        <v>7</v>
      </c>
      <c r="DJ94" s="26">
        <v>2.2400000095367432</v>
      </c>
      <c r="DK94" s="26">
        <v>857.23138427734375</v>
      </c>
      <c r="DL94" s="26">
        <v>212.33302307128906</v>
      </c>
      <c r="DM94" s="26">
        <v>0</v>
      </c>
      <c r="DN94" s="26">
        <v>0</v>
      </c>
      <c r="DO94" s="26">
        <v>0</v>
      </c>
      <c r="DP94" s="26">
        <v>-66.503341674804687</v>
      </c>
      <c r="DS94" s="26">
        <v>7</v>
      </c>
      <c r="DT94" s="26">
        <v>2.2400000095367432</v>
      </c>
      <c r="DU94" s="26">
        <v>988.26702880859375</v>
      </c>
      <c r="DV94" s="26">
        <v>245.22224426269531</v>
      </c>
      <c r="DW94" s="26">
        <v>0</v>
      </c>
      <c r="DX94" s="26">
        <v>0</v>
      </c>
      <c r="DY94" s="26">
        <v>0</v>
      </c>
      <c r="DZ94" s="26">
        <v>-77.33074951171875</v>
      </c>
      <c r="EC94" s="26">
        <v>7</v>
      </c>
      <c r="ED94" s="26">
        <v>2.2400000095367432</v>
      </c>
      <c r="EE94" s="26">
        <v>1343.2305908203125</v>
      </c>
      <c r="EF94" s="26">
        <v>337.34832763671875</v>
      </c>
      <c r="EG94" s="26">
        <v>0</v>
      </c>
      <c r="EH94" s="26">
        <v>0</v>
      </c>
      <c r="EI94" s="26">
        <v>0</v>
      </c>
      <c r="EJ94" s="26">
        <v>-111.30419158935547</v>
      </c>
      <c r="EM94" s="26">
        <v>7</v>
      </c>
      <c r="EN94" s="26">
        <v>2.2400000095367432</v>
      </c>
      <c r="EO94" s="26">
        <v>1400.8111572265625</v>
      </c>
      <c r="EP94" s="26">
        <v>352.16012573242187</v>
      </c>
      <c r="EQ94" s="26">
        <v>0</v>
      </c>
      <c r="ER94" s="26">
        <v>0</v>
      </c>
      <c r="ES94" s="26">
        <v>0</v>
      </c>
      <c r="ET94" s="26">
        <v>-116.61237335205078</v>
      </c>
      <c r="EW94" s="26">
        <v>7</v>
      </c>
      <c r="EX94" s="26">
        <v>2.2400000095367432</v>
      </c>
      <c r="EY94" s="26">
        <v>1487.7957763671875</v>
      </c>
      <c r="EZ94" s="26">
        <v>373.71798706054687</v>
      </c>
      <c r="FA94" s="26">
        <v>0</v>
      </c>
      <c r="FB94" s="26">
        <v>0</v>
      </c>
      <c r="FC94" s="26">
        <v>0</v>
      </c>
      <c r="FD94" s="26">
        <v>-123.37908935546875</v>
      </c>
      <c r="FG94" s="26">
        <v>7</v>
      </c>
      <c r="FH94" s="26">
        <v>2.2400000095367432</v>
      </c>
      <c r="FI94" s="26">
        <v>1383.315185546875</v>
      </c>
      <c r="FJ94" s="26">
        <v>347.65957641601562</v>
      </c>
      <c r="FK94" s="26">
        <v>0</v>
      </c>
      <c r="FL94" s="26">
        <v>0</v>
      </c>
      <c r="FM94" s="26">
        <v>0</v>
      </c>
      <c r="FN94" s="26">
        <v>-114.99954223632812</v>
      </c>
      <c r="FQ94" s="26">
        <v>7</v>
      </c>
      <c r="FR94" s="26">
        <v>2.2400000095367432</v>
      </c>
      <c r="FS94" s="26">
        <v>177.48582458496094</v>
      </c>
      <c r="FT94" s="26">
        <v>339.60498046875</v>
      </c>
      <c r="FU94" s="26">
        <v>0</v>
      </c>
      <c r="FV94" s="26">
        <v>0</v>
      </c>
      <c r="FW94" s="26">
        <v>0</v>
      </c>
      <c r="FX94" s="26">
        <v>-504.037353515625</v>
      </c>
      <c r="GA94" s="26">
        <v>7</v>
      </c>
      <c r="GB94" s="26">
        <v>2.2400000095367432</v>
      </c>
      <c r="GC94" s="26">
        <v>143.33012390136719</v>
      </c>
      <c r="GD94" s="26">
        <v>214.44752502441406</v>
      </c>
      <c r="GE94" s="26">
        <v>0</v>
      </c>
      <c r="GF94" s="26">
        <v>0</v>
      </c>
      <c r="GG94" s="26">
        <v>0</v>
      </c>
      <c r="GH94" s="26">
        <v>-304.2491455078125</v>
      </c>
      <c r="GK94" s="26">
        <v>7</v>
      </c>
      <c r="GL94" s="26">
        <v>2.2400000095367432</v>
      </c>
      <c r="GM94" s="26">
        <v>121.16035461425781</v>
      </c>
      <c r="GN94" s="26">
        <v>198.32330322265625</v>
      </c>
      <c r="GO94" s="26">
        <v>0</v>
      </c>
      <c r="GP94" s="26">
        <v>0</v>
      </c>
      <c r="GQ94" s="26">
        <v>0</v>
      </c>
      <c r="GR94" s="26">
        <v>-286.49038696289062</v>
      </c>
      <c r="GU94" s="26">
        <v>7</v>
      </c>
      <c r="GV94" s="26">
        <v>2.2400000095367432</v>
      </c>
      <c r="GW94" s="26">
        <v>44.641719818115234</v>
      </c>
      <c r="GX94" s="26">
        <v>57.134342193603516</v>
      </c>
      <c r="GY94" s="26">
        <v>0</v>
      </c>
      <c r="GZ94" s="26">
        <v>0</v>
      </c>
      <c r="HA94" s="26">
        <v>0</v>
      </c>
      <c r="HB94" s="26">
        <v>-59.544338226318359</v>
      </c>
    </row>
    <row r="95" spans="2:210">
      <c r="B95" s="95">
        <v>6</v>
      </c>
      <c r="C95" s="26">
        <v>7</v>
      </c>
      <c r="D95" s="26">
        <v>0</v>
      </c>
      <c r="E95" s="26">
        <v>-2309.684326171875</v>
      </c>
      <c r="F95" s="26">
        <v>-0.16089197993278503</v>
      </c>
      <c r="G95" s="26">
        <v>0</v>
      </c>
      <c r="H95" s="26">
        <v>0</v>
      </c>
      <c r="I95" s="26">
        <v>0</v>
      </c>
      <c r="J95" s="26">
        <v>183.73341369628906</v>
      </c>
      <c r="L95" s="95">
        <v>6</v>
      </c>
      <c r="M95" s="26">
        <v>7</v>
      </c>
      <c r="N95" s="26">
        <v>0</v>
      </c>
      <c r="O95" s="26">
        <v>-2903.404052734375</v>
      </c>
      <c r="P95" s="26">
        <v>-0.18611036241054535</v>
      </c>
      <c r="Q95" s="26">
        <v>0</v>
      </c>
      <c r="R95" s="26">
        <v>0</v>
      </c>
      <c r="S95" s="26">
        <v>0</v>
      </c>
      <c r="T95" s="26">
        <v>-158.61943054199219</v>
      </c>
      <c r="V95" s="95">
        <v>6</v>
      </c>
      <c r="W95" s="26">
        <v>7</v>
      </c>
      <c r="X95" s="26">
        <v>0</v>
      </c>
      <c r="Y95" s="26">
        <v>1189.689453125</v>
      </c>
      <c r="Z95" s="26">
        <v>7.8966774046421051E-2</v>
      </c>
      <c r="AA95" s="26">
        <v>0</v>
      </c>
      <c r="AB95" s="26">
        <v>0</v>
      </c>
      <c r="AC95" s="26">
        <v>0</v>
      </c>
      <c r="AD95" s="26">
        <v>-0.34052535891532898</v>
      </c>
      <c r="AF95" s="95">
        <v>6</v>
      </c>
      <c r="AG95" s="26">
        <v>7</v>
      </c>
      <c r="AH95" s="26">
        <v>0</v>
      </c>
      <c r="AI95" s="26">
        <v>1535.62353515625</v>
      </c>
      <c r="AJ95" s="26">
        <v>0.10192849487066269</v>
      </c>
      <c r="AK95" s="26">
        <v>0</v>
      </c>
      <c r="AL95" s="26">
        <v>0</v>
      </c>
      <c r="AM95" s="26">
        <v>0</v>
      </c>
      <c r="AN95" s="26">
        <v>-0.4398711621761322</v>
      </c>
      <c r="AP95" s="95">
        <v>6</v>
      </c>
      <c r="AQ95" s="26">
        <v>7</v>
      </c>
      <c r="AR95" s="26">
        <v>0</v>
      </c>
      <c r="AS95" s="26">
        <v>-297.59869384765625</v>
      </c>
      <c r="AT95" s="26">
        <v>-3.2403402030467987E-2</v>
      </c>
      <c r="AU95" s="26">
        <v>0</v>
      </c>
      <c r="AV95" s="26">
        <v>0</v>
      </c>
      <c r="AW95" s="26">
        <v>0</v>
      </c>
      <c r="AX95" s="26">
        <v>48.210758209228516</v>
      </c>
      <c r="AZ95" s="95">
        <v>6</v>
      </c>
      <c r="BA95" s="26">
        <v>7</v>
      </c>
      <c r="BB95" s="26">
        <v>0</v>
      </c>
      <c r="BC95" s="26">
        <v>-337.17880249023437</v>
      </c>
      <c r="BD95" s="26">
        <v>-3.6713022738695145E-2</v>
      </c>
      <c r="BE95" s="26">
        <v>0</v>
      </c>
      <c r="BF95" s="26">
        <v>0</v>
      </c>
      <c r="BG95" s="26">
        <v>0</v>
      </c>
      <c r="BH95" s="26">
        <v>54.622947692871094</v>
      </c>
      <c r="BJ95" s="95">
        <v>6</v>
      </c>
      <c r="BK95" s="26">
        <v>7</v>
      </c>
      <c r="BL95" s="26">
        <v>0</v>
      </c>
      <c r="BM95" s="26">
        <v>-350.27310180664062</v>
      </c>
      <c r="BN95" s="26">
        <v>-3.8138769567012787E-2</v>
      </c>
      <c r="BO95" s="26">
        <v>0</v>
      </c>
      <c r="BP95" s="26">
        <v>0</v>
      </c>
      <c r="BQ95" s="26">
        <v>0</v>
      </c>
      <c r="BR95" s="26">
        <v>56.744232177734375</v>
      </c>
      <c r="BT95" s="95">
        <v>6</v>
      </c>
      <c r="BU95" s="26">
        <v>7</v>
      </c>
      <c r="BV95" s="26">
        <v>0</v>
      </c>
      <c r="BW95" s="26">
        <v>-350.27310180664062</v>
      </c>
      <c r="BX95" s="26">
        <v>-3.8138769567012787E-2</v>
      </c>
      <c r="BY95" s="26">
        <v>0</v>
      </c>
      <c r="BZ95" s="26">
        <v>0</v>
      </c>
      <c r="CA95" s="26">
        <v>0</v>
      </c>
      <c r="CB95" s="26">
        <v>56.744232177734375</v>
      </c>
      <c r="CD95" s="95">
        <v>6</v>
      </c>
      <c r="CE95" s="26">
        <v>7</v>
      </c>
      <c r="CF95" s="26">
        <v>0</v>
      </c>
      <c r="CG95" s="26">
        <v>-350.27310180664062</v>
      </c>
      <c r="CH95" s="26">
        <v>-3.8138769567012787E-2</v>
      </c>
      <c r="CI95" s="26">
        <v>0</v>
      </c>
      <c r="CJ95" s="26">
        <v>0</v>
      </c>
      <c r="CK95" s="26">
        <v>0</v>
      </c>
      <c r="CL95" s="26">
        <v>56.744232177734375</v>
      </c>
      <c r="CN95" s="95">
        <v>6</v>
      </c>
      <c r="CO95" s="26">
        <v>7</v>
      </c>
      <c r="CP95" s="26">
        <v>0</v>
      </c>
      <c r="CQ95" s="26">
        <v>194.39970397949219</v>
      </c>
      <c r="CR95" s="26">
        <v>50.006122589111328</v>
      </c>
      <c r="CS95" s="26">
        <v>0</v>
      </c>
      <c r="CT95" s="26">
        <v>0</v>
      </c>
      <c r="CU95" s="26">
        <v>0</v>
      </c>
      <c r="CV95" s="26">
        <v>-17.920339584350586</v>
      </c>
      <c r="CX95" s="95">
        <v>6</v>
      </c>
      <c r="CY95" s="26">
        <v>7</v>
      </c>
      <c r="CZ95" s="26">
        <v>0</v>
      </c>
      <c r="DA95" s="26">
        <v>242.99961853027344</v>
      </c>
      <c r="DB95" s="26">
        <v>62.507656097412109</v>
      </c>
      <c r="DC95" s="26">
        <v>0</v>
      </c>
      <c r="DD95" s="26">
        <v>0</v>
      </c>
      <c r="DE95" s="26">
        <v>0</v>
      </c>
      <c r="DF95" s="26">
        <v>-22.400424957275391</v>
      </c>
      <c r="DH95" s="95">
        <v>6</v>
      </c>
      <c r="DI95" s="26">
        <v>7</v>
      </c>
      <c r="DJ95" s="26">
        <v>0</v>
      </c>
      <c r="DK95" s="26">
        <v>857.23138427734375</v>
      </c>
      <c r="DL95" s="26">
        <v>212.33302307128906</v>
      </c>
      <c r="DM95" s="26">
        <v>0</v>
      </c>
      <c r="DN95" s="26">
        <v>0</v>
      </c>
      <c r="DO95" s="26">
        <v>0</v>
      </c>
      <c r="DP95" s="26">
        <v>-66.503341674804687</v>
      </c>
      <c r="DR95" s="95">
        <v>6</v>
      </c>
      <c r="DS95" s="26">
        <v>7</v>
      </c>
      <c r="DT95" s="26">
        <v>0</v>
      </c>
      <c r="DU95" s="26">
        <v>988.26702880859375</v>
      </c>
      <c r="DV95" s="26">
        <v>245.22224426269531</v>
      </c>
      <c r="DW95" s="26">
        <v>0</v>
      </c>
      <c r="DX95" s="26">
        <v>0</v>
      </c>
      <c r="DY95" s="26">
        <v>0</v>
      </c>
      <c r="DZ95" s="26">
        <v>-77.33074951171875</v>
      </c>
      <c r="EB95" s="95">
        <v>6</v>
      </c>
      <c r="EC95" s="26">
        <v>7</v>
      </c>
      <c r="ED95" s="26">
        <v>0</v>
      </c>
      <c r="EE95" s="26">
        <v>1343.2305908203125</v>
      </c>
      <c r="EF95" s="26">
        <v>337.34832763671875</v>
      </c>
      <c r="EG95" s="26">
        <v>0</v>
      </c>
      <c r="EH95" s="26">
        <v>0</v>
      </c>
      <c r="EI95" s="26">
        <v>0</v>
      </c>
      <c r="EJ95" s="26">
        <v>-111.30419158935547</v>
      </c>
      <c r="EL95" s="95">
        <v>6</v>
      </c>
      <c r="EM95" s="26">
        <v>7</v>
      </c>
      <c r="EN95" s="26">
        <v>0</v>
      </c>
      <c r="EO95" s="26">
        <v>1400.8111572265625</v>
      </c>
      <c r="EP95" s="26">
        <v>352.16012573242187</v>
      </c>
      <c r="EQ95" s="26">
        <v>0</v>
      </c>
      <c r="ER95" s="26">
        <v>0</v>
      </c>
      <c r="ES95" s="26">
        <v>0</v>
      </c>
      <c r="ET95" s="26">
        <v>-116.61237335205078</v>
      </c>
      <c r="EV95" s="95">
        <v>6</v>
      </c>
      <c r="EW95" s="26">
        <v>7</v>
      </c>
      <c r="EX95" s="26">
        <v>0</v>
      </c>
      <c r="EY95" s="26">
        <v>1487.7957763671875</v>
      </c>
      <c r="EZ95" s="26">
        <v>373.71798706054687</v>
      </c>
      <c r="FA95" s="26">
        <v>0</v>
      </c>
      <c r="FB95" s="26">
        <v>0</v>
      </c>
      <c r="FC95" s="26">
        <v>0</v>
      </c>
      <c r="FD95" s="26">
        <v>-123.37908935546875</v>
      </c>
      <c r="FF95" s="95">
        <v>6</v>
      </c>
      <c r="FG95" s="26">
        <v>7</v>
      </c>
      <c r="FH95" s="26">
        <v>0</v>
      </c>
      <c r="FI95" s="26">
        <v>1383.315185546875</v>
      </c>
      <c r="FJ95" s="26">
        <v>347.65957641601562</v>
      </c>
      <c r="FK95" s="26">
        <v>0</v>
      </c>
      <c r="FL95" s="26">
        <v>0</v>
      </c>
      <c r="FM95" s="26">
        <v>0</v>
      </c>
      <c r="FN95" s="26">
        <v>-114.99954223632812</v>
      </c>
      <c r="FP95" s="95">
        <v>6</v>
      </c>
      <c r="FQ95" s="26">
        <v>7</v>
      </c>
      <c r="FR95" s="26">
        <v>0</v>
      </c>
      <c r="FS95" s="26">
        <v>177.48582458496094</v>
      </c>
      <c r="FT95" s="26">
        <v>339.60498046875</v>
      </c>
      <c r="FU95" s="26">
        <v>0</v>
      </c>
      <c r="FV95" s="26">
        <v>0</v>
      </c>
      <c r="FW95" s="26">
        <v>0</v>
      </c>
      <c r="FX95" s="26">
        <v>-504.037353515625</v>
      </c>
      <c r="FZ95" s="95">
        <v>6</v>
      </c>
      <c r="GA95" s="26">
        <v>7</v>
      </c>
      <c r="GB95" s="26">
        <v>0</v>
      </c>
      <c r="GC95" s="26">
        <v>143.33012390136719</v>
      </c>
      <c r="GD95" s="26">
        <v>214.44752502441406</v>
      </c>
      <c r="GE95" s="26">
        <v>0</v>
      </c>
      <c r="GF95" s="26">
        <v>0</v>
      </c>
      <c r="GG95" s="26">
        <v>0</v>
      </c>
      <c r="GH95" s="26">
        <v>-304.2491455078125</v>
      </c>
      <c r="GJ95" s="95">
        <v>6</v>
      </c>
      <c r="GK95" s="26">
        <v>7</v>
      </c>
      <c r="GL95" s="26">
        <v>0</v>
      </c>
      <c r="GM95" s="26">
        <v>121.16035461425781</v>
      </c>
      <c r="GN95" s="26">
        <v>198.32330322265625</v>
      </c>
      <c r="GO95" s="26">
        <v>0</v>
      </c>
      <c r="GP95" s="26">
        <v>0</v>
      </c>
      <c r="GQ95" s="26">
        <v>0</v>
      </c>
      <c r="GR95" s="26">
        <v>-286.49038696289062</v>
      </c>
      <c r="GT95" s="95">
        <v>6</v>
      </c>
      <c r="GU95" s="26">
        <v>7</v>
      </c>
      <c r="GV95" s="26">
        <v>0</v>
      </c>
      <c r="GW95" s="26">
        <v>44.641719818115234</v>
      </c>
      <c r="GX95" s="26">
        <v>57.134342193603516</v>
      </c>
      <c r="GY95" s="26">
        <v>0</v>
      </c>
      <c r="GZ95" s="26">
        <v>0</v>
      </c>
      <c r="HA95" s="26">
        <v>0</v>
      </c>
      <c r="HB95" s="26">
        <v>-59.544338226318359</v>
      </c>
    </row>
    <row r="96" spans="2:210">
      <c r="C96" s="26">
        <v>9</v>
      </c>
      <c r="D96" s="26">
        <v>3.5999999046325684</v>
      </c>
      <c r="E96" s="26">
        <v>-2081.9423828125</v>
      </c>
      <c r="F96" s="26">
        <v>-18.68000602722168</v>
      </c>
      <c r="G96" s="26">
        <v>0</v>
      </c>
      <c r="H96" s="26">
        <v>0</v>
      </c>
      <c r="I96" s="26">
        <v>0</v>
      </c>
      <c r="J96" s="26">
        <v>141.943603515625</v>
      </c>
      <c r="M96" s="26">
        <v>9</v>
      </c>
      <c r="N96" s="26">
        <v>3.5999999046325684</v>
      </c>
      <c r="O96" s="26">
        <v>-2617.11962890625</v>
      </c>
      <c r="P96" s="26">
        <v>16.096038818359375</v>
      </c>
      <c r="Q96" s="26">
        <v>0</v>
      </c>
      <c r="R96" s="26">
        <v>0</v>
      </c>
      <c r="S96" s="26">
        <v>0</v>
      </c>
      <c r="T96" s="26">
        <v>-123.12252044677734</v>
      </c>
      <c r="W96" s="26">
        <v>9</v>
      </c>
      <c r="X96" s="26">
        <v>3.5999999046325684</v>
      </c>
      <c r="Y96" s="26">
        <v>1072.3824462890625</v>
      </c>
      <c r="Z96" s="26">
        <v>4.2039919644594193E-2</v>
      </c>
      <c r="AA96" s="26">
        <v>0</v>
      </c>
      <c r="AB96" s="26">
        <v>0</v>
      </c>
      <c r="AC96" s="26">
        <v>0</v>
      </c>
      <c r="AD96" s="26">
        <v>-0.12249448895454407</v>
      </c>
      <c r="AG96" s="26">
        <v>9</v>
      </c>
      <c r="AH96" s="26">
        <v>3.5999999046325684</v>
      </c>
      <c r="AI96" s="26">
        <v>1384.2064208984375</v>
      </c>
      <c r="AJ96" s="26">
        <v>5.4297570139169693E-2</v>
      </c>
      <c r="AK96" s="26">
        <v>0</v>
      </c>
      <c r="AL96" s="26">
        <v>0</v>
      </c>
      <c r="AM96" s="26">
        <v>0</v>
      </c>
      <c r="AN96" s="26">
        <v>-0.15836764872074127</v>
      </c>
      <c r="AQ96" s="26">
        <v>9</v>
      </c>
      <c r="AR96" s="26">
        <v>3.5999999046325684</v>
      </c>
      <c r="AS96" s="26">
        <v>-264.30538940429687</v>
      </c>
      <c r="AT96" s="26">
        <v>-5.8561749458312988</v>
      </c>
      <c r="AU96" s="26">
        <v>0</v>
      </c>
      <c r="AV96" s="26">
        <v>0</v>
      </c>
      <c r="AW96" s="26">
        <v>0</v>
      </c>
      <c r="AX96" s="26">
        <v>34.351463317871094</v>
      </c>
      <c r="BA96" s="26">
        <v>9</v>
      </c>
      <c r="BB96" s="26">
        <v>3.5999999046325684</v>
      </c>
      <c r="BC96" s="26">
        <v>-299.45755004882812</v>
      </c>
      <c r="BD96" s="26">
        <v>-6.6350650787353516</v>
      </c>
      <c r="BE96" s="26">
        <v>0</v>
      </c>
      <c r="BF96" s="26">
        <v>0</v>
      </c>
      <c r="BG96" s="26">
        <v>0</v>
      </c>
      <c r="BH96" s="26">
        <v>38.920318603515625</v>
      </c>
      <c r="BK96" s="26">
        <v>9</v>
      </c>
      <c r="BL96" s="26">
        <v>3.5999999046325684</v>
      </c>
      <c r="BM96" s="26">
        <v>-311.08694458007812</v>
      </c>
      <c r="BN96" s="26">
        <v>-6.892737865447998</v>
      </c>
      <c r="BO96" s="26">
        <v>0</v>
      </c>
      <c r="BP96" s="26">
        <v>0</v>
      </c>
      <c r="BQ96" s="26">
        <v>0</v>
      </c>
      <c r="BR96" s="26">
        <v>40.431793212890625</v>
      </c>
      <c r="BU96" s="26">
        <v>9</v>
      </c>
      <c r="BV96" s="26">
        <v>3.5999999046325684</v>
      </c>
      <c r="BW96" s="26">
        <v>-311.08694458007812</v>
      </c>
      <c r="BX96" s="26">
        <v>-6.892737865447998</v>
      </c>
      <c r="BY96" s="26">
        <v>0</v>
      </c>
      <c r="BZ96" s="26">
        <v>0</v>
      </c>
      <c r="CA96" s="26">
        <v>0</v>
      </c>
      <c r="CB96" s="26">
        <v>40.431793212890625</v>
      </c>
      <c r="CE96" s="26">
        <v>9</v>
      </c>
      <c r="CF96" s="26">
        <v>3.5999999046325684</v>
      </c>
      <c r="CG96" s="26">
        <v>-311.08694458007812</v>
      </c>
      <c r="CH96" s="26">
        <v>-6.892737865447998</v>
      </c>
      <c r="CI96" s="26">
        <v>0</v>
      </c>
      <c r="CJ96" s="26">
        <v>0</v>
      </c>
      <c r="CK96" s="26">
        <v>0</v>
      </c>
      <c r="CL96" s="26">
        <v>40.431793212890625</v>
      </c>
      <c r="CO96" s="26">
        <v>9</v>
      </c>
      <c r="CP96" s="26">
        <v>3.5999999046325684</v>
      </c>
      <c r="CQ96" s="26">
        <v>172.65159606933594</v>
      </c>
      <c r="CR96" s="26">
        <v>2.4457161426544189</v>
      </c>
      <c r="CS96" s="26">
        <v>0</v>
      </c>
      <c r="CT96" s="26">
        <v>0</v>
      </c>
      <c r="CU96" s="26">
        <v>0</v>
      </c>
      <c r="CV96" s="26">
        <v>65.435859680175781</v>
      </c>
      <c r="CY96" s="26">
        <v>9</v>
      </c>
      <c r="CZ96" s="26">
        <v>3.5999999046325684</v>
      </c>
      <c r="DA96" s="26">
        <v>215.81448364257812</v>
      </c>
      <c r="DB96" s="26">
        <v>3.057145357131958</v>
      </c>
      <c r="DC96" s="26">
        <v>0</v>
      </c>
      <c r="DD96" s="26">
        <v>0</v>
      </c>
      <c r="DE96" s="26">
        <v>0</v>
      </c>
      <c r="DF96" s="26">
        <v>81.794822692871094</v>
      </c>
      <c r="DI96" s="26">
        <v>9</v>
      </c>
      <c r="DJ96" s="26">
        <v>3.5999999046325684</v>
      </c>
      <c r="DK96" s="26">
        <v>761.3302001953125</v>
      </c>
      <c r="DL96" s="26">
        <v>9.2201175689697266</v>
      </c>
      <c r="DM96" s="26">
        <v>0</v>
      </c>
      <c r="DN96" s="26">
        <v>0</v>
      </c>
      <c r="DO96" s="26">
        <v>0</v>
      </c>
      <c r="DP96" s="26">
        <v>284.69229125976562</v>
      </c>
      <c r="DS96" s="26">
        <v>9</v>
      </c>
      <c r="DT96" s="26">
        <v>3.5999999046325684</v>
      </c>
      <c r="DU96" s="26">
        <v>877.70648193359375</v>
      </c>
      <c r="DV96" s="26">
        <v>10.712203979492188</v>
      </c>
      <c r="DW96" s="26">
        <v>0</v>
      </c>
      <c r="DX96" s="26">
        <v>0</v>
      </c>
      <c r="DY96" s="26">
        <v>0</v>
      </c>
      <c r="DZ96" s="26">
        <v>328.4139404296875</v>
      </c>
      <c r="EC96" s="26">
        <v>9</v>
      </c>
      <c r="ED96" s="26">
        <v>3.5999999046325684</v>
      </c>
      <c r="EE96" s="26">
        <v>1192.9591064453125</v>
      </c>
      <c r="EF96" s="26">
        <v>15.334408760070801</v>
      </c>
      <c r="EG96" s="26">
        <v>0</v>
      </c>
      <c r="EH96" s="26">
        <v>0</v>
      </c>
      <c r="EI96" s="26">
        <v>0</v>
      </c>
      <c r="EJ96" s="26">
        <v>448.28192138671875</v>
      </c>
      <c r="EM96" s="26">
        <v>9</v>
      </c>
      <c r="EN96" s="26">
        <v>3.5999999046325684</v>
      </c>
      <c r="EO96" s="26">
        <v>1244.0980224609375</v>
      </c>
      <c r="EP96" s="26">
        <v>16.05885124206543</v>
      </c>
      <c r="EQ96" s="26">
        <v>0</v>
      </c>
      <c r="ER96" s="26">
        <v>0</v>
      </c>
      <c r="ES96" s="26">
        <v>0</v>
      </c>
      <c r="ET96" s="26">
        <v>467.66390991210937</v>
      </c>
      <c r="EW96" s="26">
        <v>9</v>
      </c>
      <c r="EX96" s="26">
        <v>3.5999999046325684</v>
      </c>
      <c r="EY96" s="26">
        <v>1321.351318359375</v>
      </c>
      <c r="EZ96" s="26">
        <v>16.996746063232422</v>
      </c>
      <c r="FA96" s="26">
        <v>0</v>
      </c>
      <c r="FB96" s="26">
        <v>0</v>
      </c>
      <c r="FC96" s="26">
        <v>0</v>
      </c>
      <c r="FD96" s="26">
        <v>496.5577392578125</v>
      </c>
      <c r="FG96" s="26">
        <v>9</v>
      </c>
      <c r="FH96" s="26">
        <v>3.5999999046325684</v>
      </c>
      <c r="FI96" s="26">
        <v>1228.5594482421875</v>
      </c>
      <c r="FJ96" s="26">
        <v>15.838736534118652</v>
      </c>
      <c r="FK96" s="26">
        <v>0</v>
      </c>
      <c r="FL96" s="26">
        <v>0</v>
      </c>
      <c r="FM96" s="26">
        <v>0</v>
      </c>
      <c r="FN96" s="26">
        <v>461.774658203125</v>
      </c>
      <c r="FQ96" s="26">
        <v>9</v>
      </c>
      <c r="FR96" s="26">
        <v>3.5999999046325684</v>
      </c>
      <c r="FS96" s="26">
        <v>159.98518371582031</v>
      </c>
      <c r="FT96" s="26">
        <v>83.230636596679688</v>
      </c>
      <c r="FU96" s="26">
        <v>0</v>
      </c>
      <c r="FV96" s="26">
        <v>0</v>
      </c>
      <c r="FW96" s="26">
        <v>0</v>
      </c>
      <c r="FX96" s="26">
        <v>216.68289184570312</v>
      </c>
      <c r="GA96" s="26">
        <v>9</v>
      </c>
      <c r="GB96" s="26">
        <v>3.5999999046325684</v>
      </c>
      <c r="GC96" s="26">
        <v>129.19734191894531</v>
      </c>
      <c r="GD96" s="26">
        <v>51.131584167480469</v>
      </c>
      <c r="GE96" s="26">
        <v>0</v>
      </c>
      <c r="GF96" s="26">
        <v>0</v>
      </c>
      <c r="GG96" s="26">
        <v>0</v>
      </c>
      <c r="GH96" s="26">
        <v>147.68869018554687</v>
      </c>
      <c r="GK96" s="26">
        <v>9</v>
      </c>
      <c r="GL96" s="26">
        <v>3.5999999046325684</v>
      </c>
      <c r="GM96" s="26">
        <v>109.21356964111328</v>
      </c>
      <c r="GN96" s="26">
        <v>47.806900024414063</v>
      </c>
      <c r="GO96" s="26">
        <v>0</v>
      </c>
      <c r="GP96" s="26">
        <v>0</v>
      </c>
      <c r="GQ96" s="26">
        <v>0</v>
      </c>
      <c r="GR96" s="26">
        <v>132.62239074707031</v>
      </c>
      <c r="GU96" s="26">
        <v>9</v>
      </c>
      <c r="GV96" s="26">
        <v>3.5999999046325684</v>
      </c>
      <c r="GW96" s="26">
        <v>39.647510528564453</v>
      </c>
      <c r="GX96" s="26">
        <v>7.5399889945983887</v>
      </c>
      <c r="GY96" s="26">
        <v>0</v>
      </c>
      <c r="GZ96" s="26">
        <v>0</v>
      </c>
      <c r="HA96" s="26">
        <v>0</v>
      </c>
      <c r="HB96" s="26">
        <v>46.884384155273438</v>
      </c>
    </row>
    <row r="97" spans="2:210">
      <c r="B97" s="95">
        <v>7</v>
      </c>
      <c r="C97" s="26">
        <v>9</v>
      </c>
      <c r="D97" s="26">
        <v>0</v>
      </c>
      <c r="E97" s="26">
        <v>-2081.9423828125</v>
      </c>
      <c r="F97" s="26">
        <v>-18.68000602722168</v>
      </c>
      <c r="G97" s="26">
        <v>0</v>
      </c>
      <c r="H97" s="26">
        <v>0</v>
      </c>
      <c r="I97" s="26">
        <v>0</v>
      </c>
      <c r="J97" s="26">
        <v>141.943603515625</v>
      </c>
      <c r="L97" s="95">
        <v>7</v>
      </c>
      <c r="M97" s="26">
        <v>9</v>
      </c>
      <c r="N97" s="26">
        <v>0</v>
      </c>
      <c r="O97" s="26">
        <v>-2617.11962890625</v>
      </c>
      <c r="P97" s="26">
        <v>16.096038818359375</v>
      </c>
      <c r="Q97" s="26">
        <v>0</v>
      </c>
      <c r="R97" s="26">
        <v>0</v>
      </c>
      <c r="S97" s="26">
        <v>0</v>
      </c>
      <c r="T97" s="26">
        <v>-123.12252044677734</v>
      </c>
      <c r="V97" s="95">
        <v>7</v>
      </c>
      <c r="W97" s="26">
        <v>9</v>
      </c>
      <c r="X97" s="26">
        <v>0</v>
      </c>
      <c r="Y97" s="26">
        <v>1072.3824462890625</v>
      </c>
      <c r="Z97" s="26">
        <v>4.2039930820465088E-2</v>
      </c>
      <c r="AA97" s="26">
        <v>0</v>
      </c>
      <c r="AB97" s="26">
        <v>0</v>
      </c>
      <c r="AC97" s="26">
        <v>0</v>
      </c>
      <c r="AD97" s="26">
        <v>-0.12249448895454407</v>
      </c>
      <c r="AF97" s="95">
        <v>7</v>
      </c>
      <c r="AG97" s="26">
        <v>9</v>
      </c>
      <c r="AH97" s="26">
        <v>0</v>
      </c>
      <c r="AI97" s="26">
        <v>1384.2064208984375</v>
      </c>
      <c r="AJ97" s="26">
        <v>5.4297581315040588E-2</v>
      </c>
      <c r="AK97" s="26">
        <v>0</v>
      </c>
      <c r="AL97" s="26">
        <v>0</v>
      </c>
      <c r="AM97" s="26">
        <v>0</v>
      </c>
      <c r="AN97" s="26">
        <v>-0.15836764872074127</v>
      </c>
      <c r="AP97" s="95">
        <v>7</v>
      </c>
      <c r="AQ97" s="26">
        <v>9</v>
      </c>
      <c r="AR97" s="26">
        <v>0</v>
      </c>
      <c r="AS97" s="26">
        <v>-264.30538940429687</v>
      </c>
      <c r="AT97" s="26">
        <v>-5.8561749458312988</v>
      </c>
      <c r="AU97" s="26">
        <v>0</v>
      </c>
      <c r="AV97" s="26">
        <v>0</v>
      </c>
      <c r="AW97" s="26">
        <v>0</v>
      </c>
      <c r="AX97" s="26">
        <v>34.351463317871094</v>
      </c>
      <c r="AZ97" s="95">
        <v>7</v>
      </c>
      <c r="BA97" s="26">
        <v>9</v>
      </c>
      <c r="BB97" s="26">
        <v>0</v>
      </c>
      <c r="BC97" s="26">
        <v>-299.45755004882812</v>
      </c>
      <c r="BD97" s="26">
        <v>-6.6350650787353516</v>
      </c>
      <c r="BE97" s="26">
        <v>0</v>
      </c>
      <c r="BF97" s="26">
        <v>0</v>
      </c>
      <c r="BG97" s="26">
        <v>0</v>
      </c>
      <c r="BH97" s="26">
        <v>38.920318603515625</v>
      </c>
      <c r="BJ97" s="95">
        <v>7</v>
      </c>
      <c r="BK97" s="26">
        <v>9</v>
      </c>
      <c r="BL97" s="26">
        <v>0</v>
      </c>
      <c r="BM97" s="26">
        <v>-311.08694458007812</v>
      </c>
      <c r="BN97" s="26">
        <v>-6.892737865447998</v>
      </c>
      <c r="BO97" s="26">
        <v>0</v>
      </c>
      <c r="BP97" s="26">
        <v>0</v>
      </c>
      <c r="BQ97" s="26">
        <v>0</v>
      </c>
      <c r="BR97" s="26">
        <v>40.431793212890625</v>
      </c>
      <c r="BT97" s="95">
        <v>7</v>
      </c>
      <c r="BU97" s="26">
        <v>9</v>
      </c>
      <c r="BV97" s="26">
        <v>0</v>
      </c>
      <c r="BW97" s="26">
        <v>-311.08694458007812</v>
      </c>
      <c r="BX97" s="26">
        <v>-6.892737865447998</v>
      </c>
      <c r="BY97" s="26">
        <v>0</v>
      </c>
      <c r="BZ97" s="26">
        <v>0</v>
      </c>
      <c r="CA97" s="26">
        <v>0</v>
      </c>
      <c r="CB97" s="26">
        <v>40.431793212890625</v>
      </c>
      <c r="CD97" s="95">
        <v>7</v>
      </c>
      <c r="CE97" s="26">
        <v>9</v>
      </c>
      <c r="CF97" s="26">
        <v>0</v>
      </c>
      <c r="CG97" s="26">
        <v>-311.08694458007812</v>
      </c>
      <c r="CH97" s="26">
        <v>-6.892737865447998</v>
      </c>
      <c r="CI97" s="26">
        <v>0</v>
      </c>
      <c r="CJ97" s="26">
        <v>0</v>
      </c>
      <c r="CK97" s="26">
        <v>0</v>
      </c>
      <c r="CL97" s="26">
        <v>40.431793212890625</v>
      </c>
      <c r="CN97" s="95">
        <v>7</v>
      </c>
      <c r="CO97" s="26">
        <v>9</v>
      </c>
      <c r="CP97" s="26">
        <v>0</v>
      </c>
      <c r="CQ97" s="26">
        <v>172.65159606933594</v>
      </c>
      <c r="CR97" s="26">
        <v>2.4457161426544189</v>
      </c>
      <c r="CS97" s="26">
        <v>0</v>
      </c>
      <c r="CT97" s="26">
        <v>0</v>
      </c>
      <c r="CU97" s="26">
        <v>0</v>
      </c>
      <c r="CV97" s="26">
        <v>65.435859680175781</v>
      </c>
      <c r="CX97" s="95">
        <v>7</v>
      </c>
      <c r="CY97" s="26">
        <v>9</v>
      </c>
      <c r="CZ97" s="26">
        <v>0</v>
      </c>
      <c r="DA97" s="26">
        <v>215.81448364257812</v>
      </c>
      <c r="DB97" s="26">
        <v>3.057145357131958</v>
      </c>
      <c r="DC97" s="26">
        <v>0</v>
      </c>
      <c r="DD97" s="26">
        <v>0</v>
      </c>
      <c r="DE97" s="26">
        <v>0</v>
      </c>
      <c r="DF97" s="26">
        <v>81.794822692871094</v>
      </c>
      <c r="DH97" s="95">
        <v>7</v>
      </c>
      <c r="DI97" s="26">
        <v>9</v>
      </c>
      <c r="DJ97" s="26">
        <v>0</v>
      </c>
      <c r="DK97" s="26">
        <v>761.3302001953125</v>
      </c>
      <c r="DL97" s="26">
        <v>9.2201175689697266</v>
      </c>
      <c r="DM97" s="26">
        <v>0</v>
      </c>
      <c r="DN97" s="26">
        <v>0</v>
      </c>
      <c r="DO97" s="26">
        <v>0</v>
      </c>
      <c r="DP97" s="26">
        <v>284.69229125976562</v>
      </c>
      <c r="DR97" s="95">
        <v>7</v>
      </c>
      <c r="DS97" s="26">
        <v>9</v>
      </c>
      <c r="DT97" s="26">
        <v>0</v>
      </c>
      <c r="DU97" s="26">
        <v>877.70648193359375</v>
      </c>
      <c r="DV97" s="26">
        <v>10.712203979492188</v>
      </c>
      <c r="DW97" s="26">
        <v>0</v>
      </c>
      <c r="DX97" s="26">
        <v>0</v>
      </c>
      <c r="DY97" s="26">
        <v>0</v>
      </c>
      <c r="DZ97" s="26">
        <v>328.4139404296875</v>
      </c>
      <c r="EB97" s="95">
        <v>7</v>
      </c>
      <c r="EC97" s="26">
        <v>9</v>
      </c>
      <c r="ED97" s="26">
        <v>0</v>
      </c>
      <c r="EE97" s="26">
        <v>1192.9591064453125</v>
      </c>
      <c r="EF97" s="26">
        <v>15.334408760070801</v>
      </c>
      <c r="EG97" s="26">
        <v>0</v>
      </c>
      <c r="EH97" s="26">
        <v>0</v>
      </c>
      <c r="EI97" s="26">
        <v>0</v>
      </c>
      <c r="EJ97" s="26">
        <v>448.28192138671875</v>
      </c>
      <c r="EL97" s="95">
        <v>7</v>
      </c>
      <c r="EM97" s="26">
        <v>9</v>
      </c>
      <c r="EN97" s="26">
        <v>0</v>
      </c>
      <c r="EO97" s="26">
        <v>1244.0980224609375</v>
      </c>
      <c r="EP97" s="26">
        <v>16.05885124206543</v>
      </c>
      <c r="EQ97" s="26">
        <v>0</v>
      </c>
      <c r="ER97" s="26">
        <v>0</v>
      </c>
      <c r="ES97" s="26">
        <v>0</v>
      </c>
      <c r="ET97" s="26">
        <v>467.66390991210937</v>
      </c>
      <c r="EV97" s="95">
        <v>7</v>
      </c>
      <c r="EW97" s="26">
        <v>9</v>
      </c>
      <c r="EX97" s="26">
        <v>0</v>
      </c>
      <c r="EY97" s="26">
        <v>1321.351318359375</v>
      </c>
      <c r="EZ97" s="26">
        <v>16.996746063232422</v>
      </c>
      <c r="FA97" s="26">
        <v>0</v>
      </c>
      <c r="FB97" s="26">
        <v>0</v>
      </c>
      <c r="FC97" s="26">
        <v>0</v>
      </c>
      <c r="FD97" s="26">
        <v>496.5577392578125</v>
      </c>
      <c r="FF97" s="95">
        <v>7</v>
      </c>
      <c r="FG97" s="26">
        <v>9</v>
      </c>
      <c r="FH97" s="26">
        <v>0</v>
      </c>
      <c r="FI97" s="26">
        <v>1228.5594482421875</v>
      </c>
      <c r="FJ97" s="26">
        <v>15.838736534118652</v>
      </c>
      <c r="FK97" s="26">
        <v>0</v>
      </c>
      <c r="FL97" s="26">
        <v>0</v>
      </c>
      <c r="FM97" s="26">
        <v>0</v>
      </c>
      <c r="FN97" s="26">
        <v>461.774658203125</v>
      </c>
      <c r="FP97" s="95">
        <v>7</v>
      </c>
      <c r="FQ97" s="26">
        <v>9</v>
      </c>
      <c r="FR97" s="26">
        <v>0</v>
      </c>
      <c r="FS97" s="26">
        <v>159.98518371582031</v>
      </c>
      <c r="FT97" s="26">
        <v>83.230636596679688</v>
      </c>
      <c r="FU97" s="26">
        <v>0</v>
      </c>
      <c r="FV97" s="26">
        <v>0</v>
      </c>
      <c r="FW97" s="26">
        <v>0</v>
      </c>
      <c r="FX97" s="26">
        <v>216.68289184570312</v>
      </c>
      <c r="FZ97" s="95">
        <v>7</v>
      </c>
      <c r="GA97" s="26">
        <v>9</v>
      </c>
      <c r="GB97" s="26">
        <v>0</v>
      </c>
      <c r="GC97" s="26">
        <v>129.19734191894531</v>
      </c>
      <c r="GD97" s="26">
        <v>51.131584167480469</v>
      </c>
      <c r="GE97" s="26">
        <v>0</v>
      </c>
      <c r="GF97" s="26">
        <v>0</v>
      </c>
      <c r="GG97" s="26">
        <v>0</v>
      </c>
      <c r="GH97" s="26">
        <v>147.68869018554687</v>
      </c>
      <c r="GJ97" s="95">
        <v>7</v>
      </c>
      <c r="GK97" s="26">
        <v>9</v>
      </c>
      <c r="GL97" s="26">
        <v>0</v>
      </c>
      <c r="GM97" s="26">
        <v>109.21356964111328</v>
      </c>
      <c r="GN97" s="26">
        <v>47.806900024414063</v>
      </c>
      <c r="GO97" s="26">
        <v>0</v>
      </c>
      <c r="GP97" s="26">
        <v>0</v>
      </c>
      <c r="GQ97" s="26">
        <v>0</v>
      </c>
      <c r="GR97" s="26">
        <v>132.62239074707031</v>
      </c>
      <c r="GT97" s="95">
        <v>7</v>
      </c>
      <c r="GU97" s="26">
        <v>9</v>
      </c>
      <c r="GV97" s="26">
        <v>0</v>
      </c>
      <c r="GW97" s="26">
        <v>39.647510528564453</v>
      </c>
      <c r="GX97" s="26">
        <v>7.5399889945983887</v>
      </c>
      <c r="GY97" s="26">
        <v>0</v>
      </c>
      <c r="GZ97" s="26">
        <v>0</v>
      </c>
      <c r="HA97" s="26">
        <v>0</v>
      </c>
      <c r="HB97" s="26">
        <v>46.884384155273438</v>
      </c>
    </row>
    <row r="98" spans="2:210">
      <c r="C98" s="26">
        <v>11</v>
      </c>
      <c r="D98" s="26">
        <v>2.7000000476837158</v>
      </c>
      <c r="E98" s="26">
        <v>-2038.7767333984375</v>
      </c>
      <c r="F98" s="26">
        <v>-19.111398696899414</v>
      </c>
      <c r="G98" s="26">
        <v>0</v>
      </c>
      <c r="H98" s="26">
        <v>0</v>
      </c>
      <c r="I98" s="26">
        <v>0</v>
      </c>
      <c r="J98" s="26">
        <v>90.548149108886719</v>
      </c>
      <c r="M98" s="26">
        <v>11</v>
      </c>
      <c r="N98" s="26">
        <v>2.7000000476837158</v>
      </c>
      <c r="O98" s="26">
        <v>-2562.85791015625</v>
      </c>
      <c r="P98" s="26">
        <v>16.497091293334961</v>
      </c>
      <c r="Q98" s="26">
        <v>0</v>
      </c>
      <c r="R98" s="26">
        <v>0</v>
      </c>
      <c r="S98" s="26">
        <v>0</v>
      </c>
      <c r="T98" s="26">
        <v>-78.791473388671875</v>
      </c>
      <c r="W98" s="26">
        <v>11</v>
      </c>
      <c r="X98" s="26">
        <v>2.7000000476837158</v>
      </c>
      <c r="Y98" s="26">
        <v>1050.1483154296875</v>
      </c>
      <c r="Z98" s="26">
        <v>3.5910505801439285E-2</v>
      </c>
      <c r="AA98" s="26">
        <v>0</v>
      </c>
      <c r="AB98" s="26">
        <v>0</v>
      </c>
      <c r="AC98" s="26">
        <v>0</v>
      </c>
      <c r="AD98" s="26">
        <v>-1.7724566161632538E-2</v>
      </c>
      <c r="AG98" s="26">
        <v>11</v>
      </c>
      <c r="AH98" s="26">
        <v>2.7000000476837158</v>
      </c>
      <c r="AI98" s="26">
        <v>1355.5072021484375</v>
      </c>
      <c r="AJ98" s="26">
        <v>4.6386659145355225E-2</v>
      </c>
      <c r="AK98" s="26">
        <v>0</v>
      </c>
      <c r="AL98" s="26">
        <v>0</v>
      </c>
      <c r="AM98" s="26">
        <v>0</v>
      </c>
      <c r="AN98" s="26">
        <v>-2.3041082546114922E-2</v>
      </c>
      <c r="AQ98" s="26">
        <v>11</v>
      </c>
      <c r="AR98" s="26">
        <v>2.7000000476837158</v>
      </c>
      <c r="AS98" s="26">
        <v>-258.24417114257812</v>
      </c>
      <c r="AT98" s="26">
        <v>-5.7756404876708984</v>
      </c>
      <c r="AU98" s="26">
        <v>0</v>
      </c>
      <c r="AV98" s="26">
        <v>0</v>
      </c>
      <c r="AW98" s="26">
        <v>0</v>
      </c>
      <c r="AX98" s="26">
        <v>18.530750274658203</v>
      </c>
      <c r="BA98" s="26">
        <v>11</v>
      </c>
      <c r="BB98" s="26">
        <v>2.7000000476837158</v>
      </c>
      <c r="BC98" s="26">
        <v>-292.59017944335937</v>
      </c>
      <c r="BD98" s="26">
        <v>-6.5438194274902344</v>
      </c>
      <c r="BE98" s="26">
        <v>0</v>
      </c>
      <c r="BF98" s="26">
        <v>0</v>
      </c>
      <c r="BG98" s="26">
        <v>0</v>
      </c>
      <c r="BH98" s="26">
        <v>20.995401382446289</v>
      </c>
      <c r="BK98" s="26">
        <v>11</v>
      </c>
      <c r="BL98" s="26">
        <v>2.7000000476837158</v>
      </c>
      <c r="BM98" s="26">
        <v>-303.952880859375</v>
      </c>
      <c r="BN98" s="26">
        <v>-6.7979493141174316</v>
      </c>
      <c r="BO98" s="26">
        <v>0</v>
      </c>
      <c r="BP98" s="26">
        <v>0</v>
      </c>
      <c r="BQ98" s="26">
        <v>0</v>
      </c>
      <c r="BR98" s="26">
        <v>21.810758590698242</v>
      </c>
      <c r="BU98" s="26">
        <v>11</v>
      </c>
      <c r="BV98" s="26">
        <v>2.7000000476837158</v>
      </c>
      <c r="BW98" s="26">
        <v>-303.952880859375</v>
      </c>
      <c r="BX98" s="26">
        <v>-6.7979493141174316</v>
      </c>
      <c r="BY98" s="26">
        <v>0</v>
      </c>
      <c r="BZ98" s="26">
        <v>0</v>
      </c>
      <c r="CA98" s="26">
        <v>0</v>
      </c>
      <c r="CB98" s="26">
        <v>21.810758590698242</v>
      </c>
      <c r="CE98" s="26">
        <v>11</v>
      </c>
      <c r="CF98" s="26">
        <v>2.7000000476837158</v>
      </c>
      <c r="CG98" s="26">
        <v>-303.952880859375</v>
      </c>
      <c r="CH98" s="26">
        <v>-6.7979493141174316</v>
      </c>
      <c r="CI98" s="26">
        <v>0</v>
      </c>
      <c r="CJ98" s="26">
        <v>0</v>
      </c>
      <c r="CK98" s="26">
        <v>0</v>
      </c>
      <c r="CL98" s="26">
        <v>21.810758590698242</v>
      </c>
      <c r="CO98" s="26">
        <v>11</v>
      </c>
      <c r="CP98" s="26">
        <v>2.7000000476837158</v>
      </c>
      <c r="CQ98" s="26">
        <v>168.69223022460937</v>
      </c>
      <c r="CR98" s="26">
        <v>-1.5857418775558472</v>
      </c>
      <c r="CS98" s="26">
        <v>0</v>
      </c>
      <c r="CT98" s="26">
        <v>0</v>
      </c>
      <c r="CU98" s="26">
        <v>0</v>
      </c>
      <c r="CV98" s="26">
        <v>65.768875122070313</v>
      </c>
      <c r="CY98" s="26">
        <v>11</v>
      </c>
      <c r="CZ98" s="26">
        <v>2.7000000476837158</v>
      </c>
      <c r="DA98" s="26">
        <v>210.86528015136719</v>
      </c>
      <c r="DB98" s="26">
        <v>-1.9821773767471313</v>
      </c>
      <c r="DC98" s="26">
        <v>0</v>
      </c>
      <c r="DD98" s="26">
        <v>0</v>
      </c>
      <c r="DE98" s="26">
        <v>0</v>
      </c>
      <c r="DF98" s="26">
        <v>82.211097717285156</v>
      </c>
      <c r="DI98" s="26">
        <v>11</v>
      </c>
      <c r="DJ98" s="26">
        <v>2.7000000476837158</v>
      </c>
      <c r="DK98" s="26">
        <v>743.870849609375</v>
      </c>
      <c r="DL98" s="26">
        <v>-7.8825163841247559</v>
      </c>
      <c r="DM98" s="26">
        <v>0</v>
      </c>
      <c r="DN98" s="26">
        <v>0</v>
      </c>
      <c r="DO98" s="26">
        <v>0</v>
      </c>
      <c r="DP98" s="26">
        <v>282.95892333984375</v>
      </c>
      <c r="DS98" s="26">
        <v>11</v>
      </c>
      <c r="DT98" s="26">
        <v>2.7000000476837158</v>
      </c>
      <c r="DU98" s="26">
        <v>857.57830810546875</v>
      </c>
      <c r="DV98" s="26">
        <v>-9.0403861999511719</v>
      </c>
      <c r="DW98" s="26">
        <v>0</v>
      </c>
      <c r="DX98" s="26">
        <v>0</v>
      </c>
      <c r="DY98" s="26">
        <v>0</v>
      </c>
      <c r="DZ98" s="26">
        <v>326.58489990234375</v>
      </c>
      <c r="EC98" s="26">
        <v>11</v>
      </c>
      <c r="ED98" s="26">
        <v>2.7000000476837158</v>
      </c>
      <c r="EE98" s="26">
        <v>1165.6014404296875</v>
      </c>
      <c r="EF98" s="26">
        <v>-11.846871376037598</v>
      </c>
      <c r="EG98" s="26">
        <v>0</v>
      </c>
      <c r="EH98" s="26">
        <v>0</v>
      </c>
      <c r="EI98" s="26">
        <v>0</v>
      </c>
      <c r="EJ98" s="26">
        <v>447.38113403320312</v>
      </c>
      <c r="EM98" s="26">
        <v>11</v>
      </c>
      <c r="EN98" s="26">
        <v>2.7000000476837158</v>
      </c>
      <c r="EO98" s="26">
        <v>1215.5675048828125</v>
      </c>
      <c r="EP98" s="26">
        <v>-12.316546440124512</v>
      </c>
      <c r="EQ98" s="26">
        <v>0</v>
      </c>
      <c r="ER98" s="26">
        <v>0</v>
      </c>
      <c r="ES98" s="26">
        <v>0</v>
      </c>
      <c r="ET98" s="26">
        <v>466.86181640625</v>
      </c>
      <c r="EW98" s="26">
        <v>11</v>
      </c>
      <c r="EX98" s="26">
        <v>2.7000000476837158</v>
      </c>
      <c r="EY98" s="26">
        <v>1291.0491943359375</v>
      </c>
      <c r="EZ98" s="26">
        <v>-13.115079879760742</v>
      </c>
      <c r="FA98" s="26">
        <v>0</v>
      </c>
      <c r="FB98" s="26">
        <v>0</v>
      </c>
      <c r="FC98" s="26">
        <v>0</v>
      </c>
      <c r="FD98" s="26">
        <v>495.58450317382812</v>
      </c>
      <c r="FG98" s="26">
        <v>11</v>
      </c>
      <c r="FH98" s="26">
        <v>2.7000000476837158</v>
      </c>
      <c r="FI98" s="26">
        <v>1200.38525390625</v>
      </c>
      <c r="FJ98" s="26">
        <v>-12.173830032348633</v>
      </c>
      <c r="FK98" s="26">
        <v>0</v>
      </c>
      <c r="FL98" s="26">
        <v>0</v>
      </c>
      <c r="FM98" s="26">
        <v>0</v>
      </c>
      <c r="FN98" s="26">
        <v>460.94259643554687</v>
      </c>
      <c r="FQ98" s="26">
        <v>11</v>
      </c>
      <c r="FR98" s="26">
        <v>2.7000000476837158</v>
      </c>
      <c r="FS98" s="26">
        <v>156.66815185546875</v>
      </c>
      <c r="FT98" s="26">
        <v>54.541309356689453</v>
      </c>
      <c r="FU98" s="26">
        <v>0</v>
      </c>
      <c r="FV98" s="26">
        <v>0</v>
      </c>
      <c r="FW98" s="26">
        <v>0</v>
      </c>
      <c r="FX98" s="26">
        <v>398.69973754882812</v>
      </c>
      <c r="GA98" s="26">
        <v>11</v>
      </c>
      <c r="GB98" s="26">
        <v>2.7000000476837158</v>
      </c>
      <c r="GC98" s="26">
        <v>126.51864624023437</v>
      </c>
      <c r="GD98" s="26">
        <v>32.981346130371094</v>
      </c>
      <c r="GE98" s="26">
        <v>0</v>
      </c>
      <c r="GF98" s="26">
        <v>0</v>
      </c>
      <c r="GG98" s="26">
        <v>0</v>
      </c>
      <c r="GH98" s="26">
        <v>258.70193481445312</v>
      </c>
      <c r="GK98" s="26">
        <v>11</v>
      </c>
      <c r="GL98" s="26">
        <v>2.7000000476837158</v>
      </c>
      <c r="GM98" s="26">
        <v>106.94921112060547</v>
      </c>
      <c r="GN98" s="26">
        <v>31.033782958984375</v>
      </c>
      <c r="GO98" s="26">
        <v>0</v>
      </c>
      <c r="GP98" s="26">
        <v>0</v>
      </c>
      <c r="GQ98" s="26">
        <v>0</v>
      </c>
      <c r="GR98" s="26">
        <v>236.7196044921875</v>
      </c>
      <c r="GU98" s="26">
        <v>11</v>
      </c>
      <c r="GV98" s="26">
        <v>2.7000000476837158</v>
      </c>
      <c r="GW98" s="26">
        <v>38.738285064697266</v>
      </c>
      <c r="GX98" s="26">
        <v>2.8706965446472168</v>
      </c>
      <c r="GY98" s="26">
        <v>0</v>
      </c>
      <c r="GZ98" s="26">
        <v>0</v>
      </c>
      <c r="HA98" s="26">
        <v>0</v>
      </c>
      <c r="HB98" s="26">
        <v>60.088733673095703</v>
      </c>
    </row>
    <row r="99" spans="2:210">
      <c r="B99" s="95">
        <v>8</v>
      </c>
      <c r="C99" s="26">
        <v>11</v>
      </c>
      <c r="D99" s="26">
        <v>0</v>
      </c>
      <c r="E99" s="26">
        <v>-2038.7767333984375</v>
      </c>
      <c r="F99" s="26">
        <v>-19.111398696899414</v>
      </c>
      <c r="G99" s="26">
        <v>0</v>
      </c>
      <c r="H99" s="26">
        <v>0</v>
      </c>
      <c r="I99" s="26">
        <v>0</v>
      </c>
      <c r="J99" s="26">
        <v>90.548149108886719</v>
      </c>
      <c r="L99" s="95">
        <v>8</v>
      </c>
      <c r="M99" s="26">
        <v>11</v>
      </c>
      <c r="N99" s="26">
        <v>0</v>
      </c>
      <c r="O99" s="26">
        <v>-2562.85791015625</v>
      </c>
      <c r="P99" s="26">
        <v>16.497091293334961</v>
      </c>
      <c r="Q99" s="26">
        <v>0</v>
      </c>
      <c r="R99" s="26">
        <v>0</v>
      </c>
      <c r="S99" s="26">
        <v>0</v>
      </c>
      <c r="T99" s="26">
        <v>-78.791473388671875</v>
      </c>
      <c r="V99" s="95">
        <v>8</v>
      </c>
      <c r="W99" s="26">
        <v>11</v>
      </c>
      <c r="X99" s="26">
        <v>0</v>
      </c>
      <c r="Y99" s="26">
        <v>1050.1483154296875</v>
      </c>
      <c r="Z99" s="26">
        <v>3.5910505801439285E-2</v>
      </c>
      <c r="AA99" s="26">
        <v>0</v>
      </c>
      <c r="AB99" s="26">
        <v>0</v>
      </c>
      <c r="AC99" s="26">
        <v>0</v>
      </c>
      <c r="AD99" s="26">
        <v>-1.7724566161632538E-2</v>
      </c>
      <c r="AF99" s="95">
        <v>8</v>
      </c>
      <c r="AG99" s="26">
        <v>11</v>
      </c>
      <c r="AH99" s="26">
        <v>0</v>
      </c>
      <c r="AI99" s="26">
        <v>1355.5072021484375</v>
      </c>
      <c r="AJ99" s="26">
        <v>4.6386659145355225E-2</v>
      </c>
      <c r="AK99" s="26">
        <v>0</v>
      </c>
      <c r="AL99" s="26">
        <v>0</v>
      </c>
      <c r="AM99" s="26">
        <v>0</v>
      </c>
      <c r="AN99" s="26">
        <v>-2.3041082546114922E-2</v>
      </c>
      <c r="AP99" s="95">
        <v>8</v>
      </c>
      <c r="AQ99" s="26">
        <v>11</v>
      </c>
      <c r="AR99" s="26">
        <v>0</v>
      </c>
      <c r="AS99" s="26">
        <v>-258.24417114257812</v>
      </c>
      <c r="AT99" s="26">
        <v>-5.7756404876708984</v>
      </c>
      <c r="AU99" s="26">
        <v>0</v>
      </c>
      <c r="AV99" s="26">
        <v>0</v>
      </c>
      <c r="AW99" s="26">
        <v>0</v>
      </c>
      <c r="AX99" s="26">
        <v>18.530750274658203</v>
      </c>
      <c r="AZ99" s="95">
        <v>8</v>
      </c>
      <c r="BA99" s="26">
        <v>11</v>
      </c>
      <c r="BB99" s="26">
        <v>0</v>
      </c>
      <c r="BC99" s="26">
        <v>-292.59017944335937</v>
      </c>
      <c r="BD99" s="26">
        <v>-6.5438194274902344</v>
      </c>
      <c r="BE99" s="26">
        <v>0</v>
      </c>
      <c r="BF99" s="26">
        <v>0</v>
      </c>
      <c r="BG99" s="26">
        <v>0</v>
      </c>
      <c r="BH99" s="26">
        <v>20.995401382446289</v>
      </c>
      <c r="BJ99" s="95">
        <v>8</v>
      </c>
      <c r="BK99" s="26">
        <v>11</v>
      </c>
      <c r="BL99" s="26">
        <v>0</v>
      </c>
      <c r="BM99" s="26">
        <v>-303.952880859375</v>
      </c>
      <c r="BN99" s="26">
        <v>-6.7979493141174316</v>
      </c>
      <c r="BO99" s="26">
        <v>0</v>
      </c>
      <c r="BP99" s="26">
        <v>0</v>
      </c>
      <c r="BQ99" s="26">
        <v>0</v>
      </c>
      <c r="BR99" s="26">
        <v>21.810758590698242</v>
      </c>
      <c r="BT99" s="95">
        <v>8</v>
      </c>
      <c r="BU99" s="26">
        <v>11</v>
      </c>
      <c r="BV99" s="26">
        <v>0</v>
      </c>
      <c r="BW99" s="26">
        <v>-303.952880859375</v>
      </c>
      <c r="BX99" s="26">
        <v>-6.7979493141174316</v>
      </c>
      <c r="BY99" s="26">
        <v>0</v>
      </c>
      <c r="BZ99" s="26">
        <v>0</v>
      </c>
      <c r="CA99" s="26">
        <v>0</v>
      </c>
      <c r="CB99" s="26">
        <v>21.810758590698242</v>
      </c>
      <c r="CD99" s="95">
        <v>8</v>
      </c>
      <c r="CE99" s="26">
        <v>11</v>
      </c>
      <c r="CF99" s="26">
        <v>0</v>
      </c>
      <c r="CG99" s="26">
        <v>-303.952880859375</v>
      </c>
      <c r="CH99" s="26">
        <v>-6.7979493141174316</v>
      </c>
      <c r="CI99" s="26">
        <v>0</v>
      </c>
      <c r="CJ99" s="26">
        <v>0</v>
      </c>
      <c r="CK99" s="26">
        <v>0</v>
      </c>
      <c r="CL99" s="26">
        <v>21.810758590698242</v>
      </c>
      <c r="CN99" s="95">
        <v>8</v>
      </c>
      <c r="CO99" s="26">
        <v>11</v>
      </c>
      <c r="CP99" s="26">
        <v>0</v>
      </c>
      <c r="CQ99" s="26">
        <v>168.69223022460937</v>
      </c>
      <c r="CR99" s="26">
        <v>-1.5857418775558472</v>
      </c>
      <c r="CS99" s="26">
        <v>0</v>
      </c>
      <c r="CT99" s="26">
        <v>0</v>
      </c>
      <c r="CU99" s="26">
        <v>0</v>
      </c>
      <c r="CV99" s="26">
        <v>65.768875122070313</v>
      </c>
      <c r="CX99" s="95">
        <v>8</v>
      </c>
      <c r="CY99" s="26">
        <v>11</v>
      </c>
      <c r="CZ99" s="26">
        <v>0</v>
      </c>
      <c r="DA99" s="26">
        <v>210.86528015136719</v>
      </c>
      <c r="DB99" s="26">
        <v>-1.9821773767471313</v>
      </c>
      <c r="DC99" s="26">
        <v>0</v>
      </c>
      <c r="DD99" s="26">
        <v>0</v>
      </c>
      <c r="DE99" s="26">
        <v>0</v>
      </c>
      <c r="DF99" s="26">
        <v>82.211097717285156</v>
      </c>
      <c r="DH99" s="95">
        <v>8</v>
      </c>
      <c r="DI99" s="26">
        <v>11</v>
      </c>
      <c r="DJ99" s="26">
        <v>0</v>
      </c>
      <c r="DK99" s="26">
        <v>743.870849609375</v>
      </c>
      <c r="DL99" s="26">
        <v>-7.8825163841247559</v>
      </c>
      <c r="DM99" s="26">
        <v>0</v>
      </c>
      <c r="DN99" s="26">
        <v>0</v>
      </c>
      <c r="DO99" s="26">
        <v>0</v>
      </c>
      <c r="DP99" s="26">
        <v>282.95892333984375</v>
      </c>
      <c r="DR99" s="95">
        <v>8</v>
      </c>
      <c r="DS99" s="26">
        <v>11</v>
      </c>
      <c r="DT99" s="26">
        <v>0</v>
      </c>
      <c r="DU99" s="26">
        <v>857.57830810546875</v>
      </c>
      <c r="DV99" s="26">
        <v>-9.0403861999511719</v>
      </c>
      <c r="DW99" s="26">
        <v>0</v>
      </c>
      <c r="DX99" s="26">
        <v>0</v>
      </c>
      <c r="DY99" s="26">
        <v>0</v>
      </c>
      <c r="DZ99" s="26">
        <v>326.58489990234375</v>
      </c>
      <c r="EB99" s="95">
        <v>8</v>
      </c>
      <c r="EC99" s="26">
        <v>11</v>
      </c>
      <c r="ED99" s="26">
        <v>0</v>
      </c>
      <c r="EE99" s="26">
        <v>1165.6014404296875</v>
      </c>
      <c r="EF99" s="26">
        <v>-11.846871376037598</v>
      </c>
      <c r="EG99" s="26">
        <v>0</v>
      </c>
      <c r="EH99" s="26">
        <v>0</v>
      </c>
      <c r="EI99" s="26">
        <v>0</v>
      </c>
      <c r="EJ99" s="26">
        <v>447.38113403320312</v>
      </c>
      <c r="EL99" s="95">
        <v>8</v>
      </c>
      <c r="EM99" s="26">
        <v>11</v>
      </c>
      <c r="EN99" s="26">
        <v>0</v>
      </c>
      <c r="EO99" s="26">
        <v>1215.5675048828125</v>
      </c>
      <c r="EP99" s="26">
        <v>-12.316546440124512</v>
      </c>
      <c r="EQ99" s="26">
        <v>0</v>
      </c>
      <c r="ER99" s="26">
        <v>0</v>
      </c>
      <c r="ES99" s="26">
        <v>0</v>
      </c>
      <c r="ET99" s="26">
        <v>466.86181640625</v>
      </c>
      <c r="EV99" s="95">
        <v>8</v>
      </c>
      <c r="EW99" s="26">
        <v>11</v>
      </c>
      <c r="EX99" s="26">
        <v>0</v>
      </c>
      <c r="EY99" s="26">
        <v>1291.0491943359375</v>
      </c>
      <c r="EZ99" s="26">
        <v>-13.115079879760742</v>
      </c>
      <c r="FA99" s="26">
        <v>0</v>
      </c>
      <c r="FB99" s="26">
        <v>0</v>
      </c>
      <c r="FC99" s="26">
        <v>0</v>
      </c>
      <c r="FD99" s="26">
        <v>495.58450317382812</v>
      </c>
      <c r="FF99" s="95">
        <v>8</v>
      </c>
      <c r="FG99" s="26">
        <v>11</v>
      </c>
      <c r="FH99" s="26">
        <v>0</v>
      </c>
      <c r="FI99" s="26">
        <v>1200.38525390625</v>
      </c>
      <c r="FJ99" s="26">
        <v>-12.173830032348633</v>
      </c>
      <c r="FK99" s="26">
        <v>0</v>
      </c>
      <c r="FL99" s="26">
        <v>0</v>
      </c>
      <c r="FM99" s="26">
        <v>0</v>
      </c>
      <c r="FN99" s="26">
        <v>460.94259643554687</v>
      </c>
      <c r="FP99" s="95">
        <v>8</v>
      </c>
      <c r="FQ99" s="26">
        <v>11</v>
      </c>
      <c r="FR99" s="26">
        <v>0</v>
      </c>
      <c r="FS99" s="26">
        <v>156.66815185546875</v>
      </c>
      <c r="FT99" s="26">
        <v>54.541309356689453</v>
      </c>
      <c r="FU99" s="26">
        <v>0</v>
      </c>
      <c r="FV99" s="26">
        <v>0</v>
      </c>
      <c r="FW99" s="26">
        <v>0</v>
      </c>
      <c r="FX99" s="26">
        <v>398.69973754882812</v>
      </c>
      <c r="FZ99" s="95">
        <v>8</v>
      </c>
      <c r="GA99" s="26">
        <v>11</v>
      </c>
      <c r="GB99" s="26">
        <v>0</v>
      </c>
      <c r="GC99" s="26">
        <v>126.51864624023437</v>
      </c>
      <c r="GD99" s="26">
        <v>32.981346130371094</v>
      </c>
      <c r="GE99" s="26">
        <v>0</v>
      </c>
      <c r="GF99" s="26">
        <v>0</v>
      </c>
      <c r="GG99" s="26">
        <v>0</v>
      </c>
      <c r="GH99" s="26">
        <v>258.70193481445312</v>
      </c>
      <c r="GJ99" s="95">
        <v>8</v>
      </c>
      <c r="GK99" s="26">
        <v>11</v>
      </c>
      <c r="GL99" s="26">
        <v>0</v>
      </c>
      <c r="GM99" s="26">
        <v>106.94921112060547</v>
      </c>
      <c r="GN99" s="26">
        <v>31.033782958984375</v>
      </c>
      <c r="GO99" s="26">
        <v>0</v>
      </c>
      <c r="GP99" s="26">
        <v>0</v>
      </c>
      <c r="GQ99" s="26">
        <v>0</v>
      </c>
      <c r="GR99" s="26">
        <v>236.7196044921875</v>
      </c>
      <c r="GT99" s="95">
        <v>8</v>
      </c>
      <c r="GU99" s="26">
        <v>11</v>
      </c>
      <c r="GV99" s="26">
        <v>0</v>
      </c>
      <c r="GW99" s="26">
        <v>38.738285064697266</v>
      </c>
      <c r="GX99" s="26">
        <v>2.8706965446472168</v>
      </c>
      <c r="GY99" s="26">
        <v>0</v>
      </c>
      <c r="GZ99" s="26">
        <v>0</v>
      </c>
      <c r="HA99" s="26">
        <v>0</v>
      </c>
      <c r="HB99" s="26">
        <v>60.088733673095703</v>
      </c>
    </row>
    <row r="100" spans="2:210">
      <c r="C100" s="26">
        <v>13</v>
      </c>
      <c r="D100" s="26">
        <v>2.7999999523162842</v>
      </c>
      <c r="E100" s="26">
        <v>-1771.3431396484375</v>
      </c>
      <c r="F100" s="26">
        <v>-15.222004890441895</v>
      </c>
      <c r="G100" s="26">
        <v>0</v>
      </c>
      <c r="H100" s="26">
        <v>0</v>
      </c>
      <c r="I100" s="26">
        <v>0</v>
      </c>
      <c r="J100" s="26">
        <v>41.774929046630859</v>
      </c>
      <c r="M100" s="26">
        <v>13</v>
      </c>
      <c r="N100" s="26">
        <v>2.7999999523162842</v>
      </c>
      <c r="O100" s="26">
        <v>-2226.6787109375</v>
      </c>
      <c r="P100" s="26">
        <v>13.211590766906738</v>
      </c>
      <c r="Q100" s="26">
        <v>0</v>
      </c>
      <c r="R100" s="26">
        <v>0</v>
      </c>
      <c r="S100" s="26">
        <v>0</v>
      </c>
      <c r="T100" s="26">
        <v>-36.568927764892578</v>
      </c>
      <c r="W100" s="26">
        <v>13</v>
      </c>
      <c r="X100" s="26">
        <v>2.7999999523162842</v>
      </c>
      <c r="Y100" s="26">
        <v>912.39666748046875</v>
      </c>
      <c r="Z100" s="26">
        <v>1.1210770346224308E-2</v>
      </c>
      <c r="AA100" s="26">
        <v>0</v>
      </c>
      <c r="AB100" s="26">
        <v>0</v>
      </c>
      <c r="AC100" s="26">
        <v>0</v>
      </c>
      <c r="AD100" s="26">
        <v>4.4591832906007767E-2</v>
      </c>
      <c r="AG100" s="26">
        <v>13</v>
      </c>
      <c r="AH100" s="26">
        <v>2.7999999523162842</v>
      </c>
      <c r="AI100" s="26">
        <v>1177.700439453125</v>
      </c>
      <c r="AJ100" s="26">
        <v>1.4497911557555199E-2</v>
      </c>
      <c r="AK100" s="26">
        <v>0</v>
      </c>
      <c r="AL100" s="26">
        <v>0</v>
      </c>
      <c r="AM100" s="26">
        <v>0</v>
      </c>
      <c r="AN100" s="26">
        <v>5.7482894510030746E-2</v>
      </c>
      <c r="AQ100" s="26">
        <v>13</v>
      </c>
      <c r="AR100" s="26">
        <v>2.7999999523162842</v>
      </c>
      <c r="AS100" s="26">
        <v>-222.15144348144531</v>
      </c>
      <c r="AT100" s="26">
        <v>-3.6553678512573242</v>
      </c>
      <c r="AU100" s="26">
        <v>0</v>
      </c>
      <c r="AV100" s="26">
        <v>0</v>
      </c>
      <c r="AW100" s="26">
        <v>0</v>
      </c>
      <c r="AX100" s="26">
        <v>5.2974328994750977</v>
      </c>
      <c r="BA100" s="26">
        <v>13</v>
      </c>
      <c r="BB100" s="26">
        <v>2.7999999523162842</v>
      </c>
      <c r="BC100" s="26">
        <v>-251.69720458984375</v>
      </c>
      <c r="BD100" s="26">
        <v>-4.1415433883666992</v>
      </c>
      <c r="BE100" s="26">
        <v>0</v>
      </c>
      <c r="BF100" s="26">
        <v>0</v>
      </c>
      <c r="BG100" s="26">
        <v>0</v>
      </c>
      <c r="BH100" s="26">
        <v>6.0020089149475098</v>
      </c>
      <c r="BK100" s="26">
        <v>13</v>
      </c>
      <c r="BL100" s="26">
        <v>2.7999999523162842</v>
      </c>
      <c r="BM100" s="26">
        <v>-261.47183227539062</v>
      </c>
      <c r="BN100" s="26">
        <v>-4.3023805618286133</v>
      </c>
      <c r="BO100" s="26">
        <v>0</v>
      </c>
      <c r="BP100" s="26">
        <v>0</v>
      </c>
      <c r="BQ100" s="26">
        <v>0</v>
      </c>
      <c r="BR100" s="26">
        <v>6.2350974082946777</v>
      </c>
      <c r="BU100" s="26">
        <v>13</v>
      </c>
      <c r="BV100" s="26">
        <v>2.7999999523162842</v>
      </c>
      <c r="BW100" s="26">
        <v>-261.47183227539062</v>
      </c>
      <c r="BX100" s="26">
        <v>-4.3023805618286133</v>
      </c>
      <c r="BY100" s="26">
        <v>0</v>
      </c>
      <c r="BZ100" s="26">
        <v>0</v>
      </c>
      <c r="CA100" s="26">
        <v>0</v>
      </c>
      <c r="CB100" s="26">
        <v>6.2350974082946777</v>
      </c>
      <c r="CE100" s="26">
        <v>13</v>
      </c>
      <c r="CF100" s="26">
        <v>2.7999999523162842</v>
      </c>
      <c r="CG100" s="26">
        <v>-261.47183227539062</v>
      </c>
      <c r="CH100" s="26">
        <v>-4.3023805618286133</v>
      </c>
      <c r="CI100" s="26">
        <v>0</v>
      </c>
      <c r="CJ100" s="26">
        <v>0</v>
      </c>
      <c r="CK100" s="26">
        <v>0</v>
      </c>
      <c r="CL100" s="26">
        <v>6.2350974082946777</v>
      </c>
      <c r="CO100" s="26">
        <v>13</v>
      </c>
      <c r="CP100" s="26">
        <v>2.7999999523162842</v>
      </c>
      <c r="CQ100" s="26">
        <v>145.11546325683594</v>
      </c>
      <c r="CR100" s="26">
        <v>-9.3140287399291992</v>
      </c>
      <c r="CS100" s="26">
        <v>0</v>
      </c>
      <c r="CT100" s="26">
        <v>0</v>
      </c>
      <c r="CU100" s="26">
        <v>0</v>
      </c>
      <c r="CV100" s="26">
        <v>47.477149963378906</v>
      </c>
      <c r="CY100" s="26">
        <v>13</v>
      </c>
      <c r="CZ100" s="26">
        <v>2.7999999523162842</v>
      </c>
      <c r="DA100" s="26">
        <v>181.39433288574219</v>
      </c>
      <c r="DB100" s="26">
        <v>-11.642535209655762</v>
      </c>
      <c r="DC100" s="26">
        <v>0</v>
      </c>
      <c r="DD100" s="26">
        <v>0</v>
      </c>
      <c r="DE100" s="26">
        <v>0</v>
      </c>
      <c r="DF100" s="26">
        <v>59.346439361572266</v>
      </c>
      <c r="DI100" s="26">
        <v>13</v>
      </c>
      <c r="DJ100" s="26">
        <v>2.7999999523162842</v>
      </c>
      <c r="DK100" s="26">
        <v>639.906005859375</v>
      </c>
      <c r="DL100" s="26">
        <v>-40.277084350585938</v>
      </c>
      <c r="DM100" s="26">
        <v>0</v>
      </c>
      <c r="DN100" s="26">
        <v>0</v>
      </c>
      <c r="DO100" s="26">
        <v>0</v>
      </c>
      <c r="DP100" s="26">
        <v>202.6546630859375</v>
      </c>
      <c r="DS100" s="26">
        <v>13</v>
      </c>
      <c r="DT100" s="26">
        <v>2.7999999523162842</v>
      </c>
      <c r="DU100" s="26">
        <v>737.72149658203125</v>
      </c>
      <c r="DV100" s="26">
        <v>-46.475799560546875</v>
      </c>
      <c r="DW100" s="26">
        <v>0</v>
      </c>
      <c r="DX100" s="26">
        <v>0</v>
      </c>
      <c r="DY100" s="26">
        <v>0</v>
      </c>
      <c r="DZ100" s="26">
        <v>233.986572265625</v>
      </c>
      <c r="EC100" s="26">
        <v>13</v>
      </c>
      <c r="ED100" s="26">
        <v>2.7999999523162842</v>
      </c>
      <c r="EE100" s="26">
        <v>1002.6946411132812</v>
      </c>
      <c r="EF100" s="26">
        <v>-63.562156677246094</v>
      </c>
      <c r="EG100" s="26">
        <v>0</v>
      </c>
      <c r="EH100" s="26">
        <v>0</v>
      </c>
      <c r="EI100" s="26">
        <v>0</v>
      </c>
      <c r="EJ100" s="26">
        <v>321.3475341796875</v>
      </c>
      <c r="EM100" s="26">
        <v>13</v>
      </c>
      <c r="EN100" s="26">
        <v>2.7999999523162842</v>
      </c>
      <c r="EO100" s="26">
        <v>1045.6773681640625</v>
      </c>
      <c r="EP100" s="26">
        <v>-66.320960998535156</v>
      </c>
      <c r="EQ100" s="26">
        <v>0</v>
      </c>
      <c r="ER100" s="26">
        <v>0</v>
      </c>
      <c r="ES100" s="26">
        <v>0</v>
      </c>
      <c r="ET100" s="26">
        <v>335.41024780273437</v>
      </c>
      <c r="EW100" s="26">
        <v>13</v>
      </c>
      <c r="EX100" s="26">
        <v>2.7999999523162842</v>
      </c>
      <c r="EY100" s="26">
        <v>1110.609619140625</v>
      </c>
      <c r="EZ100" s="26">
        <v>-70.409111022949219</v>
      </c>
      <c r="FA100" s="26">
        <v>0</v>
      </c>
      <c r="FB100" s="26">
        <v>0</v>
      </c>
      <c r="FC100" s="26">
        <v>0</v>
      </c>
      <c r="FD100" s="26">
        <v>355.98382568359375</v>
      </c>
      <c r="FG100" s="26">
        <v>13</v>
      </c>
      <c r="FH100" s="26">
        <v>2.7999999523162842</v>
      </c>
      <c r="FI100" s="26">
        <v>1032.6170654296875</v>
      </c>
      <c r="FJ100" s="26">
        <v>-65.482696533203125</v>
      </c>
      <c r="FK100" s="26">
        <v>0</v>
      </c>
      <c r="FL100" s="26">
        <v>0</v>
      </c>
      <c r="FM100" s="26">
        <v>0</v>
      </c>
      <c r="FN100" s="26">
        <v>331.13729858398437</v>
      </c>
      <c r="FQ100" s="26">
        <v>13</v>
      </c>
      <c r="FR100" s="26">
        <v>2.7999999523162842</v>
      </c>
      <c r="FS100" s="26">
        <v>136.117431640625</v>
      </c>
      <c r="FT100" s="26">
        <v>-31.538501739501953</v>
      </c>
      <c r="FU100" s="26">
        <v>0</v>
      </c>
      <c r="FV100" s="26">
        <v>0</v>
      </c>
      <c r="FW100" s="26">
        <v>0</v>
      </c>
      <c r="FX100" s="26">
        <v>411.44601440429687</v>
      </c>
      <c r="GA100" s="26">
        <v>13</v>
      </c>
      <c r="GB100" s="26">
        <v>2.7999999523162842</v>
      </c>
      <c r="GC100" s="26">
        <v>109.92274475097656</v>
      </c>
      <c r="GD100" s="26">
        <v>-21.080467224121094</v>
      </c>
      <c r="GE100" s="26">
        <v>0</v>
      </c>
      <c r="GF100" s="26">
        <v>0</v>
      </c>
      <c r="GG100" s="26">
        <v>0</v>
      </c>
      <c r="GH100" s="26">
        <v>263.02166748046875</v>
      </c>
      <c r="GK100" s="26">
        <v>13</v>
      </c>
      <c r="GL100" s="26">
        <v>2.7999999523162842</v>
      </c>
      <c r="GM100" s="26">
        <v>92.920303344726563</v>
      </c>
      <c r="GN100" s="26">
        <v>-19.070480346679688</v>
      </c>
      <c r="GO100" s="26">
        <v>0</v>
      </c>
      <c r="GP100" s="26">
        <v>0</v>
      </c>
      <c r="GQ100" s="26">
        <v>0</v>
      </c>
      <c r="GR100" s="26">
        <v>242.07464599609375</v>
      </c>
      <c r="GU100" s="26">
        <v>13</v>
      </c>
      <c r="GV100" s="26">
        <v>2.7999999523162842</v>
      </c>
      <c r="GW100" s="26">
        <v>33.324146270751953</v>
      </c>
      <c r="GX100" s="26">
        <v>-7.6738357543945313</v>
      </c>
      <c r="GY100" s="26">
        <v>0</v>
      </c>
      <c r="GZ100" s="26">
        <v>0</v>
      </c>
      <c r="HA100" s="26">
        <v>0</v>
      </c>
      <c r="HB100" s="26">
        <v>49.925914764404297</v>
      </c>
    </row>
    <row r="101" spans="2:210">
      <c r="B101" s="95">
        <v>9</v>
      </c>
      <c r="C101" s="26">
        <v>13</v>
      </c>
      <c r="D101" s="26">
        <v>0</v>
      </c>
      <c r="E101" s="26">
        <v>-1771.3431396484375</v>
      </c>
      <c r="F101" s="26">
        <v>-15.222004890441895</v>
      </c>
      <c r="G101" s="26">
        <v>0</v>
      </c>
      <c r="H101" s="26">
        <v>0</v>
      </c>
      <c r="I101" s="26">
        <v>0</v>
      </c>
      <c r="J101" s="26">
        <v>41.774929046630859</v>
      </c>
      <c r="L101" s="95">
        <v>9</v>
      </c>
      <c r="M101" s="26">
        <v>13</v>
      </c>
      <c r="N101" s="26">
        <v>0</v>
      </c>
      <c r="O101" s="26">
        <v>-2226.6787109375</v>
      </c>
      <c r="P101" s="26">
        <v>13.211590766906738</v>
      </c>
      <c r="Q101" s="26">
        <v>0</v>
      </c>
      <c r="R101" s="26">
        <v>0</v>
      </c>
      <c r="S101" s="26">
        <v>0</v>
      </c>
      <c r="T101" s="26">
        <v>-36.568927764892578</v>
      </c>
      <c r="V101" s="95">
        <v>9</v>
      </c>
      <c r="W101" s="26">
        <v>13</v>
      </c>
      <c r="X101" s="26">
        <v>0</v>
      </c>
      <c r="Y101" s="26">
        <v>912.39666748046875</v>
      </c>
      <c r="Z101" s="26">
        <v>1.1210770346224308E-2</v>
      </c>
      <c r="AA101" s="26">
        <v>0</v>
      </c>
      <c r="AB101" s="26">
        <v>0</v>
      </c>
      <c r="AC101" s="26">
        <v>0</v>
      </c>
      <c r="AD101" s="26">
        <v>4.4591832906007767E-2</v>
      </c>
      <c r="AF101" s="95">
        <v>9</v>
      </c>
      <c r="AG101" s="26">
        <v>13</v>
      </c>
      <c r="AH101" s="26">
        <v>0</v>
      </c>
      <c r="AI101" s="26">
        <v>1177.700439453125</v>
      </c>
      <c r="AJ101" s="26">
        <v>1.4497911557555199E-2</v>
      </c>
      <c r="AK101" s="26">
        <v>0</v>
      </c>
      <c r="AL101" s="26">
        <v>0</v>
      </c>
      <c r="AM101" s="26">
        <v>0</v>
      </c>
      <c r="AN101" s="26">
        <v>5.7482894510030746E-2</v>
      </c>
      <c r="AP101" s="95">
        <v>9</v>
      </c>
      <c r="AQ101" s="26">
        <v>13</v>
      </c>
      <c r="AR101" s="26">
        <v>0</v>
      </c>
      <c r="AS101" s="26">
        <v>-222.15144348144531</v>
      </c>
      <c r="AT101" s="26">
        <v>-3.6553678512573242</v>
      </c>
      <c r="AU101" s="26">
        <v>0</v>
      </c>
      <c r="AV101" s="26">
        <v>0</v>
      </c>
      <c r="AW101" s="26">
        <v>0</v>
      </c>
      <c r="AX101" s="26">
        <v>5.2974328994750977</v>
      </c>
      <c r="AZ101" s="95">
        <v>9</v>
      </c>
      <c r="BA101" s="26">
        <v>13</v>
      </c>
      <c r="BB101" s="26">
        <v>0</v>
      </c>
      <c r="BC101" s="26">
        <v>-251.69720458984375</v>
      </c>
      <c r="BD101" s="26">
        <v>-4.1415433883666992</v>
      </c>
      <c r="BE101" s="26">
        <v>0</v>
      </c>
      <c r="BF101" s="26">
        <v>0</v>
      </c>
      <c r="BG101" s="26">
        <v>0</v>
      </c>
      <c r="BH101" s="26">
        <v>6.0020089149475098</v>
      </c>
      <c r="BJ101" s="95">
        <v>9</v>
      </c>
      <c r="BK101" s="26">
        <v>13</v>
      </c>
      <c r="BL101" s="26">
        <v>0</v>
      </c>
      <c r="BM101" s="26">
        <v>-261.47183227539062</v>
      </c>
      <c r="BN101" s="26">
        <v>-4.3023805618286133</v>
      </c>
      <c r="BO101" s="26">
        <v>0</v>
      </c>
      <c r="BP101" s="26">
        <v>0</v>
      </c>
      <c r="BQ101" s="26">
        <v>0</v>
      </c>
      <c r="BR101" s="26">
        <v>6.2350974082946777</v>
      </c>
      <c r="BT101" s="95">
        <v>9</v>
      </c>
      <c r="BU101" s="26">
        <v>13</v>
      </c>
      <c r="BV101" s="26">
        <v>0</v>
      </c>
      <c r="BW101" s="26">
        <v>-261.47183227539062</v>
      </c>
      <c r="BX101" s="26">
        <v>-4.3023805618286133</v>
      </c>
      <c r="BY101" s="26">
        <v>0</v>
      </c>
      <c r="BZ101" s="26">
        <v>0</v>
      </c>
      <c r="CA101" s="26">
        <v>0</v>
      </c>
      <c r="CB101" s="26">
        <v>6.2350974082946777</v>
      </c>
      <c r="CD101" s="95">
        <v>9</v>
      </c>
      <c r="CE101" s="26">
        <v>13</v>
      </c>
      <c r="CF101" s="26">
        <v>0</v>
      </c>
      <c r="CG101" s="26">
        <v>-261.47183227539062</v>
      </c>
      <c r="CH101" s="26">
        <v>-4.3023805618286133</v>
      </c>
      <c r="CI101" s="26">
        <v>0</v>
      </c>
      <c r="CJ101" s="26">
        <v>0</v>
      </c>
      <c r="CK101" s="26">
        <v>0</v>
      </c>
      <c r="CL101" s="26">
        <v>6.2350974082946777</v>
      </c>
      <c r="CN101" s="95">
        <v>9</v>
      </c>
      <c r="CO101" s="26">
        <v>13</v>
      </c>
      <c r="CP101" s="26">
        <v>0</v>
      </c>
      <c r="CQ101" s="26">
        <v>145.11546325683594</v>
      </c>
      <c r="CR101" s="26">
        <v>-9.3140287399291992</v>
      </c>
      <c r="CS101" s="26">
        <v>0</v>
      </c>
      <c r="CT101" s="26">
        <v>0</v>
      </c>
      <c r="CU101" s="26">
        <v>0</v>
      </c>
      <c r="CV101" s="26">
        <v>47.477149963378906</v>
      </c>
      <c r="CX101" s="95">
        <v>9</v>
      </c>
      <c r="CY101" s="26">
        <v>13</v>
      </c>
      <c r="CZ101" s="26">
        <v>0</v>
      </c>
      <c r="DA101" s="26">
        <v>181.39433288574219</v>
      </c>
      <c r="DB101" s="26">
        <v>-11.642535209655762</v>
      </c>
      <c r="DC101" s="26">
        <v>0</v>
      </c>
      <c r="DD101" s="26">
        <v>0</v>
      </c>
      <c r="DE101" s="26">
        <v>0</v>
      </c>
      <c r="DF101" s="26">
        <v>59.346439361572266</v>
      </c>
      <c r="DH101" s="95">
        <v>9</v>
      </c>
      <c r="DI101" s="26">
        <v>13</v>
      </c>
      <c r="DJ101" s="26">
        <v>0</v>
      </c>
      <c r="DK101" s="26">
        <v>639.906005859375</v>
      </c>
      <c r="DL101" s="26">
        <v>-40.277084350585938</v>
      </c>
      <c r="DM101" s="26">
        <v>0</v>
      </c>
      <c r="DN101" s="26">
        <v>0</v>
      </c>
      <c r="DO101" s="26">
        <v>0</v>
      </c>
      <c r="DP101" s="26">
        <v>202.6546630859375</v>
      </c>
      <c r="DR101" s="95">
        <v>9</v>
      </c>
      <c r="DS101" s="26">
        <v>13</v>
      </c>
      <c r="DT101" s="26">
        <v>0</v>
      </c>
      <c r="DU101" s="26">
        <v>737.72149658203125</v>
      </c>
      <c r="DV101" s="26">
        <v>-46.475799560546875</v>
      </c>
      <c r="DW101" s="26">
        <v>0</v>
      </c>
      <c r="DX101" s="26">
        <v>0</v>
      </c>
      <c r="DY101" s="26">
        <v>0</v>
      </c>
      <c r="DZ101" s="26">
        <v>233.986572265625</v>
      </c>
      <c r="EB101" s="95">
        <v>9</v>
      </c>
      <c r="EC101" s="26">
        <v>13</v>
      </c>
      <c r="ED101" s="26">
        <v>0</v>
      </c>
      <c r="EE101" s="26">
        <v>1002.6946411132812</v>
      </c>
      <c r="EF101" s="26">
        <v>-63.562156677246094</v>
      </c>
      <c r="EG101" s="26">
        <v>0</v>
      </c>
      <c r="EH101" s="26">
        <v>0</v>
      </c>
      <c r="EI101" s="26">
        <v>0</v>
      </c>
      <c r="EJ101" s="26">
        <v>321.3475341796875</v>
      </c>
      <c r="EL101" s="95">
        <v>9</v>
      </c>
      <c r="EM101" s="26">
        <v>13</v>
      </c>
      <c r="EN101" s="26">
        <v>0</v>
      </c>
      <c r="EO101" s="26">
        <v>1045.6773681640625</v>
      </c>
      <c r="EP101" s="26">
        <v>-66.320960998535156</v>
      </c>
      <c r="EQ101" s="26">
        <v>0</v>
      </c>
      <c r="ER101" s="26">
        <v>0</v>
      </c>
      <c r="ES101" s="26">
        <v>0</v>
      </c>
      <c r="ET101" s="26">
        <v>335.41024780273437</v>
      </c>
      <c r="EV101" s="95">
        <v>9</v>
      </c>
      <c r="EW101" s="26">
        <v>13</v>
      </c>
      <c r="EX101" s="26">
        <v>0</v>
      </c>
      <c r="EY101" s="26">
        <v>1110.609619140625</v>
      </c>
      <c r="EZ101" s="26">
        <v>-70.409111022949219</v>
      </c>
      <c r="FA101" s="26">
        <v>0</v>
      </c>
      <c r="FB101" s="26">
        <v>0</v>
      </c>
      <c r="FC101" s="26">
        <v>0</v>
      </c>
      <c r="FD101" s="26">
        <v>355.98382568359375</v>
      </c>
      <c r="FF101" s="95">
        <v>9</v>
      </c>
      <c r="FG101" s="26">
        <v>13</v>
      </c>
      <c r="FH101" s="26">
        <v>0</v>
      </c>
      <c r="FI101" s="26">
        <v>1032.6170654296875</v>
      </c>
      <c r="FJ101" s="26">
        <v>-65.482696533203125</v>
      </c>
      <c r="FK101" s="26">
        <v>0</v>
      </c>
      <c r="FL101" s="26">
        <v>0</v>
      </c>
      <c r="FM101" s="26">
        <v>0</v>
      </c>
      <c r="FN101" s="26">
        <v>331.13729858398437</v>
      </c>
      <c r="FP101" s="95">
        <v>9</v>
      </c>
      <c r="FQ101" s="26">
        <v>13</v>
      </c>
      <c r="FR101" s="26">
        <v>0</v>
      </c>
      <c r="FS101" s="26">
        <v>136.117431640625</v>
      </c>
      <c r="FT101" s="26">
        <v>-31.538501739501953</v>
      </c>
      <c r="FU101" s="26">
        <v>0</v>
      </c>
      <c r="FV101" s="26">
        <v>0</v>
      </c>
      <c r="FW101" s="26">
        <v>0</v>
      </c>
      <c r="FX101" s="26">
        <v>411.44601440429687</v>
      </c>
      <c r="FZ101" s="95">
        <v>9</v>
      </c>
      <c r="GA101" s="26">
        <v>13</v>
      </c>
      <c r="GB101" s="26">
        <v>0</v>
      </c>
      <c r="GC101" s="26">
        <v>109.92274475097656</v>
      </c>
      <c r="GD101" s="26">
        <v>-21.080467224121094</v>
      </c>
      <c r="GE101" s="26">
        <v>0</v>
      </c>
      <c r="GF101" s="26">
        <v>0</v>
      </c>
      <c r="GG101" s="26">
        <v>0</v>
      </c>
      <c r="GH101" s="26">
        <v>263.02166748046875</v>
      </c>
      <c r="GJ101" s="95">
        <v>9</v>
      </c>
      <c r="GK101" s="26">
        <v>13</v>
      </c>
      <c r="GL101" s="26">
        <v>0</v>
      </c>
      <c r="GM101" s="26">
        <v>92.920303344726563</v>
      </c>
      <c r="GN101" s="26">
        <v>-19.070480346679688</v>
      </c>
      <c r="GO101" s="26">
        <v>0</v>
      </c>
      <c r="GP101" s="26">
        <v>0</v>
      </c>
      <c r="GQ101" s="26">
        <v>0</v>
      </c>
      <c r="GR101" s="26">
        <v>242.07464599609375</v>
      </c>
      <c r="GT101" s="95">
        <v>9</v>
      </c>
      <c r="GU101" s="26">
        <v>13</v>
      </c>
      <c r="GV101" s="26">
        <v>0</v>
      </c>
      <c r="GW101" s="26">
        <v>33.324146270751953</v>
      </c>
      <c r="GX101" s="26">
        <v>-7.6738357543945313</v>
      </c>
      <c r="GY101" s="26">
        <v>0</v>
      </c>
      <c r="GZ101" s="26">
        <v>0</v>
      </c>
      <c r="HA101" s="26">
        <v>0</v>
      </c>
      <c r="HB101" s="26">
        <v>49.925914764404297</v>
      </c>
    </row>
    <row r="102" spans="2:210">
      <c r="C102" s="26">
        <v>15</v>
      </c>
      <c r="D102" s="26">
        <v>8.1599998474121094</v>
      </c>
      <c r="E102" s="26">
        <v>-453.05447387695312</v>
      </c>
      <c r="F102" s="26">
        <v>3.6011051918194426E-9</v>
      </c>
      <c r="G102" s="26">
        <v>0</v>
      </c>
      <c r="H102" s="26">
        <v>0</v>
      </c>
      <c r="I102" s="26">
        <v>0</v>
      </c>
      <c r="J102" s="26">
        <v>-1.21387699891784E-8</v>
      </c>
      <c r="M102" s="26">
        <v>15</v>
      </c>
      <c r="N102" s="26">
        <v>8.1599998474121094</v>
      </c>
      <c r="O102" s="26">
        <v>-569.51513671875</v>
      </c>
      <c r="P102" s="26">
        <v>3.4106051316484809E-10</v>
      </c>
      <c r="Q102" s="26">
        <v>0</v>
      </c>
      <c r="R102" s="26">
        <v>0</v>
      </c>
      <c r="S102" s="26">
        <v>0</v>
      </c>
      <c r="T102" s="26">
        <v>-6.836931021325654E-9</v>
      </c>
      <c r="W102" s="26">
        <v>15</v>
      </c>
      <c r="X102" s="26">
        <v>8.1599998474121094</v>
      </c>
      <c r="Y102" s="26">
        <v>233.36268615722656</v>
      </c>
      <c r="Z102" s="26">
        <v>-6.9639627398032644E-10</v>
      </c>
      <c r="AA102" s="26">
        <v>0</v>
      </c>
      <c r="AB102" s="26">
        <v>0</v>
      </c>
      <c r="AC102" s="26">
        <v>0</v>
      </c>
      <c r="AD102" s="26">
        <v>6.8609287140475317E-9</v>
      </c>
      <c r="AG102" s="26">
        <v>15</v>
      </c>
      <c r="AH102" s="26">
        <v>8.1599998474121094</v>
      </c>
      <c r="AI102" s="26">
        <v>301.21914672851563</v>
      </c>
      <c r="AJ102" s="26">
        <v>-3.7786176965148854E-10</v>
      </c>
      <c r="AK102" s="26">
        <v>0</v>
      </c>
      <c r="AL102" s="26">
        <v>0</v>
      </c>
      <c r="AM102" s="26">
        <v>0</v>
      </c>
      <c r="AN102" s="26">
        <v>5.0447206412229662E-9</v>
      </c>
      <c r="AQ102" s="26">
        <v>15</v>
      </c>
      <c r="AR102" s="26">
        <v>8.1599998474121094</v>
      </c>
      <c r="AS102" s="26">
        <v>-55.286922454833984</v>
      </c>
      <c r="AT102" s="26">
        <v>-2.0650148258027912E-14</v>
      </c>
      <c r="AU102" s="26">
        <v>0</v>
      </c>
      <c r="AV102" s="26">
        <v>0</v>
      </c>
      <c r="AW102" s="26">
        <v>0</v>
      </c>
      <c r="AX102" s="26">
        <v>3.3750779948604759E-14</v>
      </c>
      <c r="BA102" s="26">
        <v>15</v>
      </c>
      <c r="BB102" s="26">
        <v>8.1599998474121094</v>
      </c>
      <c r="BC102" s="26">
        <v>-62.639984130859375</v>
      </c>
      <c r="BD102" s="26">
        <v>-2.3175905639050143E-14</v>
      </c>
      <c r="BE102" s="26">
        <v>0</v>
      </c>
      <c r="BF102" s="26">
        <v>0</v>
      </c>
      <c r="BG102" s="26">
        <v>0</v>
      </c>
      <c r="BH102" s="26">
        <v>4.8849813083506888E-14</v>
      </c>
      <c r="BK102" s="26">
        <v>15</v>
      </c>
      <c r="BL102" s="26">
        <v>8.1599998474121094</v>
      </c>
      <c r="BM102" s="26">
        <v>-65.072601318359375</v>
      </c>
      <c r="BN102" s="26">
        <v>-1.5223933225172459E-14</v>
      </c>
      <c r="BO102" s="26">
        <v>0</v>
      </c>
      <c r="BP102" s="26">
        <v>0</v>
      </c>
      <c r="BQ102" s="26">
        <v>0</v>
      </c>
      <c r="BR102" s="26">
        <v>4.8405723873656825E-14</v>
      </c>
      <c r="BU102" s="26">
        <v>15</v>
      </c>
      <c r="BV102" s="26">
        <v>8.1599998474121094</v>
      </c>
      <c r="BW102" s="26">
        <v>-65.072601318359375</v>
      </c>
      <c r="BX102" s="26">
        <v>-1.5223933225172459E-14</v>
      </c>
      <c r="BY102" s="26">
        <v>0</v>
      </c>
      <c r="BZ102" s="26">
        <v>0</v>
      </c>
      <c r="CA102" s="26">
        <v>0</v>
      </c>
      <c r="CB102" s="26">
        <v>4.8405723873656825E-14</v>
      </c>
      <c r="CE102" s="26">
        <v>15</v>
      </c>
      <c r="CF102" s="26">
        <v>8.1599998474121094</v>
      </c>
      <c r="CG102" s="26">
        <v>-65.072601318359375</v>
      </c>
      <c r="CH102" s="26">
        <v>-1.5223933225172459E-14</v>
      </c>
      <c r="CI102" s="26">
        <v>0</v>
      </c>
      <c r="CJ102" s="26">
        <v>0</v>
      </c>
      <c r="CK102" s="26">
        <v>0</v>
      </c>
      <c r="CL102" s="26">
        <v>4.8405723873656825E-14</v>
      </c>
      <c r="CO102" s="26">
        <v>15</v>
      </c>
      <c r="CP102" s="26">
        <v>8.1599998474121094</v>
      </c>
      <c r="CQ102" s="26">
        <v>36.114944458007812</v>
      </c>
      <c r="CR102" s="26">
        <v>5.5067062021407764E-14</v>
      </c>
      <c r="CS102" s="26">
        <v>0</v>
      </c>
      <c r="CT102" s="26">
        <v>0</v>
      </c>
      <c r="CU102" s="26">
        <v>0</v>
      </c>
      <c r="CV102" s="26">
        <v>-3.907985046680551E-14</v>
      </c>
      <c r="CY102" s="26">
        <v>15</v>
      </c>
      <c r="CZ102" s="26">
        <v>8.1599998474121094</v>
      </c>
      <c r="DA102" s="26">
        <v>45.143684387207031</v>
      </c>
      <c r="DB102" s="26">
        <v>6.7501559897209518E-14</v>
      </c>
      <c r="DC102" s="26">
        <v>0</v>
      </c>
      <c r="DD102" s="26">
        <v>0</v>
      </c>
      <c r="DE102" s="26">
        <v>0</v>
      </c>
      <c r="DF102" s="26">
        <v>-4.9737991503207013E-14</v>
      </c>
      <c r="DI102" s="26">
        <v>15</v>
      </c>
      <c r="DJ102" s="26">
        <v>8.1599998474121094</v>
      </c>
      <c r="DK102" s="26">
        <v>159.253662109375</v>
      </c>
      <c r="DL102" s="26">
        <v>2.4158453015843406E-13</v>
      </c>
      <c r="DM102" s="26">
        <v>0</v>
      </c>
      <c r="DN102" s="26">
        <v>0</v>
      </c>
      <c r="DO102" s="26">
        <v>0</v>
      </c>
      <c r="DP102" s="26">
        <v>-1.5631940186722204E-13</v>
      </c>
      <c r="DS102" s="26">
        <v>15</v>
      </c>
      <c r="DT102" s="26">
        <v>8.1599998474121094</v>
      </c>
      <c r="DU102" s="26">
        <v>183.5970458984375</v>
      </c>
      <c r="DV102" s="26">
        <v>2.6290081223123707E-13</v>
      </c>
      <c r="DW102" s="26">
        <v>0</v>
      </c>
      <c r="DX102" s="26">
        <v>0</v>
      </c>
      <c r="DY102" s="26">
        <v>0</v>
      </c>
      <c r="DZ102" s="26">
        <v>-1.8474111129762605E-13</v>
      </c>
      <c r="EC102" s="26">
        <v>15</v>
      </c>
      <c r="ED102" s="26">
        <v>8.1599998474121094</v>
      </c>
      <c r="EE102" s="26">
        <v>249.54103088378906</v>
      </c>
      <c r="EF102" s="26">
        <v>3.5527136788005009E-13</v>
      </c>
      <c r="EG102" s="26">
        <v>0</v>
      </c>
      <c r="EH102" s="26">
        <v>0</v>
      </c>
      <c r="EI102" s="26">
        <v>0</v>
      </c>
      <c r="EJ102" s="26">
        <v>-2.5579538487363607E-13</v>
      </c>
      <c r="EM102" s="26">
        <v>15</v>
      </c>
      <c r="EN102" s="26">
        <v>8.1599998474121094</v>
      </c>
      <c r="EO102" s="26">
        <v>260.2381591796875</v>
      </c>
      <c r="EP102" s="26">
        <v>3.694822225952521E-13</v>
      </c>
      <c r="EQ102" s="26">
        <v>0</v>
      </c>
      <c r="ER102" s="26">
        <v>0</v>
      </c>
      <c r="ES102" s="26">
        <v>0</v>
      </c>
      <c r="ET102" s="26">
        <v>-2.7000623958883807E-13</v>
      </c>
      <c r="EW102" s="26">
        <v>15</v>
      </c>
      <c r="EX102" s="26">
        <v>8.1599998474121094</v>
      </c>
      <c r="EY102" s="26">
        <v>276.39785766601562</v>
      </c>
      <c r="EZ102" s="26">
        <v>3.979039320256561E-13</v>
      </c>
      <c r="FA102" s="26">
        <v>0</v>
      </c>
      <c r="FB102" s="26">
        <v>0</v>
      </c>
      <c r="FC102" s="26">
        <v>0</v>
      </c>
      <c r="FD102" s="26">
        <v>-2.8421709430404007E-13</v>
      </c>
      <c r="FG102" s="26">
        <v>15</v>
      </c>
      <c r="FH102" s="26">
        <v>8.1599998474121094</v>
      </c>
      <c r="FI102" s="26">
        <v>256.98782348632812</v>
      </c>
      <c r="FJ102" s="26">
        <v>3.694822225952521E-13</v>
      </c>
      <c r="FK102" s="26">
        <v>0</v>
      </c>
      <c r="FL102" s="26">
        <v>0</v>
      </c>
      <c r="FM102" s="26">
        <v>0</v>
      </c>
      <c r="FN102" s="26">
        <v>-2.9842794901924208E-13</v>
      </c>
      <c r="FQ102" s="26">
        <v>15</v>
      </c>
      <c r="FR102" s="26">
        <v>8.1599998474121094</v>
      </c>
      <c r="FS102" s="26">
        <v>34.814605712890625</v>
      </c>
      <c r="FT102" s="26">
        <v>7.5112893682671711E-10</v>
      </c>
      <c r="FU102" s="26">
        <v>0</v>
      </c>
      <c r="FV102" s="26">
        <v>0</v>
      </c>
      <c r="FW102" s="26">
        <v>0</v>
      </c>
      <c r="FX102" s="26">
        <v>-1.2902887647214811E-9</v>
      </c>
      <c r="GA102" s="26">
        <v>15</v>
      </c>
      <c r="GB102" s="26">
        <v>8.1599998474121094</v>
      </c>
      <c r="GC102" s="26">
        <v>28.114818572998047</v>
      </c>
      <c r="GD102" s="26">
        <v>4.9137582891489728E-10</v>
      </c>
      <c r="GE102" s="26">
        <v>0</v>
      </c>
      <c r="GF102" s="26">
        <v>0</v>
      </c>
      <c r="GG102" s="26">
        <v>0</v>
      </c>
      <c r="GH102" s="26">
        <v>-9.8201269338460406E-10</v>
      </c>
      <c r="GK102" s="26">
        <v>15</v>
      </c>
      <c r="GL102" s="26">
        <v>8.1599998474121094</v>
      </c>
      <c r="GM102" s="26">
        <v>23.766122817993164</v>
      </c>
      <c r="GN102" s="26">
        <v>2.638529394971556E-10</v>
      </c>
      <c r="GO102" s="26">
        <v>0</v>
      </c>
      <c r="GP102" s="26">
        <v>0</v>
      </c>
      <c r="GQ102" s="26">
        <v>0</v>
      </c>
      <c r="GR102" s="26">
        <v>-7.2984107646334451E-10</v>
      </c>
      <c r="GU102" s="26">
        <v>15</v>
      </c>
      <c r="GV102" s="26">
        <v>8.1599998474121094</v>
      </c>
      <c r="GW102" s="26">
        <v>8.2933940887451172</v>
      </c>
      <c r="GX102" s="26">
        <v>8.4376949871511897E-14</v>
      </c>
      <c r="GY102" s="26">
        <v>0</v>
      </c>
      <c r="GZ102" s="26">
        <v>0</v>
      </c>
      <c r="HA102" s="26">
        <v>0</v>
      </c>
      <c r="HB102" s="26">
        <v>-7.460698725481052E-14</v>
      </c>
    </row>
    <row r="103" spans="2:210">
      <c r="B103" s="95">
        <v>10</v>
      </c>
      <c r="C103" s="26">
        <v>15</v>
      </c>
      <c r="D103" s="26">
        <v>0</v>
      </c>
      <c r="E103" s="26">
        <v>-453.05447387695312</v>
      </c>
      <c r="F103" s="26">
        <v>3.39576899932581E-9</v>
      </c>
      <c r="G103" s="26">
        <v>0</v>
      </c>
      <c r="H103" s="26">
        <v>0</v>
      </c>
      <c r="I103" s="26">
        <v>0</v>
      </c>
      <c r="J103" s="26">
        <v>-5.9743854308180744E-9</v>
      </c>
      <c r="L103" s="95">
        <v>10</v>
      </c>
      <c r="M103" s="26">
        <v>15</v>
      </c>
      <c r="N103" s="26">
        <v>0</v>
      </c>
      <c r="O103" s="26">
        <v>-569.51513671875</v>
      </c>
      <c r="P103" s="26">
        <v>7.5223738349450286E-10</v>
      </c>
      <c r="Q103" s="26">
        <v>0</v>
      </c>
      <c r="R103" s="26">
        <v>0</v>
      </c>
      <c r="S103" s="26">
        <v>0</v>
      </c>
      <c r="T103" s="26">
        <v>1.3226326700532809E-9</v>
      </c>
      <c r="V103" s="95">
        <v>10</v>
      </c>
      <c r="W103" s="26">
        <v>15</v>
      </c>
      <c r="X103" s="26">
        <v>0</v>
      </c>
      <c r="Y103" s="26">
        <v>233.36268615722656</v>
      </c>
      <c r="Z103" s="26">
        <v>-7.6088735312396238E-10</v>
      </c>
      <c r="AA103" s="26">
        <v>0</v>
      </c>
      <c r="AB103" s="26">
        <v>0</v>
      </c>
      <c r="AC103" s="26">
        <v>0</v>
      </c>
      <c r="AD103" s="26">
        <v>4.8768855620551221E-10</v>
      </c>
      <c r="AF103" s="95">
        <v>10</v>
      </c>
      <c r="AG103" s="26">
        <v>15</v>
      </c>
      <c r="AH103" s="26">
        <v>0</v>
      </c>
      <c r="AI103" s="26">
        <v>301.21914672851563</v>
      </c>
      <c r="AJ103" s="26">
        <v>-5.1183413063426997E-10</v>
      </c>
      <c r="AK103" s="26">
        <v>0</v>
      </c>
      <c r="AL103" s="26">
        <v>0</v>
      </c>
      <c r="AM103" s="26">
        <v>0</v>
      </c>
      <c r="AN103" s="26">
        <v>2.0709447490219191E-9</v>
      </c>
      <c r="AP103" s="95">
        <v>10</v>
      </c>
      <c r="AQ103" s="26">
        <v>15</v>
      </c>
      <c r="AR103" s="26">
        <v>0</v>
      </c>
      <c r="AS103" s="26">
        <v>-55.286922454833984</v>
      </c>
      <c r="AT103" s="26">
        <v>-2.8421709430404007E-14</v>
      </c>
      <c r="AU103" s="26">
        <v>0</v>
      </c>
      <c r="AV103" s="26">
        <v>0</v>
      </c>
      <c r="AW103" s="26">
        <v>0</v>
      </c>
      <c r="AX103" s="26">
        <v>4.2632564145606011E-14</v>
      </c>
      <c r="AZ103" s="95">
        <v>10</v>
      </c>
      <c r="BA103" s="26">
        <v>15</v>
      </c>
      <c r="BB103" s="26">
        <v>0</v>
      </c>
      <c r="BC103" s="26">
        <v>-62.639984130859375</v>
      </c>
      <c r="BD103" s="26">
        <v>2.8421709430404007E-14</v>
      </c>
      <c r="BE103" s="26">
        <v>0</v>
      </c>
      <c r="BF103" s="26">
        <v>0</v>
      </c>
      <c r="BG103" s="26">
        <v>0</v>
      </c>
      <c r="BH103" s="26">
        <v>0</v>
      </c>
      <c r="BJ103" s="95">
        <v>10</v>
      </c>
      <c r="BK103" s="26">
        <v>15</v>
      </c>
      <c r="BL103" s="26">
        <v>0</v>
      </c>
      <c r="BM103" s="26">
        <v>-65.072601318359375</v>
      </c>
      <c r="BN103" s="26">
        <v>0</v>
      </c>
      <c r="BO103" s="26">
        <v>0</v>
      </c>
      <c r="BP103" s="26">
        <v>0</v>
      </c>
      <c r="BQ103" s="26">
        <v>0</v>
      </c>
      <c r="BR103" s="26">
        <v>2.8421709430404007E-14</v>
      </c>
      <c r="BT103" s="95">
        <v>10</v>
      </c>
      <c r="BU103" s="26">
        <v>15</v>
      </c>
      <c r="BV103" s="26">
        <v>0</v>
      </c>
      <c r="BW103" s="26">
        <v>-65.072601318359375</v>
      </c>
      <c r="BX103" s="26">
        <v>0</v>
      </c>
      <c r="BY103" s="26">
        <v>0</v>
      </c>
      <c r="BZ103" s="26">
        <v>0</v>
      </c>
      <c r="CA103" s="26">
        <v>0</v>
      </c>
      <c r="CB103" s="26">
        <v>2.8421709430404007E-14</v>
      </c>
      <c r="CD103" s="95">
        <v>10</v>
      </c>
      <c r="CE103" s="26">
        <v>15</v>
      </c>
      <c r="CF103" s="26">
        <v>0</v>
      </c>
      <c r="CG103" s="26">
        <v>-65.072601318359375</v>
      </c>
      <c r="CH103" s="26">
        <v>0</v>
      </c>
      <c r="CI103" s="26">
        <v>0</v>
      </c>
      <c r="CJ103" s="26">
        <v>0</v>
      </c>
      <c r="CK103" s="26">
        <v>0</v>
      </c>
      <c r="CL103" s="26">
        <v>2.8421709430404007E-14</v>
      </c>
      <c r="CN103" s="95">
        <v>10</v>
      </c>
      <c r="CO103" s="26">
        <v>15</v>
      </c>
      <c r="CP103" s="26">
        <v>0</v>
      </c>
      <c r="CQ103" s="26">
        <v>36.114944458007812</v>
      </c>
      <c r="CR103" s="26">
        <v>5.6843418860808015E-14</v>
      </c>
      <c r="CS103" s="26">
        <v>0</v>
      </c>
      <c r="CT103" s="26">
        <v>0</v>
      </c>
      <c r="CU103" s="26">
        <v>0</v>
      </c>
      <c r="CV103" s="26">
        <v>-5.6843418860808015E-14</v>
      </c>
      <c r="CX103" s="95">
        <v>10</v>
      </c>
      <c r="CY103" s="26">
        <v>15</v>
      </c>
      <c r="CZ103" s="26">
        <v>0</v>
      </c>
      <c r="DA103" s="26">
        <v>45.143684387207031</v>
      </c>
      <c r="DB103" s="26">
        <v>0</v>
      </c>
      <c r="DC103" s="26">
        <v>0</v>
      </c>
      <c r="DD103" s="26">
        <v>0</v>
      </c>
      <c r="DE103" s="26">
        <v>0</v>
      </c>
      <c r="DF103" s="26">
        <v>-2.8421709430404007E-14</v>
      </c>
      <c r="DH103" s="95">
        <v>10</v>
      </c>
      <c r="DI103" s="26">
        <v>15</v>
      </c>
      <c r="DJ103" s="26">
        <v>0</v>
      </c>
      <c r="DK103" s="26">
        <v>159.253662109375</v>
      </c>
      <c r="DL103" s="26">
        <v>-1.1368683772161603E-13</v>
      </c>
      <c r="DM103" s="26">
        <v>0</v>
      </c>
      <c r="DN103" s="26">
        <v>0</v>
      </c>
      <c r="DO103" s="26">
        <v>0</v>
      </c>
      <c r="DP103" s="26">
        <v>1.1368683772161603E-13</v>
      </c>
      <c r="DR103" s="95">
        <v>10</v>
      </c>
      <c r="DS103" s="26">
        <v>15</v>
      </c>
      <c r="DT103" s="26">
        <v>0</v>
      </c>
      <c r="DU103" s="26">
        <v>183.5970458984375</v>
      </c>
      <c r="DV103" s="26">
        <v>2.2737367544323206E-13</v>
      </c>
      <c r="DW103" s="26">
        <v>0</v>
      </c>
      <c r="DX103" s="26">
        <v>0</v>
      </c>
      <c r="DY103" s="26">
        <v>0</v>
      </c>
      <c r="DZ103" s="26">
        <v>-1.1368683772161603E-13</v>
      </c>
      <c r="EB103" s="95">
        <v>10</v>
      </c>
      <c r="EC103" s="26">
        <v>15</v>
      </c>
      <c r="ED103" s="26">
        <v>0</v>
      </c>
      <c r="EE103" s="26">
        <v>249.54103088378906</v>
      </c>
      <c r="EF103" s="26">
        <v>2.2737367544323206E-13</v>
      </c>
      <c r="EG103" s="26">
        <v>0</v>
      </c>
      <c r="EH103" s="26">
        <v>0</v>
      </c>
      <c r="EI103" s="26">
        <v>0</v>
      </c>
      <c r="EJ103" s="26">
        <v>-2.2737367544323206E-13</v>
      </c>
      <c r="EL103" s="95">
        <v>10</v>
      </c>
      <c r="EM103" s="26">
        <v>15</v>
      </c>
      <c r="EN103" s="26">
        <v>0</v>
      </c>
      <c r="EO103" s="26">
        <v>260.2381591796875</v>
      </c>
      <c r="EP103" s="26">
        <v>2.2737367544323206E-13</v>
      </c>
      <c r="EQ103" s="26">
        <v>0</v>
      </c>
      <c r="ER103" s="26">
        <v>0</v>
      </c>
      <c r="ES103" s="26">
        <v>0</v>
      </c>
      <c r="ET103" s="26">
        <v>-2.2737367544323206E-13</v>
      </c>
      <c r="EV103" s="95">
        <v>10</v>
      </c>
      <c r="EW103" s="26">
        <v>15</v>
      </c>
      <c r="EX103" s="26">
        <v>0</v>
      </c>
      <c r="EY103" s="26">
        <v>276.39785766601562</v>
      </c>
      <c r="EZ103" s="26">
        <v>6.8212102632969618E-13</v>
      </c>
      <c r="FA103" s="26">
        <v>0</v>
      </c>
      <c r="FB103" s="26">
        <v>0</v>
      </c>
      <c r="FC103" s="26">
        <v>0</v>
      </c>
      <c r="FD103" s="26">
        <v>-6.8212102632969618E-13</v>
      </c>
      <c r="FF103" s="95">
        <v>10</v>
      </c>
      <c r="FG103" s="26">
        <v>15</v>
      </c>
      <c r="FH103" s="26">
        <v>0</v>
      </c>
      <c r="FI103" s="26">
        <v>256.98782348632812</v>
      </c>
      <c r="FJ103" s="26">
        <v>2.2737367544323206E-13</v>
      </c>
      <c r="FK103" s="26">
        <v>0</v>
      </c>
      <c r="FL103" s="26">
        <v>0</v>
      </c>
      <c r="FM103" s="26">
        <v>0</v>
      </c>
      <c r="FN103" s="26">
        <v>-4.5474735088646412E-13</v>
      </c>
      <c r="FP103" s="95">
        <v>10</v>
      </c>
      <c r="FQ103" s="26">
        <v>15</v>
      </c>
      <c r="FR103" s="26">
        <v>0</v>
      </c>
      <c r="FS103" s="26">
        <v>34.814605712890625</v>
      </c>
      <c r="FT103" s="26">
        <v>7.8580342233181E-10</v>
      </c>
      <c r="FU103" s="26">
        <v>0</v>
      </c>
      <c r="FV103" s="26">
        <v>0</v>
      </c>
      <c r="FW103" s="26">
        <v>0</v>
      </c>
      <c r="FX103" s="26">
        <v>-1.5788828022778034E-9</v>
      </c>
      <c r="FZ103" s="95">
        <v>10</v>
      </c>
      <c r="GA103" s="26">
        <v>15</v>
      </c>
      <c r="GB103" s="26">
        <v>0</v>
      </c>
      <c r="GC103" s="26">
        <v>28.114818572998047</v>
      </c>
      <c r="GD103" s="26">
        <v>5.0840753829106688E-10</v>
      </c>
      <c r="GE103" s="26">
        <v>0</v>
      </c>
      <c r="GF103" s="26">
        <v>0</v>
      </c>
      <c r="GG103" s="26">
        <v>0</v>
      </c>
      <c r="GH103" s="26">
        <v>-6.2846083892509341E-10</v>
      </c>
      <c r="GJ103" s="95">
        <v>10</v>
      </c>
      <c r="GK103" s="26">
        <v>15</v>
      </c>
      <c r="GL103" s="26">
        <v>0</v>
      </c>
      <c r="GM103" s="26">
        <v>23.766122817993164</v>
      </c>
      <c r="GN103" s="26">
        <v>1.9554136088117957E-10</v>
      </c>
      <c r="GO103" s="26">
        <v>0</v>
      </c>
      <c r="GP103" s="26">
        <v>0</v>
      </c>
      <c r="GQ103" s="26">
        <v>0</v>
      </c>
      <c r="GR103" s="26">
        <v>-7.3487171903252602E-10</v>
      </c>
      <c r="GT103" s="95">
        <v>10</v>
      </c>
      <c r="GU103" s="26">
        <v>15</v>
      </c>
      <c r="GV103" s="26">
        <v>0</v>
      </c>
      <c r="GW103" s="26">
        <v>8.2933940887451172</v>
      </c>
      <c r="GX103" s="26">
        <v>5.6843418860808015E-14</v>
      </c>
      <c r="GY103" s="26">
        <v>0</v>
      </c>
      <c r="GZ103" s="26">
        <v>0</v>
      </c>
      <c r="HA103" s="26">
        <v>0</v>
      </c>
      <c r="HB103" s="26">
        <v>-1.1368683772161603E-13</v>
      </c>
    </row>
    <row r="104" spans="2:210">
      <c r="C104" s="26">
        <v>17</v>
      </c>
      <c r="D104" s="26">
        <v>1.5</v>
      </c>
      <c r="E104" s="26">
        <v>-219.3720703125</v>
      </c>
      <c r="F104" s="26">
        <v>3.39576899932581E-9</v>
      </c>
      <c r="G104" s="26">
        <v>0</v>
      </c>
      <c r="H104" s="26">
        <v>0</v>
      </c>
      <c r="I104" s="26">
        <v>0</v>
      </c>
      <c r="J104" s="26">
        <v>-8.8078877524822019E-10</v>
      </c>
      <c r="M104" s="26">
        <v>17</v>
      </c>
      <c r="N104" s="26">
        <v>1.5</v>
      </c>
      <c r="O104" s="26">
        <v>-275.76312255859375</v>
      </c>
      <c r="P104" s="26">
        <v>7.5223738349450286E-10</v>
      </c>
      <c r="Q104" s="26">
        <v>0</v>
      </c>
      <c r="R104" s="26">
        <v>0</v>
      </c>
      <c r="S104" s="26">
        <v>0</v>
      </c>
      <c r="T104" s="26">
        <v>2.45097453444032E-9</v>
      </c>
      <c r="W104" s="26">
        <v>17</v>
      </c>
      <c r="X104" s="26">
        <v>1.5</v>
      </c>
      <c r="Y104" s="26">
        <v>112.99581146240234</v>
      </c>
      <c r="Z104" s="26">
        <v>-7.6088735312396238E-10</v>
      </c>
      <c r="AA104" s="26">
        <v>0</v>
      </c>
      <c r="AB104" s="26">
        <v>0</v>
      </c>
      <c r="AC104" s="26">
        <v>0</v>
      </c>
      <c r="AD104" s="26">
        <v>-6.5364158530201166E-10</v>
      </c>
      <c r="AG104" s="26">
        <v>17</v>
      </c>
      <c r="AH104" s="26">
        <v>1.5</v>
      </c>
      <c r="AI104" s="26">
        <v>145.85237121582031</v>
      </c>
      <c r="AJ104" s="26">
        <v>-5.1183413063426997E-10</v>
      </c>
      <c r="AK104" s="26">
        <v>0</v>
      </c>
      <c r="AL104" s="26">
        <v>0</v>
      </c>
      <c r="AM104" s="26">
        <v>0</v>
      </c>
      <c r="AN104" s="26">
        <v>1.3031944412489338E-9</v>
      </c>
      <c r="AQ104" s="26">
        <v>17</v>
      </c>
      <c r="AR104" s="26">
        <v>1.5</v>
      </c>
      <c r="AS104" s="26">
        <v>-26.740932464599609</v>
      </c>
      <c r="AT104" s="26">
        <v>-2.8421709430404007E-14</v>
      </c>
      <c r="AU104" s="26">
        <v>0</v>
      </c>
      <c r="AV104" s="26">
        <v>0</v>
      </c>
      <c r="AW104" s="26">
        <v>0</v>
      </c>
      <c r="AX104" s="26">
        <v>0</v>
      </c>
      <c r="BA104" s="26">
        <v>17</v>
      </c>
      <c r="BB104" s="26">
        <v>1.5</v>
      </c>
      <c r="BC104" s="26">
        <v>-30.297430038452148</v>
      </c>
      <c r="BD104" s="26">
        <v>2.8421709430404007E-14</v>
      </c>
      <c r="BE104" s="26">
        <v>0</v>
      </c>
      <c r="BF104" s="26">
        <v>0</v>
      </c>
      <c r="BG104" s="26">
        <v>0</v>
      </c>
      <c r="BH104" s="26">
        <v>2.8421709430404007E-14</v>
      </c>
      <c r="BK104" s="26">
        <v>17</v>
      </c>
      <c r="BL104" s="26">
        <v>1.5</v>
      </c>
      <c r="BM104" s="26">
        <v>-31.474027633666992</v>
      </c>
      <c r="BN104" s="26">
        <v>0</v>
      </c>
      <c r="BO104" s="26">
        <v>0</v>
      </c>
      <c r="BP104" s="26">
        <v>0</v>
      </c>
      <c r="BQ104" s="26">
        <v>0</v>
      </c>
      <c r="BR104" s="26">
        <v>1.4210854715202004E-14</v>
      </c>
      <c r="BU104" s="26">
        <v>17</v>
      </c>
      <c r="BV104" s="26">
        <v>1.5</v>
      </c>
      <c r="BW104" s="26">
        <v>-31.474027633666992</v>
      </c>
      <c r="BX104" s="26">
        <v>0</v>
      </c>
      <c r="BY104" s="26">
        <v>0</v>
      </c>
      <c r="BZ104" s="26">
        <v>0</v>
      </c>
      <c r="CA104" s="26">
        <v>0</v>
      </c>
      <c r="CB104" s="26">
        <v>1.4210854715202004E-14</v>
      </c>
      <c r="CE104" s="26">
        <v>17</v>
      </c>
      <c r="CF104" s="26">
        <v>1.5</v>
      </c>
      <c r="CG104" s="26">
        <v>-31.474027633666992</v>
      </c>
      <c r="CH104" s="26">
        <v>0</v>
      </c>
      <c r="CI104" s="26">
        <v>0</v>
      </c>
      <c r="CJ104" s="26">
        <v>0</v>
      </c>
      <c r="CK104" s="26">
        <v>0</v>
      </c>
      <c r="CL104" s="26">
        <v>1.4210854715202004E-14</v>
      </c>
      <c r="CO104" s="26">
        <v>17</v>
      </c>
      <c r="CP104" s="26">
        <v>1.5</v>
      </c>
      <c r="CQ104" s="26">
        <v>17.467916488647461</v>
      </c>
      <c r="CR104" s="26">
        <v>5.6843418860808015E-14</v>
      </c>
      <c r="CS104" s="26">
        <v>0</v>
      </c>
      <c r="CT104" s="26">
        <v>0</v>
      </c>
      <c r="CU104" s="26">
        <v>0</v>
      </c>
      <c r="CV104" s="26">
        <v>2.8421709430404007E-14</v>
      </c>
      <c r="CY104" s="26">
        <v>17</v>
      </c>
      <c r="CZ104" s="26">
        <v>1.5</v>
      </c>
      <c r="DA104" s="26">
        <v>21.834896087646484</v>
      </c>
      <c r="DB104" s="26">
        <v>0</v>
      </c>
      <c r="DC104" s="26">
        <v>0</v>
      </c>
      <c r="DD104" s="26">
        <v>0</v>
      </c>
      <c r="DE104" s="26">
        <v>0</v>
      </c>
      <c r="DF104" s="26">
        <v>-2.8421709430404007E-14</v>
      </c>
      <c r="DI104" s="26">
        <v>17</v>
      </c>
      <c r="DJ104" s="26">
        <v>1.5</v>
      </c>
      <c r="DK104" s="26">
        <v>77.027107238769531</v>
      </c>
      <c r="DL104" s="26">
        <v>-1.1368683772161603E-13</v>
      </c>
      <c r="DM104" s="26">
        <v>0</v>
      </c>
      <c r="DN104" s="26">
        <v>0</v>
      </c>
      <c r="DO104" s="26">
        <v>0</v>
      </c>
      <c r="DP104" s="26">
        <v>-2.2737367544323206E-13</v>
      </c>
      <c r="DS104" s="26">
        <v>17</v>
      </c>
      <c r="DT104" s="26">
        <v>1.5</v>
      </c>
      <c r="DU104" s="26">
        <v>88.801406860351563</v>
      </c>
      <c r="DV104" s="26">
        <v>2.2737367544323206E-13</v>
      </c>
      <c r="DW104" s="26">
        <v>0</v>
      </c>
      <c r="DX104" s="26">
        <v>0</v>
      </c>
      <c r="DY104" s="26">
        <v>0</v>
      </c>
      <c r="DZ104" s="26">
        <v>-1.1368683772161603E-13</v>
      </c>
      <c r="EC104" s="26">
        <v>17</v>
      </c>
      <c r="ED104" s="26">
        <v>1.5</v>
      </c>
      <c r="EE104" s="26">
        <v>120.6968994140625</v>
      </c>
      <c r="EF104" s="26">
        <v>2.2737367544323206E-13</v>
      </c>
      <c r="EG104" s="26">
        <v>0</v>
      </c>
      <c r="EH104" s="26">
        <v>0</v>
      </c>
      <c r="EI104" s="26">
        <v>0</v>
      </c>
      <c r="EJ104" s="26">
        <v>0</v>
      </c>
      <c r="EM104" s="26">
        <v>17</v>
      </c>
      <c r="EN104" s="26">
        <v>1.5</v>
      </c>
      <c r="EO104" s="26">
        <v>125.87084197998047</v>
      </c>
      <c r="EP104" s="26">
        <v>2.2737367544323206E-13</v>
      </c>
      <c r="EQ104" s="26">
        <v>0</v>
      </c>
      <c r="ER104" s="26">
        <v>0</v>
      </c>
      <c r="ES104" s="26">
        <v>0</v>
      </c>
      <c r="ET104" s="26">
        <v>0</v>
      </c>
      <c r="EW104" s="26">
        <v>17</v>
      </c>
      <c r="EX104" s="26">
        <v>1.5</v>
      </c>
      <c r="EY104" s="26">
        <v>133.68690490722656</v>
      </c>
      <c r="EZ104" s="26">
        <v>6.8212102632969618E-13</v>
      </c>
      <c r="FA104" s="26">
        <v>0</v>
      </c>
      <c r="FB104" s="26">
        <v>0</v>
      </c>
      <c r="FC104" s="26">
        <v>0</v>
      </c>
      <c r="FD104" s="26">
        <v>2.2737367544323206E-13</v>
      </c>
      <c r="FG104" s="26">
        <v>17</v>
      </c>
      <c r="FH104" s="26">
        <v>1.5</v>
      </c>
      <c r="FI104" s="26">
        <v>124.29872894287109</v>
      </c>
      <c r="FJ104" s="26">
        <v>2.2737367544323206E-13</v>
      </c>
      <c r="FK104" s="26">
        <v>0</v>
      </c>
      <c r="FL104" s="26">
        <v>0</v>
      </c>
      <c r="FM104" s="26">
        <v>0</v>
      </c>
      <c r="FN104" s="26">
        <v>0</v>
      </c>
      <c r="FQ104" s="26">
        <v>17</v>
      </c>
      <c r="FR104" s="26">
        <v>1.5</v>
      </c>
      <c r="FS104" s="26">
        <v>16.85746955871582</v>
      </c>
      <c r="FT104" s="26">
        <v>7.8580342233181E-10</v>
      </c>
      <c r="FU104" s="26">
        <v>0</v>
      </c>
      <c r="FV104" s="26">
        <v>0</v>
      </c>
      <c r="FW104" s="26">
        <v>0</v>
      </c>
      <c r="FX104" s="26">
        <v>-4.0017766878008842E-10</v>
      </c>
      <c r="GA104" s="26">
        <v>17</v>
      </c>
      <c r="GB104" s="26">
        <v>1.5</v>
      </c>
      <c r="GC104" s="26">
        <v>13.613387107849121</v>
      </c>
      <c r="GD104" s="26">
        <v>5.0840753829106688E-10</v>
      </c>
      <c r="GE104" s="26">
        <v>0</v>
      </c>
      <c r="GF104" s="26">
        <v>0</v>
      </c>
      <c r="GG104" s="26">
        <v>0</v>
      </c>
      <c r="GH104" s="26">
        <v>1.3460521586239338E-10</v>
      </c>
      <c r="GK104" s="26">
        <v>17</v>
      </c>
      <c r="GL104" s="26">
        <v>1.5</v>
      </c>
      <c r="GM104" s="26">
        <v>11.507719039916992</v>
      </c>
      <c r="GN104" s="26">
        <v>1.9554136088117957E-10</v>
      </c>
      <c r="GO104" s="26">
        <v>0</v>
      </c>
      <c r="GP104" s="26">
        <v>0</v>
      </c>
      <c r="GQ104" s="26">
        <v>0</v>
      </c>
      <c r="GR104" s="26">
        <v>-4.3928594095632434E-10</v>
      </c>
      <c r="GU104" s="26">
        <v>17</v>
      </c>
      <c r="GV104" s="26">
        <v>1.5</v>
      </c>
      <c r="GW104" s="26">
        <v>4.0113120079040527</v>
      </c>
      <c r="GX104" s="26">
        <v>5.6843418860808015E-14</v>
      </c>
      <c r="GY104" s="26">
        <v>0</v>
      </c>
      <c r="GZ104" s="26">
        <v>0</v>
      </c>
      <c r="HA104" s="26">
        <v>0</v>
      </c>
      <c r="HB104" s="26">
        <v>0</v>
      </c>
    </row>
    <row r="105" spans="2:210">
      <c r="B105" s="95">
        <v>11</v>
      </c>
      <c r="C105" s="26">
        <v>4</v>
      </c>
      <c r="D105" s="26">
        <v>0</v>
      </c>
      <c r="E105" s="26">
        <v>-3125.065673828125</v>
      </c>
      <c r="F105" s="26">
        <v>0.16089197993278503</v>
      </c>
      <c r="G105" s="26">
        <v>0</v>
      </c>
      <c r="H105" s="26">
        <v>0</v>
      </c>
      <c r="I105" s="26">
        <v>0</v>
      </c>
      <c r="J105" s="26">
        <v>181.809326171875</v>
      </c>
      <c r="L105" s="95">
        <v>11</v>
      </c>
      <c r="M105" s="26">
        <v>4</v>
      </c>
      <c r="N105" s="26">
        <v>0</v>
      </c>
      <c r="O105" s="26">
        <v>-2193.23583984375</v>
      </c>
      <c r="P105" s="26">
        <v>0.18611037731170654</v>
      </c>
      <c r="Q105" s="26">
        <v>0</v>
      </c>
      <c r="R105" s="26">
        <v>0</v>
      </c>
      <c r="S105" s="26">
        <v>0</v>
      </c>
      <c r="T105" s="26">
        <v>-160.84510803222656</v>
      </c>
      <c r="V105" s="95">
        <v>11</v>
      </c>
      <c r="W105" s="26">
        <v>4</v>
      </c>
      <c r="X105" s="26">
        <v>0</v>
      </c>
      <c r="Y105" s="26">
        <v>1189.6905517578125</v>
      </c>
      <c r="Z105" s="26">
        <v>-7.8966774046421051E-2</v>
      </c>
      <c r="AA105" s="26">
        <v>0</v>
      </c>
      <c r="AB105" s="26">
        <v>0</v>
      </c>
      <c r="AC105" s="26">
        <v>0</v>
      </c>
      <c r="AD105" s="26">
        <v>0.60383409261703491</v>
      </c>
      <c r="AF105" s="95">
        <v>11</v>
      </c>
      <c r="AG105" s="26">
        <v>4</v>
      </c>
      <c r="AH105" s="26">
        <v>0</v>
      </c>
      <c r="AI105" s="26">
        <v>1535.62646484375</v>
      </c>
      <c r="AJ105" s="26">
        <v>-0.10192848742008209</v>
      </c>
      <c r="AK105" s="26">
        <v>0</v>
      </c>
      <c r="AL105" s="26">
        <v>0</v>
      </c>
      <c r="AM105" s="26">
        <v>0</v>
      </c>
      <c r="AN105" s="26">
        <v>0.77908623218536377</v>
      </c>
      <c r="AP105" s="95">
        <v>11</v>
      </c>
      <c r="AQ105" s="26">
        <v>4</v>
      </c>
      <c r="AR105" s="26">
        <v>0</v>
      </c>
      <c r="AS105" s="26">
        <v>-616.361328125</v>
      </c>
      <c r="AT105" s="26">
        <v>3.2403402030467987E-2</v>
      </c>
      <c r="AU105" s="26">
        <v>0</v>
      </c>
      <c r="AV105" s="26">
        <v>0</v>
      </c>
      <c r="AW105" s="26">
        <v>0</v>
      </c>
      <c r="AX105" s="26">
        <v>47.888378143310547</v>
      </c>
      <c r="AZ105" s="95">
        <v>11</v>
      </c>
      <c r="BA105" s="26">
        <v>4</v>
      </c>
      <c r="BB105" s="26">
        <v>0</v>
      </c>
      <c r="BC105" s="26">
        <v>-698.337890625</v>
      </c>
      <c r="BD105" s="26">
        <v>3.6713019013404846E-2</v>
      </c>
      <c r="BE105" s="26">
        <v>0</v>
      </c>
      <c r="BF105" s="26">
        <v>0</v>
      </c>
      <c r="BG105" s="26">
        <v>0</v>
      </c>
      <c r="BH105" s="26">
        <v>54.2576904296875</v>
      </c>
      <c r="BJ105" s="95">
        <v>11</v>
      </c>
      <c r="BK105" s="26">
        <v>4</v>
      </c>
      <c r="BL105" s="26">
        <v>0</v>
      </c>
      <c r="BM105" s="26">
        <v>-725.45782470703125</v>
      </c>
      <c r="BN105" s="26">
        <v>3.813876211643219E-2</v>
      </c>
      <c r="BO105" s="26">
        <v>0</v>
      </c>
      <c r="BP105" s="26">
        <v>0</v>
      </c>
      <c r="BQ105" s="26">
        <v>0</v>
      </c>
      <c r="BR105" s="26">
        <v>56.364791870117188</v>
      </c>
      <c r="BT105" s="95">
        <v>11</v>
      </c>
      <c r="BU105" s="26">
        <v>4</v>
      </c>
      <c r="BV105" s="26">
        <v>0</v>
      </c>
      <c r="BW105" s="26">
        <v>-725.45782470703125</v>
      </c>
      <c r="BX105" s="26">
        <v>3.813876211643219E-2</v>
      </c>
      <c r="BY105" s="26">
        <v>0</v>
      </c>
      <c r="BZ105" s="26">
        <v>0</v>
      </c>
      <c r="CA105" s="26">
        <v>0</v>
      </c>
      <c r="CB105" s="26">
        <v>56.364791870117188</v>
      </c>
      <c r="CD105" s="95">
        <v>11</v>
      </c>
      <c r="CE105" s="26">
        <v>4</v>
      </c>
      <c r="CF105" s="26">
        <v>0</v>
      </c>
      <c r="CG105" s="26">
        <v>-725.45782470703125</v>
      </c>
      <c r="CH105" s="26">
        <v>3.813876211643219E-2</v>
      </c>
      <c r="CI105" s="26">
        <v>0</v>
      </c>
      <c r="CJ105" s="26">
        <v>0</v>
      </c>
      <c r="CK105" s="26">
        <v>0</v>
      </c>
      <c r="CL105" s="26">
        <v>56.364791870117188</v>
      </c>
      <c r="CN105" s="95">
        <v>11</v>
      </c>
      <c r="CO105" s="26">
        <v>4</v>
      </c>
      <c r="CP105" s="26">
        <v>0</v>
      </c>
      <c r="CQ105" s="26">
        <v>-194.39970397949219</v>
      </c>
      <c r="CR105" s="26">
        <v>49.993877410888672</v>
      </c>
      <c r="CS105" s="26">
        <v>0</v>
      </c>
      <c r="CT105" s="26">
        <v>0</v>
      </c>
      <c r="CU105" s="26">
        <v>0</v>
      </c>
      <c r="CV105" s="26">
        <v>-179.85845947265625</v>
      </c>
      <c r="CX105" s="95">
        <v>11</v>
      </c>
      <c r="CY105" s="26">
        <v>4</v>
      </c>
      <c r="CZ105" s="26">
        <v>0</v>
      </c>
      <c r="DA105" s="26">
        <v>-242.99961853027344</v>
      </c>
      <c r="DB105" s="26">
        <v>62.492343902587891</v>
      </c>
      <c r="DC105" s="26">
        <v>0</v>
      </c>
      <c r="DD105" s="26">
        <v>0</v>
      </c>
      <c r="DE105" s="26">
        <v>0</v>
      </c>
      <c r="DF105" s="26">
        <v>-224.82307434082031</v>
      </c>
      <c r="DH105" s="95">
        <v>11</v>
      </c>
      <c r="DI105" s="26">
        <v>4</v>
      </c>
      <c r="DJ105" s="26">
        <v>0</v>
      </c>
      <c r="DK105" s="26">
        <v>-857.23138427734375</v>
      </c>
      <c r="DL105" s="26">
        <v>212.2769775390625</v>
      </c>
      <c r="DM105" s="26">
        <v>0</v>
      </c>
      <c r="DN105" s="26">
        <v>0</v>
      </c>
      <c r="DO105" s="26">
        <v>0</v>
      </c>
      <c r="DP105" s="26">
        <v>-754.08880615234375</v>
      </c>
      <c r="DR105" s="95">
        <v>11</v>
      </c>
      <c r="DS105" s="26">
        <v>4</v>
      </c>
      <c r="DT105" s="26">
        <v>0</v>
      </c>
      <c r="DU105" s="26">
        <v>-988.26702880859375</v>
      </c>
      <c r="DV105" s="26">
        <v>245.15776062011719</v>
      </c>
      <c r="DW105" s="26">
        <v>0</v>
      </c>
      <c r="DX105" s="26">
        <v>0</v>
      </c>
      <c r="DY105" s="26">
        <v>0</v>
      </c>
      <c r="DZ105" s="26">
        <v>-871.4208984375</v>
      </c>
      <c r="EB105" s="95">
        <v>11</v>
      </c>
      <c r="EC105" s="26">
        <v>4</v>
      </c>
      <c r="ED105" s="26">
        <v>0</v>
      </c>
      <c r="EE105" s="26">
        <v>-1343.2305908203125</v>
      </c>
      <c r="EF105" s="26">
        <v>337.26168823242187</v>
      </c>
      <c r="EG105" s="26">
        <v>0</v>
      </c>
      <c r="EH105" s="26">
        <v>0</v>
      </c>
      <c r="EI105" s="26">
        <v>0</v>
      </c>
      <c r="EJ105" s="26">
        <v>-1203.7349853515625</v>
      </c>
      <c r="EL105" s="95">
        <v>11</v>
      </c>
      <c r="EM105" s="26">
        <v>4</v>
      </c>
      <c r="EN105" s="26">
        <v>0</v>
      </c>
      <c r="EO105" s="26">
        <v>-1400.8111572265625</v>
      </c>
      <c r="EP105" s="26">
        <v>352.06985473632812</v>
      </c>
      <c r="EQ105" s="26">
        <v>0</v>
      </c>
      <c r="ER105" s="26">
        <v>0</v>
      </c>
      <c r="ES105" s="26">
        <v>0</v>
      </c>
      <c r="ET105" s="26">
        <v>-1257.0091552734375</v>
      </c>
      <c r="EV105" s="95">
        <v>11</v>
      </c>
      <c r="EW105" s="26">
        <v>4</v>
      </c>
      <c r="EX105" s="26">
        <v>0</v>
      </c>
      <c r="EY105" s="26">
        <v>-1487.7957763671875</v>
      </c>
      <c r="EZ105" s="26">
        <v>373.62200927734375</v>
      </c>
      <c r="FA105" s="26">
        <v>0</v>
      </c>
      <c r="FB105" s="26">
        <v>0</v>
      </c>
      <c r="FC105" s="26">
        <v>0</v>
      </c>
      <c r="FD105" s="26">
        <v>-1333.58544921875</v>
      </c>
      <c r="FF105" s="95">
        <v>11</v>
      </c>
      <c r="FG105" s="26">
        <v>4</v>
      </c>
      <c r="FH105" s="26">
        <v>0</v>
      </c>
      <c r="FI105" s="26">
        <v>-1383.315185546875</v>
      </c>
      <c r="FJ105" s="26">
        <v>347.57040405273438</v>
      </c>
      <c r="FK105" s="26">
        <v>0</v>
      </c>
      <c r="FL105" s="26">
        <v>0</v>
      </c>
      <c r="FM105" s="26">
        <v>0</v>
      </c>
      <c r="FN105" s="26">
        <v>-1240.8218994140625</v>
      </c>
      <c r="FP105" s="95">
        <v>11</v>
      </c>
      <c r="FQ105" s="26">
        <v>4</v>
      </c>
      <c r="FR105" s="26">
        <v>0</v>
      </c>
      <c r="FS105" s="26">
        <v>-747.4658203125</v>
      </c>
      <c r="FT105" s="26">
        <v>339.6650390625</v>
      </c>
      <c r="FU105" s="26">
        <v>0</v>
      </c>
      <c r="FV105" s="26">
        <v>0</v>
      </c>
      <c r="FW105" s="26">
        <v>0</v>
      </c>
      <c r="FX105" s="26">
        <v>-1604.8087158203125</v>
      </c>
      <c r="FZ105" s="95">
        <v>11</v>
      </c>
      <c r="GA105" s="26">
        <v>4</v>
      </c>
      <c r="GB105" s="26">
        <v>0</v>
      </c>
      <c r="GC105" s="26">
        <v>-503.2601318359375</v>
      </c>
      <c r="GD105" s="26">
        <v>214.48246765136719</v>
      </c>
      <c r="GE105" s="26">
        <v>0</v>
      </c>
      <c r="GF105" s="26">
        <v>0</v>
      </c>
      <c r="GG105" s="26">
        <v>0</v>
      </c>
      <c r="GH105" s="26">
        <v>-999.3214111328125</v>
      </c>
      <c r="GJ105" s="95">
        <v>11</v>
      </c>
      <c r="GK105" s="26">
        <v>4</v>
      </c>
      <c r="GL105" s="26">
        <v>0</v>
      </c>
      <c r="GM105" s="26">
        <v>-454.01034545898437</v>
      </c>
      <c r="GN105" s="26">
        <v>198.35670471191406</v>
      </c>
      <c r="GO105" s="26">
        <v>0</v>
      </c>
      <c r="GP105" s="26">
        <v>0</v>
      </c>
      <c r="GQ105" s="26">
        <v>0</v>
      </c>
      <c r="GR105" s="26">
        <v>-929.3087158203125</v>
      </c>
      <c r="GT105" s="95">
        <v>11</v>
      </c>
      <c r="GU105" s="26">
        <v>4</v>
      </c>
      <c r="GV105" s="26">
        <v>0</v>
      </c>
      <c r="GW105" s="26">
        <v>-140.53172302246094</v>
      </c>
      <c r="GX105" s="26">
        <v>57.145656585693359</v>
      </c>
      <c r="GY105" s="26">
        <v>0</v>
      </c>
      <c r="GZ105" s="26">
        <v>0</v>
      </c>
      <c r="HA105" s="26">
        <v>0</v>
      </c>
      <c r="HB105" s="26">
        <v>-244.73312377929687</v>
      </c>
    </row>
    <row r="106" spans="2:210">
      <c r="C106" s="26">
        <v>6</v>
      </c>
      <c r="D106" s="26">
        <v>1</v>
      </c>
      <c r="E106" s="26">
        <v>-3125.065673828125</v>
      </c>
      <c r="F106" s="26">
        <v>0.16089197993278503</v>
      </c>
      <c r="G106" s="26">
        <v>0</v>
      </c>
      <c r="H106" s="26">
        <v>0</v>
      </c>
      <c r="I106" s="26">
        <v>0</v>
      </c>
      <c r="J106" s="26">
        <v>181.97021484375</v>
      </c>
      <c r="M106" s="26">
        <v>6</v>
      </c>
      <c r="N106" s="26">
        <v>1</v>
      </c>
      <c r="O106" s="26">
        <v>-2193.23583984375</v>
      </c>
      <c r="P106" s="26">
        <v>0.18611037731170654</v>
      </c>
      <c r="Q106" s="26">
        <v>0</v>
      </c>
      <c r="R106" s="26">
        <v>0</v>
      </c>
      <c r="S106" s="26">
        <v>0</v>
      </c>
      <c r="T106" s="26">
        <v>-160.65899658203125</v>
      </c>
      <c r="W106" s="26">
        <v>6</v>
      </c>
      <c r="X106" s="26">
        <v>1</v>
      </c>
      <c r="Y106" s="26">
        <v>1189.6905517578125</v>
      </c>
      <c r="Z106" s="26">
        <v>-7.8966774046421051E-2</v>
      </c>
      <c r="AA106" s="26">
        <v>0</v>
      </c>
      <c r="AB106" s="26">
        <v>0</v>
      </c>
      <c r="AC106" s="26">
        <v>0</v>
      </c>
      <c r="AD106" s="26">
        <v>0.52486729621887207</v>
      </c>
      <c r="AG106" s="26">
        <v>6</v>
      </c>
      <c r="AH106" s="26">
        <v>1</v>
      </c>
      <c r="AI106" s="26">
        <v>1535.62646484375</v>
      </c>
      <c r="AJ106" s="26">
        <v>-0.10192848742008209</v>
      </c>
      <c r="AK106" s="26">
        <v>0</v>
      </c>
      <c r="AL106" s="26">
        <v>0</v>
      </c>
      <c r="AM106" s="26">
        <v>0</v>
      </c>
      <c r="AN106" s="26">
        <v>0.67715775966644287</v>
      </c>
      <c r="AQ106" s="26">
        <v>6</v>
      </c>
      <c r="AR106" s="26">
        <v>1</v>
      </c>
      <c r="AS106" s="26">
        <v>-616.361328125</v>
      </c>
      <c r="AT106" s="26">
        <v>3.2403402030467987E-2</v>
      </c>
      <c r="AU106" s="26">
        <v>0</v>
      </c>
      <c r="AV106" s="26">
        <v>0</v>
      </c>
      <c r="AW106" s="26">
        <v>0</v>
      </c>
      <c r="AX106" s="26">
        <v>47.920780181884766</v>
      </c>
      <c r="BA106" s="26">
        <v>6</v>
      </c>
      <c r="BB106" s="26">
        <v>1</v>
      </c>
      <c r="BC106" s="26">
        <v>-698.337890625</v>
      </c>
      <c r="BD106" s="26">
        <v>3.6713019013404846E-2</v>
      </c>
      <c r="BE106" s="26">
        <v>0</v>
      </c>
      <c r="BF106" s="26">
        <v>0</v>
      </c>
      <c r="BG106" s="26">
        <v>0</v>
      </c>
      <c r="BH106" s="26">
        <v>54.294403076171875</v>
      </c>
      <c r="BK106" s="26">
        <v>6</v>
      </c>
      <c r="BL106" s="26">
        <v>1</v>
      </c>
      <c r="BM106" s="26">
        <v>-725.45782470703125</v>
      </c>
      <c r="BN106" s="26">
        <v>3.813876211643219E-2</v>
      </c>
      <c r="BO106" s="26">
        <v>0</v>
      </c>
      <c r="BP106" s="26">
        <v>0</v>
      </c>
      <c r="BQ106" s="26">
        <v>0</v>
      </c>
      <c r="BR106" s="26">
        <v>56.402927398681641</v>
      </c>
      <c r="BU106" s="26">
        <v>6</v>
      </c>
      <c r="BV106" s="26">
        <v>1</v>
      </c>
      <c r="BW106" s="26">
        <v>-725.45782470703125</v>
      </c>
      <c r="BX106" s="26">
        <v>3.813876211643219E-2</v>
      </c>
      <c r="BY106" s="26">
        <v>0</v>
      </c>
      <c r="BZ106" s="26">
        <v>0</v>
      </c>
      <c r="CA106" s="26">
        <v>0</v>
      </c>
      <c r="CB106" s="26">
        <v>56.402927398681641</v>
      </c>
      <c r="CE106" s="26">
        <v>6</v>
      </c>
      <c r="CF106" s="26">
        <v>1</v>
      </c>
      <c r="CG106" s="26">
        <v>-725.45782470703125</v>
      </c>
      <c r="CH106" s="26">
        <v>3.813876211643219E-2</v>
      </c>
      <c r="CI106" s="26">
        <v>0</v>
      </c>
      <c r="CJ106" s="26">
        <v>0</v>
      </c>
      <c r="CK106" s="26">
        <v>0</v>
      </c>
      <c r="CL106" s="26">
        <v>56.402927398681641</v>
      </c>
      <c r="CO106" s="26">
        <v>6</v>
      </c>
      <c r="CP106" s="26">
        <v>1</v>
      </c>
      <c r="CQ106" s="26">
        <v>-194.39970397949219</v>
      </c>
      <c r="CR106" s="26">
        <v>49.993877410888672</v>
      </c>
      <c r="CS106" s="26">
        <v>0</v>
      </c>
      <c r="CT106" s="26">
        <v>0</v>
      </c>
      <c r="CU106" s="26">
        <v>0</v>
      </c>
      <c r="CV106" s="26">
        <v>-129.86459350585938</v>
      </c>
      <c r="CY106" s="26">
        <v>6</v>
      </c>
      <c r="CZ106" s="26">
        <v>1</v>
      </c>
      <c r="DA106" s="26">
        <v>-242.99961853027344</v>
      </c>
      <c r="DB106" s="26">
        <v>62.492343902587891</v>
      </c>
      <c r="DC106" s="26">
        <v>0</v>
      </c>
      <c r="DD106" s="26">
        <v>0</v>
      </c>
      <c r="DE106" s="26">
        <v>0</v>
      </c>
      <c r="DF106" s="26">
        <v>-162.33073425292969</v>
      </c>
      <c r="DI106" s="26">
        <v>6</v>
      </c>
      <c r="DJ106" s="26">
        <v>1</v>
      </c>
      <c r="DK106" s="26">
        <v>-857.23138427734375</v>
      </c>
      <c r="DL106" s="26">
        <v>212.2769775390625</v>
      </c>
      <c r="DM106" s="26">
        <v>0</v>
      </c>
      <c r="DN106" s="26">
        <v>0</v>
      </c>
      <c r="DO106" s="26">
        <v>0</v>
      </c>
      <c r="DP106" s="26">
        <v>-541.81182861328125</v>
      </c>
      <c r="DS106" s="26">
        <v>6</v>
      </c>
      <c r="DT106" s="26">
        <v>1</v>
      </c>
      <c r="DU106" s="26">
        <v>-988.26702880859375</v>
      </c>
      <c r="DV106" s="26">
        <v>245.15776062011719</v>
      </c>
      <c r="DW106" s="26">
        <v>0</v>
      </c>
      <c r="DX106" s="26">
        <v>0</v>
      </c>
      <c r="DY106" s="26">
        <v>0</v>
      </c>
      <c r="DZ106" s="26">
        <v>-626.26312255859375</v>
      </c>
      <c r="EC106" s="26">
        <v>6</v>
      </c>
      <c r="ED106" s="26">
        <v>1</v>
      </c>
      <c r="EE106" s="26">
        <v>-1343.2305908203125</v>
      </c>
      <c r="EF106" s="26">
        <v>337.26168823242187</v>
      </c>
      <c r="EG106" s="26">
        <v>0</v>
      </c>
      <c r="EH106" s="26">
        <v>0</v>
      </c>
      <c r="EI106" s="26">
        <v>0</v>
      </c>
      <c r="EJ106" s="26">
        <v>-866.4732666015625</v>
      </c>
      <c r="EM106" s="26">
        <v>6</v>
      </c>
      <c r="EN106" s="26">
        <v>1</v>
      </c>
      <c r="EO106" s="26">
        <v>-1400.8111572265625</v>
      </c>
      <c r="EP106" s="26">
        <v>352.06985473632812</v>
      </c>
      <c r="EQ106" s="26">
        <v>0</v>
      </c>
      <c r="ER106" s="26">
        <v>0</v>
      </c>
      <c r="ES106" s="26">
        <v>0</v>
      </c>
      <c r="ET106" s="26">
        <v>-904.9393310546875</v>
      </c>
      <c r="EW106" s="26">
        <v>6</v>
      </c>
      <c r="EX106" s="26">
        <v>1</v>
      </c>
      <c r="EY106" s="26">
        <v>-1487.7957763671875</v>
      </c>
      <c r="EZ106" s="26">
        <v>373.62200927734375</v>
      </c>
      <c r="FA106" s="26">
        <v>0</v>
      </c>
      <c r="FB106" s="26">
        <v>0</v>
      </c>
      <c r="FC106" s="26">
        <v>0</v>
      </c>
      <c r="FD106" s="26">
        <v>-959.96343994140625</v>
      </c>
      <c r="FG106" s="26">
        <v>6</v>
      </c>
      <c r="FH106" s="26">
        <v>1</v>
      </c>
      <c r="FI106" s="26">
        <v>-1383.315185546875</v>
      </c>
      <c r="FJ106" s="26">
        <v>347.57040405273438</v>
      </c>
      <c r="FK106" s="26">
        <v>0</v>
      </c>
      <c r="FL106" s="26">
        <v>0</v>
      </c>
      <c r="FM106" s="26">
        <v>0</v>
      </c>
      <c r="FN106" s="26">
        <v>-893.25152587890625</v>
      </c>
      <c r="FQ106" s="26">
        <v>6</v>
      </c>
      <c r="FR106" s="26">
        <v>1</v>
      </c>
      <c r="FS106" s="26">
        <v>-747.4658203125</v>
      </c>
      <c r="FT106" s="26">
        <v>339.6650390625</v>
      </c>
      <c r="FU106" s="26">
        <v>0</v>
      </c>
      <c r="FV106" s="26">
        <v>0</v>
      </c>
      <c r="FW106" s="26">
        <v>0</v>
      </c>
      <c r="FX106" s="26">
        <v>-1265.1436767578125</v>
      </c>
      <c r="GA106" s="26">
        <v>6</v>
      </c>
      <c r="GB106" s="26">
        <v>1</v>
      </c>
      <c r="GC106" s="26">
        <v>-503.2601318359375</v>
      </c>
      <c r="GD106" s="26">
        <v>214.48246765136719</v>
      </c>
      <c r="GE106" s="26">
        <v>0</v>
      </c>
      <c r="GF106" s="26">
        <v>0</v>
      </c>
      <c r="GG106" s="26">
        <v>0</v>
      </c>
      <c r="GH106" s="26">
        <v>-784.83892822265625</v>
      </c>
      <c r="GK106" s="26">
        <v>6</v>
      </c>
      <c r="GL106" s="26">
        <v>1</v>
      </c>
      <c r="GM106" s="26">
        <v>-454.01034545898437</v>
      </c>
      <c r="GN106" s="26">
        <v>198.35670471191406</v>
      </c>
      <c r="GO106" s="26">
        <v>0</v>
      </c>
      <c r="GP106" s="26">
        <v>0</v>
      </c>
      <c r="GQ106" s="26">
        <v>0</v>
      </c>
      <c r="GR106" s="26">
        <v>-730.9520263671875</v>
      </c>
      <c r="GU106" s="26">
        <v>6</v>
      </c>
      <c r="GV106" s="26">
        <v>1</v>
      </c>
      <c r="GW106" s="26">
        <v>-140.53172302246094</v>
      </c>
      <c r="GX106" s="26">
        <v>57.145656585693359</v>
      </c>
      <c r="GY106" s="26">
        <v>0</v>
      </c>
      <c r="GZ106" s="26">
        <v>0</v>
      </c>
      <c r="HA106" s="26">
        <v>0</v>
      </c>
      <c r="HB106" s="26">
        <v>-187.58747863769531</v>
      </c>
    </row>
    <row r="107" spans="2:210">
      <c r="B107" s="95">
        <v>12</v>
      </c>
      <c r="C107" s="26">
        <v>6</v>
      </c>
      <c r="D107" s="26">
        <v>0</v>
      </c>
      <c r="E107" s="26">
        <v>-3125.065673828125</v>
      </c>
      <c r="F107" s="26">
        <v>0.16089193522930145</v>
      </c>
      <c r="G107" s="26">
        <v>0</v>
      </c>
      <c r="H107" s="26">
        <v>0</v>
      </c>
      <c r="I107" s="26">
        <v>0</v>
      </c>
      <c r="J107" s="26">
        <v>181.97021484375</v>
      </c>
      <c r="L107" s="95">
        <v>12</v>
      </c>
      <c r="M107" s="26">
        <v>6</v>
      </c>
      <c r="N107" s="26">
        <v>0</v>
      </c>
      <c r="O107" s="26">
        <v>-2193.23583984375</v>
      </c>
      <c r="P107" s="26">
        <v>0.18611039221286774</v>
      </c>
      <c r="Q107" s="26">
        <v>0</v>
      </c>
      <c r="R107" s="26">
        <v>0</v>
      </c>
      <c r="S107" s="26">
        <v>0</v>
      </c>
      <c r="T107" s="26">
        <v>-160.65899658203125</v>
      </c>
      <c r="V107" s="95">
        <v>12</v>
      </c>
      <c r="W107" s="26">
        <v>6</v>
      </c>
      <c r="X107" s="26">
        <v>0</v>
      </c>
      <c r="Y107" s="26">
        <v>1189.6905517578125</v>
      </c>
      <c r="Z107" s="26">
        <v>-7.8966774046421051E-2</v>
      </c>
      <c r="AA107" s="26">
        <v>0</v>
      </c>
      <c r="AB107" s="26">
        <v>0</v>
      </c>
      <c r="AC107" s="26">
        <v>0</v>
      </c>
      <c r="AD107" s="26">
        <v>0.52486729621887207</v>
      </c>
      <c r="AF107" s="95">
        <v>12</v>
      </c>
      <c r="AG107" s="26">
        <v>6</v>
      </c>
      <c r="AH107" s="26">
        <v>0</v>
      </c>
      <c r="AI107" s="26">
        <v>1535.62646484375</v>
      </c>
      <c r="AJ107" s="26">
        <v>-0.10192848742008209</v>
      </c>
      <c r="AK107" s="26">
        <v>0</v>
      </c>
      <c r="AL107" s="26">
        <v>0</v>
      </c>
      <c r="AM107" s="26">
        <v>0</v>
      </c>
      <c r="AN107" s="26">
        <v>0.67715775966644287</v>
      </c>
      <c r="AP107" s="95">
        <v>12</v>
      </c>
      <c r="AQ107" s="26">
        <v>6</v>
      </c>
      <c r="AR107" s="26">
        <v>0</v>
      </c>
      <c r="AS107" s="26">
        <v>-616.361328125</v>
      </c>
      <c r="AT107" s="26">
        <v>3.2403390854597092E-2</v>
      </c>
      <c r="AU107" s="26">
        <v>0</v>
      </c>
      <c r="AV107" s="26">
        <v>0</v>
      </c>
      <c r="AW107" s="26">
        <v>0</v>
      </c>
      <c r="AX107" s="26">
        <v>47.920780181884766</v>
      </c>
      <c r="AZ107" s="95">
        <v>12</v>
      </c>
      <c r="BA107" s="26">
        <v>6</v>
      </c>
      <c r="BB107" s="26">
        <v>0</v>
      </c>
      <c r="BC107" s="26">
        <v>-698.337890625</v>
      </c>
      <c r="BD107" s="26">
        <v>3.6713011562824249E-2</v>
      </c>
      <c r="BE107" s="26">
        <v>0</v>
      </c>
      <c r="BF107" s="26">
        <v>0</v>
      </c>
      <c r="BG107" s="26">
        <v>0</v>
      </c>
      <c r="BH107" s="26">
        <v>54.294403076171875</v>
      </c>
      <c r="BJ107" s="95">
        <v>12</v>
      </c>
      <c r="BK107" s="26">
        <v>6</v>
      </c>
      <c r="BL107" s="26">
        <v>0</v>
      </c>
      <c r="BM107" s="26">
        <v>-725.45782470703125</v>
      </c>
      <c r="BN107" s="26">
        <v>3.8138758391141891E-2</v>
      </c>
      <c r="BO107" s="26">
        <v>0</v>
      </c>
      <c r="BP107" s="26">
        <v>0</v>
      </c>
      <c r="BQ107" s="26">
        <v>0</v>
      </c>
      <c r="BR107" s="26">
        <v>56.402927398681641</v>
      </c>
      <c r="BT107" s="95">
        <v>12</v>
      </c>
      <c r="BU107" s="26">
        <v>6</v>
      </c>
      <c r="BV107" s="26">
        <v>0</v>
      </c>
      <c r="BW107" s="26">
        <v>-725.45782470703125</v>
      </c>
      <c r="BX107" s="26">
        <v>3.8138758391141891E-2</v>
      </c>
      <c r="BY107" s="26">
        <v>0</v>
      </c>
      <c r="BZ107" s="26">
        <v>0</v>
      </c>
      <c r="CA107" s="26">
        <v>0</v>
      </c>
      <c r="CB107" s="26">
        <v>56.402927398681641</v>
      </c>
      <c r="CD107" s="95">
        <v>12</v>
      </c>
      <c r="CE107" s="26">
        <v>6</v>
      </c>
      <c r="CF107" s="26">
        <v>0</v>
      </c>
      <c r="CG107" s="26">
        <v>-725.45782470703125</v>
      </c>
      <c r="CH107" s="26">
        <v>3.8138758391141891E-2</v>
      </c>
      <c r="CI107" s="26">
        <v>0</v>
      </c>
      <c r="CJ107" s="26">
        <v>0</v>
      </c>
      <c r="CK107" s="26">
        <v>0</v>
      </c>
      <c r="CL107" s="26">
        <v>56.402927398681641</v>
      </c>
      <c r="CN107" s="95">
        <v>12</v>
      </c>
      <c r="CO107" s="26">
        <v>6</v>
      </c>
      <c r="CP107" s="26">
        <v>0</v>
      </c>
      <c r="CQ107" s="26">
        <v>-194.39970397949219</v>
      </c>
      <c r="CR107" s="26">
        <v>49.993877410888672</v>
      </c>
      <c r="CS107" s="26">
        <v>0</v>
      </c>
      <c r="CT107" s="26">
        <v>0</v>
      </c>
      <c r="CU107" s="26">
        <v>0</v>
      </c>
      <c r="CV107" s="26">
        <v>-129.86459350585938</v>
      </c>
      <c r="CX107" s="95">
        <v>12</v>
      </c>
      <c r="CY107" s="26">
        <v>6</v>
      </c>
      <c r="CZ107" s="26">
        <v>0</v>
      </c>
      <c r="DA107" s="26">
        <v>-242.99961853027344</v>
      </c>
      <c r="DB107" s="26">
        <v>62.492343902587891</v>
      </c>
      <c r="DC107" s="26">
        <v>0</v>
      </c>
      <c r="DD107" s="26">
        <v>0</v>
      </c>
      <c r="DE107" s="26">
        <v>0</v>
      </c>
      <c r="DF107" s="26">
        <v>-162.33073425292969</v>
      </c>
      <c r="DH107" s="95">
        <v>12</v>
      </c>
      <c r="DI107" s="26">
        <v>6</v>
      </c>
      <c r="DJ107" s="26">
        <v>0</v>
      </c>
      <c r="DK107" s="26">
        <v>-857.23138427734375</v>
      </c>
      <c r="DL107" s="26">
        <v>212.2769775390625</v>
      </c>
      <c r="DM107" s="26">
        <v>0</v>
      </c>
      <c r="DN107" s="26">
        <v>0</v>
      </c>
      <c r="DO107" s="26">
        <v>0</v>
      </c>
      <c r="DP107" s="26">
        <v>-541.81182861328125</v>
      </c>
      <c r="DR107" s="95">
        <v>12</v>
      </c>
      <c r="DS107" s="26">
        <v>6</v>
      </c>
      <c r="DT107" s="26">
        <v>0</v>
      </c>
      <c r="DU107" s="26">
        <v>-988.26702880859375</v>
      </c>
      <c r="DV107" s="26">
        <v>245.15776062011719</v>
      </c>
      <c r="DW107" s="26">
        <v>0</v>
      </c>
      <c r="DX107" s="26">
        <v>0</v>
      </c>
      <c r="DY107" s="26">
        <v>0</v>
      </c>
      <c r="DZ107" s="26">
        <v>-626.26312255859375</v>
      </c>
      <c r="EB107" s="95">
        <v>12</v>
      </c>
      <c r="EC107" s="26">
        <v>6</v>
      </c>
      <c r="ED107" s="26">
        <v>0</v>
      </c>
      <c r="EE107" s="26">
        <v>-1343.2305908203125</v>
      </c>
      <c r="EF107" s="26">
        <v>337.26168823242187</v>
      </c>
      <c r="EG107" s="26">
        <v>0</v>
      </c>
      <c r="EH107" s="26">
        <v>0</v>
      </c>
      <c r="EI107" s="26">
        <v>0</v>
      </c>
      <c r="EJ107" s="26">
        <v>-866.4732666015625</v>
      </c>
      <c r="EL107" s="95">
        <v>12</v>
      </c>
      <c r="EM107" s="26">
        <v>6</v>
      </c>
      <c r="EN107" s="26">
        <v>0</v>
      </c>
      <c r="EO107" s="26">
        <v>-1400.8111572265625</v>
      </c>
      <c r="EP107" s="26">
        <v>352.06985473632812</v>
      </c>
      <c r="EQ107" s="26">
        <v>0</v>
      </c>
      <c r="ER107" s="26">
        <v>0</v>
      </c>
      <c r="ES107" s="26">
        <v>0</v>
      </c>
      <c r="ET107" s="26">
        <v>-904.9393310546875</v>
      </c>
      <c r="EV107" s="95">
        <v>12</v>
      </c>
      <c r="EW107" s="26">
        <v>6</v>
      </c>
      <c r="EX107" s="26">
        <v>0</v>
      </c>
      <c r="EY107" s="26">
        <v>-1487.7957763671875</v>
      </c>
      <c r="EZ107" s="26">
        <v>373.62200927734375</v>
      </c>
      <c r="FA107" s="26">
        <v>0</v>
      </c>
      <c r="FB107" s="26">
        <v>0</v>
      </c>
      <c r="FC107" s="26">
        <v>0</v>
      </c>
      <c r="FD107" s="26">
        <v>-959.96343994140625</v>
      </c>
      <c r="FF107" s="95">
        <v>12</v>
      </c>
      <c r="FG107" s="26">
        <v>6</v>
      </c>
      <c r="FH107" s="26">
        <v>0</v>
      </c>
      <c r="FI107" s="26">
        <v>-1383.315185546875</v>
      </c>
      <c r="FJ107" s="26">
        <v>347.57040405273438</v>
      </c>
      <c r="FK107" s="26">
        <v>0</v>
      </c>
      <c r="FL107" s="26">
        <v>0</v>
      </c>
      <c r="FM107" s="26">
        <v>0</v>
      </c>
      <c r="FN107" s="26">
        <v>-893.25152587890625</v>
      </c>
      <c r="FP107" s="95">
        <v>12</v>
      </c>
      <c r="FQ107" s="26">
        <v>6</v>
      </c>
      <c r="FR107" s="26">
        <v>0</v>
      </c>
      <c r="FS107" s="26">
        <v>-747.4658203125</v>
      </c>
      <c r="FT107" s="26">
        <v>339.6650390625</v>
      </c>
      <c r="FU107" s="26">
        <v>0</v>
      </c>
      <c r="FV107" s="26">
        <v>0</v>
      </c>
      <c r="FW107" s="26">
        <v>0</v>
      </c>
      <c r="FX107" s="26">
        <v>-1265.1436767578125</v>
      </c>
      <c r="FZ107" s="95">
        <v>12</v>
      </c>
      <c r="GA107" s="26">
        <v>6</v>
      </c>
      <c r="GB107" s="26">
        <v>0</v>
      </c>
      <c r="GC107" s="26">
        <v>-503.2601318359375</v>
      </c>
      <c r="GD107" s="26">
        <v>214.48246765136719</v>
      </c>
      <c r="GE107" s="26">
        <v>0</v>
      </c>
      <c r="GF107" s="26">
        <v>0</v>
      </c>
      <c r="GG107" s="26">
        <v>0</v>
      </c>
      <c r="GH107" s="26">
        <v>-784.83892822265625</v>
      </c>
      <c r="GJ107" s="95">
        <v>12</v>
      </c>
      <c r="GK107" s="26">
        <v>6</v>
      </c>
      <c r="GL107" s="26">
        <v>0</v>
      </c>
      <c r="GM107" s="26">
        <v>-454.01034545898437</v>
      </c>
      <c r="GN107" s="26">
        <v>198.35670471191406</v>
      </c>
      <c r="GO107" s="26">
        <v>0</v>
      </c>
      <c r="GP107" s="26">
        <v>0</v>
      </c>
      <c r="GQ107" s="26">
        <v>0</v>
      </c>
      <c r="GR107" s="26">
        <v>-730.9520263671875</v>
      </c>
      <c r="GT107" s="95">
        <v>12</v>
      </c>
      <c r="GU107" s="26">
        <v>6</v>
      </c>
      <c r="GV107" s="26">
        <v>0</v>
      </c>
      <c r="GW107" s="26">
        <v>-140.53172302246094</v>
      </c>
      <c r="GX107" s="26">
        <v>57.145656585693359</v>
      </c>
      <c r="GY107" s="26">
        <v>0</v>
      </c>
      <c r="GZ107" s="26">
        <v>0</v>
      </c>
      <c r="HA107" s="26">
        <v>0</v>
      </c>
      <c r="HB107" s="26">
        <v>-187.58747863769531</v>
      </c>
    </row>
    <row r="108" spans="2:210">
      <c r="C108" s="26">
        <v>8</v>
      </c>
      <c r="D108" s="26">
        <v>2.2400000095367432</v>
      </c>
      <c r="E108" s="26">
        <v>-3125.065673828125</v>
      </c>
      <c r="F108" s="26">
        <v>0.16089193522930145</v>
      </c>
      <c r="G108" s="26">
        <v>0</v>
      </c>
      <c r="H108" s="26">
        <v>0</v>
      </c>
      <c r="I108" s="26">
        <v>0</v>
      </c>
      <c r="J108" s="26">
        <v>182.33061218261719</v>
      </c>
      <c r="M108" s="26">
        <v>8</v>
      </c>
      <c r="N108" s="26">
        <v>2.2400000095367432</v>
      </c>
      <c r="O108" s="26">
        <v>-2193.23583984375</v>
      </c>
      <c r="P108" s="26">
        <v>0.18611039221286774</v>
      </c>
      <c r="Q108" s="26">
        <v>0</v>
      </c>
      <c r="R108" s="26">
        <v>0</v>
      </c>
      <c r="S108" s="26">
        <v>0</v>
      </c>
      <c r="T108" s="26">
        <v>-160.24211120605469</v>
      </c>
      <c r="W108" s="26">
        <v>8</v>
      </c>
      <c r="X108" s="26">
        <v>2.2400000095367432</v>
      </c>
      <c r="Y108" s="26">
        <v>1189.6905517578125</v>
      </c>
      <c r="Z108" s="26">
        <v>-7.8966774046421051E-2</v>
      </c>
      <c r="AA108" s="26">
        <v>0</v>
      </c>
      <c r="AB108" s="26">
        <v>0</v>
      </c>
      <c r="AC108" s="26">
        <v>0</v>
      </c>
      <c r="AD108" s="26">
        <v>0.34798172116279602</v>
      </c>
      <c r="AG108" s="26">
        <v>8</v>
      </c>
      <c r="AH108" s="26">
        <v>2.2400000095367432</v>
      </c>
      <c r="AI108" s="26">
        <v>1535.62646484375</v>
      </c>
      <c r="AJ108" s="26">
        <v>-0.10192848742008209</v>
      </c>
      <c r="AK108" s="26">
        <v>0</v>
      </c>
      <c r="AL108" s="26">
        <v>0</v>
      </c>
      <c r="AM108" s="26">
        <v>0</v>
      </c>
      <c r="AN108" s="26">
        <v>0.44883796572685242</v>
      </c>
      <c r="AQ108" s="26">
        <v>8</v>
      </c>
      <c r="AR108" s="26">
        <v>2.2400000095367432</v>
      </c>
      <c r="AS108" s="26">
        <v>-616.361328125</v>
      </c>
      <c r="AT108" s="26">
        <v>3.2403390854597092E-2</v>
      </c>
      <c r="AU108" s="26">
        <v>0</v>
      </c>
      <c r="AV108" s="26">
        <v>0</v>
      </c>
      <c r="AW108" s="26">
        <v>0</v>
      </c>
      <c r="AX108" s="26">
        <v>47.993366241455078</v>
      </c>
      <c r="BA108" s="26">
        <v>8</v>
      </c>
      <c r="BB108" s="26">
        <v>2.2400000095367432</v>
      </c>
      <c r="BC108" s="26">
        <v>-698.337890625</v>
      </c>
      <c r="BD108" s="26">
        <v>3.6713011562824249E-2</v>
      </c>
      <c r="BE108" s="26">
        <v>0</v>
      </c>
      <c r="BF108" s="26">
        <v>0</v>
      </c>
      <c r="BG108" s="26">
        <v>0</v>
      </c>
      <c r="BH108" s="26">
        <v>54.376640319824219</v>
      </c>
      <c r="BK108" s="26">
        <v>8</v>
      </c>
      <c r="BL108" s="26">
        <v>2.2400000095367432</v>
      </c>
      <c r="BM108" s="26">
        <v>-725.45782470703125</v>
      </c>
      <c r="BN108" s="26">
        <v>3.8138758391141891E-2</v>
      </c>
      <c r="BO108" s="26">
        <v>0</v>
      </c>
      <c r="BP108" s="26">
        <v>0</v>
      </c>
      <c r="BQ108" s="26">
        <v>0</v>
      </c>
      <c r="BR108" s="26">
        <v>56.488361358642578</v>
      </c>
      <c r="BU108" s="26">
        <v>8</v>
      </c>
      <c r="BV108" s="26">
        <v>2.2400000095367432</v>
      </c>
      <c r="BW108" s="26">
        <v>-725.45782470703125</v>
      </c>
      <c r="BX108" s="26">
        <v>3.8138758391141891E-2</v>
      </c>
      <c r="BY108" s="26">
        <v>0</v>
      </c>
      <c r="BZ108" s="26">
        <v>0</v>
      </c>
      <c r="CA108" s="26">
        <v>0</v>
      </c>
      <c r="CB108" s="26">
        <v>56.488361358642578</v>
      </c>
      <c r="CE108" s="26">
        <v>8</v>
      </c>
      <c r="CF108" s="26">
        <v>2.2400000095367432</v>
      </c>
      <c r="CG108" s="26">
        <v>-725.45782470703125</v>
      </c>
      <c r="CH108" s="26">
        <v>3.8138758391141891E-2</v>
      </c>
      <c r="CI108" s="26">
        <v>0</v>
      </c>
      <c r="CJ108" s="26">
        <v>0</v>
      </c>
      <c r="CK108" s="26">
        <v>0</v>
      </c>
      <c r="CL108" s="26">
        <v>56.488361358642578</v>
      </c>
      <c r="CO108" s="26">
        <v>8</v>
      </c>
      <c r="CP108" s="26">
        <v>2.2400000095367432</v>
      </c>
      <c r="CQ108" s="26">
        <v>-194.39970397949219</v>
      </c>
      <c r="CR108" s="26">
        <v>49.993877410888672</v>
      </c>
      <c r="CS108" s="26">
        <v>0</v>
      </c>
      <c r="CT108" s="26">
        <v>0</v>
      </c>
      <c r="CU108" s="26">
        <v>0</v>
      </c>
      <c r="CV108" s="26">
        <v>-17.878305435180664</v>
      </c>
      <c r="CY108" s="26">
        <v>8</v>
      </c>
      <c r="CZ108" s="26">
        <v>2.2400000095367432</v>
      </c>
      <c r="DA108" s="26">
        <v>-242.99961853027344</v>
      </c>
      <c r="DB108" s="26">
        <v>62.492343902587891</v>
      </c>
      <c r="DC108" s="26">
        <v>0</v>
      </c>
      <c r="DD108" s="26">
        <v>0</v>
      </c>
      <c r="DE108" s="26">
        <v>0</v>
      </c>
      <c r="DF108" s="26">
        <v>-22.347881317138672</v>
      </c>
      <c r="DI108" s="26">
        <v>8</v>
      </c>
      <c r="DJ108" s="26">
        <v>2.2400000095367432</v>
      </c>
      <c r="DK108" s="26">
        <v>-857.23138427734375</v>
      </c>
      <c r="DL108" s="26">
        <v>212.2769775390625</v>
      </c>
      <c r="DM108" s="26">
        <v>0</v>
      </c>
      <c r="DN108" s="26">
        <v>0</v>
      </c>
      <c r="DO108" s="26">
        <v>0</v>
      </c>
      <c r="DP108" s="26">
        <v>-66.311363220214844</v>
      </c>
      <c r="DS108" s="26">
        <v>8</v>
      </c>
      <c r="DT108" s="26">
        <v>2.2400000095367432</v>
      </c>
      <c r="DU108" s="26">
        <v>-988.26702880859375</v>
      </c>
      <c r="DV108" s="26">
        <v>245.15776062011719</v>
      </c>
      <c r="DW108" s="26">
        <v>0</v>
      </c>
      <c r="DX108" s="26">
        <v>0</v>
      </c>
      <c r="DY108" s="26">
        <v>0</v>
      </c>
      <c r="DZ108" s="26">
        <v>-77.109771728515625</v>
      </c>
      <c r="EC108" s="26">
        <v>8</v>
      </c>
      <c r="ED108" s="26">
        <v>2.2400000095367432</v>
      </c>
      <c r="EE108" s="26">
        <v>-1343.2305908203125</v>
      </c>
      <c r="EF108" s="26">
        <v>337.26168823242187</v>
      </c>
      <c r="EG108" s="26">
        <v>0</v>
      </c>
      <c r="EH108" s="26">
        <v>0</v>
      </c>
      <c r="EI108" s="26">
        <v>0</v>
      </c>
      <c r="EJ108" s="26">
        <v>-111.00711822509766</v>
      </c>
      <c r="EM108" s="26">
        <v>8</v>
      </c>
      <c r="EN108" s="26">
        <v>2.2400000095367432</v>
      </c>
      <c r="EO108" s="26">
        <v>-1400.8111572265625</v>
      </c>
      <c r="EP108" s="26">
        <v>352.06985473632812</v>
      </c>
      <c r="EQ108" s="26">
        <v>0</v>
      </c>
      <c r="ER108" s="26">
        <v>0</v>
      </c>
      <c r="ES108" s="26">
        <v>0</v>
      </c>
      <c r="ET108" s="26">
        <v>-116.3028564453125</v>
      </c>
      <c r="EW108" s="26">
        <v>8</v>
      </c>
      <c r="EX108" s="26">
        <v>2.2400000095367432</v>
      </c>
      <c r="EY108" s="26">
        <v>-1487.7957763671875</v>
      </c>
      <c r="EZ108" s="26">
        <v>373.62200927734375</v>
      </c>
      <c r="FA108" s="26">
        <v>0</v>
      </c>
      <c r="FB108" s="26">
        <v>0</v>
      </c>
      <c r="FC108" s="26">
        <v>0</v>
      </c>
      <c r="FD108" s="26">
        <v>-123.05010223388672</v>
      </c>
      <c r="FG108" s="26">
        <v>8</v>
      </c>
      <c r="FH108" s="26">
        <v>2.2400000095367432</v>
      </c>
      <c r="FI108" s="26">
        <v>-1383.315185546875</v>
      </c>
      <c r="FJ108" s="26">
        <v>347.57040405273438</v>
      </c>
      <c r="FK108" s="26">
        <v>0</v>
      </c>
      <c r="FL108" s="26">
        <v>0</v>
      </c>
      <c r="FM108" s="26">
        <v>0</v>
      </c>
      <c r="FN108" s="26">
        <v>-114.69380187988281</v>
      </c>
      <c r="FQ108" s="26">
        <v>8</v>
      </c>
      <c r="FR108" s="26">
        <v>2.2400000095367432</v>
      </c>
      <c r="FS108" s="26">
        <v>-747.4658203125</v>
      </c>
      <c r="FT108" s="26">
        <v>339.6650390625</v>
      </c>
      <c r="FU108" s="26">
        <v>0</v>
      </c>
      <c r="FV108" s="26">
        <v>0</v>
      </c>
      <c r="FW108" s="26">
        <v>0</v>
      </c>
      <c r="FX108" s="26">
        <v>-504.2940673828125</v>
      </c>
      <c r="GA108" s="26">
        <v>8</v>
      </c>
      <c r="GB108" s="26">
        <v>2.2400000095367432</v>
      </c>
      <c r="GC108" s="26">
        <v>-503.2601318359375</v>
      </c>
      <c r="GD108" s="26">
        <v>214.48246765136719</v>
      </c>
      <c r="GE108" s="26">
        <v>0</v>
      </c>
      <c r="GF108" s="26">
        <v>0</v>
      </c>
      <c r="GG108" s="26">
        <v>0</v>
      </c>
      <c r="GH108" s="26">
        <v>-304.39822387695312</v>
      </c>
      <c r="GK108" s="26">
        <v>8</v>
      </c>
      <c r="GL108" s="26">
        <v>2.2400000095367432</v>
      </c>
      <c r="GM108" s="26">
        <v>-454.01034545898437</v>
      </c>
      <c r="GN108" s="26">
        <v>198.35670471191406</v>
      </c>
      <c r="GO108" s="26">
        <v>0</v>
      </c>
      <c r="GP108" s="26">
        <v>0</v>
      </c>
      <c r="GQ108" s="26">
        <v>0</v>
      </c>
      <c r="GR108" s="26">
        <v>-286.63299560546875</v>
      </c>
      <c r="GU108" s="26">
        <v>8</v>
      </c>
      <c r="GV108" s="26">
        <v>2.2400000095367432</v>
      </c>
      <c r="GW108" s="26">
        <v>-140.53172302246094</v>
      </c>
      <c r="GX108" s="26">
        <v>57.145656585693359</v>
      </c>
      <c r="GY108" s="26">
        <v>0</v>
      </c>
      <c r="GZ108" s="26">
        <v>0</v>
      </c>
      <c r="HA108" s="26">
        <v>0</v>
      </c>
      <c r="HB108" s="26">
        <v>-59.581203460693359</v>
      </c>
    </row>
    <row r="109" spans="2:210">
      <c r="B109" s="95">
        <v>13</v>
      </c>
      <c r="C109" s="26">
        <v>8</v>
      </c>
      <c r="D109" s="26">
        <v>0</v>
      </c>
      <c r="E109" s="26">
        <v>-3125.065673828125</v>
      </c>
      <c r="F109" s="26">
        <v>0.16089195013046265</v>
      </c>
      <c r="G109" s="26">
        <v>0</v>
      </c>
      <c r="H109" s="26">
        <v>0</v>
      </c>
      <c r="I109" s="26">
        <v>0</v>
      </c>
      <c r="J109" s="26">
        <v>182.33061218261719</v>
      </c>
      <c r="L109" s="95">
        <v>13</v>
      </c>
      <c r="M109" s="26">
        <v>8</v>
      </c>
      <c r="N109" s="26">
        <v>0</v>
      </c>
      <c r="O109" s="26">
        <v>-2193.23583984375</v>
      </c>
      <c r="P109" s="26">
        <v>0.18611040711402893</v>
      </c>
      <c r="Q109" s="26">
        <v>0</v>
      </c>
      <c r="R109" s="26">
        <v>0</v>
      </c>
      <c r="S109" s="26">
        <v>0</v>
      </c>
      <c r="T109" s="26">
        <v>-160.24211120605469</v>
      </c>
      <c r="V109" s="95">
        <v>13</v>
      </c>
      <c r="W109" s="26">
        <v>8</v>
      </c>
      <c r="X109" s="26">
        <v>0</v>
      </c>
      <c r="Y109" s="26">
        <v>1189.6905517578125</v>
      </c>
      <c r="Z109" s="26">
        <v>-7.8966781497001648E-2</v>
      </c>
      <c r="AA109" s="26">
        <v>0</v>
      </c>
      <c r="AB109" s="26">
        <v>0</v>
      </c>
      <c r="AC109" s="26">
        <v>0</v>
      </c>
      <c r="AD109" s="26">
        <v>0.34798172116279602</v>
      </c>
      <c r="AF109" s="95">
        <v>13</v>
      </c>
      <c r="AG109" s="26">
        <v>8</v>
      </c>
      <c r="AH109" s="26">
        <v>0</v>
      </c>
      <c r="AI109" s="26">
        <v>1535.62646484375</v>
      </c>
      <c r="AJ109" s="26">
        <v>-0.10192850232124329</v>
      </c>
      <c r="AK109" s="26">
        <v>0</v>
      </c>
      <c r="AL109" s="26">
        <v>0</v>
      </c>
      <c r="AM109" s="26">
        <v>0</v>
      </c>
      <c r="AN109" s="26">
        <v>0.44883796572685242</v>
      </c>
      <c r="AP109" s="95">
        <v>13</v>
      </c>
      <c r="AQ109" s="26">
        <v>8</v>
      </c>
      <c r="AR109" s="26">
        <v>0</v>
      </c>
      <c r="AS109" s="26">
        <v>-616.361328125</v>
      </c>
      <c r="AT109" s="26">
        <v>3.2403390854597092E-2</v>
      </c>
      <c r="AU109" s="26">
        <v>0</v>
      </c>
      <c r="AV109" s="26">
        <v>0</v>
      </c>
      <c r="AW109" s="26">
        <v>0</v>
      </c>
      <c r="AX109" s="26">
        <v>47.993366241455078</v>
      </c>
      <c r="AZ109" s="95">
        <v>13</v>
      </c>
      <c r="BA109" s="26">
        <v>8</v>
      </c>
      <c r="BB109" s="26">
        <v>0</v>
      </c>
      <c r="BC109" s="26">
        <v>-698.337890625</v>
      </c>
      <c r="BD109" s="26">
        <v>3.6713007837533951E-2</v>
      </c>
      <c r="BE109" s="26">
        <v>0</v>
      </c>
      <c r="BF109" s="26">
        <v>0</v>
      </c>
      <c r="BG109" s="26">
        <v>0</v>
      </c>
      <c r="BH109" s="26">
        <v>54.376640319824219</v>
      </c>
      <c r="BJ109" s="95">
        <v>13</v>
      </c>
      <c r="BK109" s="26">
        <v>8</v>
      </c>
      <c r="BL109" s="26">
        <v>0</v>
      </c>
      <c r="BM109" s="26">
        <v>-725.45782470703125</v>
      </c>
      <c r="BN109" s="26">
        <v>3.8138754665851593E-2</v>
      </c>
      <c r="BO109" s="26">
        <v>0</v>
      </c>
      <c r="BP109" s="26">
        <v>0</v>
      </c>
      <c r="BQ109" s="26">
        <v>0</v>
      </c>
      <c r="BR109" s="26">
        <v>56.488361358642578</v>
      </c>
      <c r="BT109" s="95">
        <v>13</v>
      </c>
      <c r="BU109" s="26">
        <v>8</v>
      </c>
      <c r="BV109" s="26">
        <v>0</v>
      </c>
      <c r="BW109" s="26">
        <v>-725.45782470703125</v>
      </c>
      <c r="BX109" s="26">
        <v>3.8138754665851593E-2</v>
      </c>
      <c r="BY109" s="26">
        <v>0</v>
      </c>
      <c r="BZ109" s="26">
        <v>0</v>
      </c>
      <c r="CA109" s="26">
        <v>0</v>
      </c>
      <c r="CB109" s="26">
        <v>56.488361358642578</v>
      </c>
      <c r="CD109" s="95">
        <v>13</v>
      </c>
      <c r="CE109" s="26">
        <v>8</v>
      </c>
      <c r="CF109" s="26">
        <v>0</v>
      </c>
      <c r="CG109" s="26">
        <v>-725.45782470703125</v>
      </c>
      <c r="CH109" s="26">
        <v>3.8138754665851593E-2</v>
      </c>
      <c r="CI109" s="26">
        <v>0</v>
      </c>
      <c r="CJ109" s="26">
        <v>0</v>
      </c>
      <c r="CK109" s="26">
        <v>0</v>
      </c>
      <c r="CL109" s="26">
        <v>56.488361358642578</v>
      </c>
      <c r="CN109" s="95">
        <v>13</v>
      </c>
      <c r="CO109" s="26">
        <v>8</v>
      </c>
      <c r="CP109" s="26">
        <v>0</v>
      </c>
      <c r="CQ109" s="26">
        <v>-194.39970397949219</v>
      </c>
      <c r="CR109" s="26">
        <v>49.993877410888672</v>
      </c>
      <c r="CS109" s="26">
        <v>0</v>
      </c>
      <c r="CT109" s="26">
        <v>0</v>
      </c>
      <c r="CU109" s="26">
        <v>0</v>
      </c>
      <c r="CV109" s="26">
        <v>-17.878305435180664</v>
      </c>
      <c r="CX109" s="95">
        <v>13</v>
      </c>
      <c r="CY109" s="26">
        <v>8</v>
      </c>
      <c r="CZ109" s="26">
        <v>0</v>
      </c>
      <c r="DA109" s="26">
        <v>-242.99961853027344</v>
      </c>
      <c r="DB109" s="26">
        <v>62.492343902587891</v>
      </c>
      <c r="DC109" s="26">
        <v>0</v>
      </c>
      <c r="DD109" s="26">
        <v>0</v>
      </c>
      <c r="DE109" s="26">
        <v>0</v>
      </c>
      <c r="DF109" s="26">
        <v>-22.347881317138672</v>
      </c>
      <c r="DH109" s="95">
        <v>13</v>
      </c>
      <c r="DI109" s="26">
        <v>8</v>
      </c>
      <c r="DJ109" s="26">
        <v>0</v>
      </c>
      <c r="DK109" s="26">
        <v>-857.23138427734375</v>
      </c>
      <c r="DL109" s="26">
        <v>212.2769775390625</v>
      </c>
      <c r="DM109" s="26">
        <v>0</v>
      </c>
      <c r="DN109" s="26">
        <v>0</v>
      </c>
      <c r="DO109" s="26">
        <v>0</v>
      </c>
      <c r="DP109" s="26">
        <v>-66.311363220214844</v>
      </c>
      <c r="DR109" s="95">
        <v>13</v>
      </c>
      <c r="DS109" s="26">
        <v>8</v>
      </c>
      <c r="DT109" s="26">
        <v>0</v>
      </c>
      <c r="DU109" s="26">
        <v>-988.26702880859375</v>
      </c>
      <c r="DV109" s="26">
        <v>245.15776062011719</v>
      </c>
      <c r="DW109" s="26">
        <v>0</v>
      </c>
      <c r="DX109" s="26">
        <v>0</v>
      </c>
      <c r="DY109" s="26">
        <v>0</v>
      </c>
      <c r="DZ109" s="26">
        <v>-77.109771728515625</v>
      </c>
      <c r="EB109" s="95">
        <v>13</v>
      </c>
      <c r="EC109" s="26">
        <v>8</v>
      </c>
      <c r="ED109" s="26">
        <v>0</v>
      </c>
      <c r="EE109" s="26">
        <v>-1343.2305908203125</v>
      </c>
      <c r="EF109" s="26">
        <v>337.26168823242187</v>
      </c>
      <c r="EG109" s="26">
        <v>0</v>
      </c>
      <c r="EH109" s="26">
        <v>0</v>
      </c>
      <c r="EI109" s="26">
        <v>0</v>
      </c>
      <c r="EJ109" s="26">
        <v>-111.00711822509766</v>
      </c>
      <c r="EL109" s="95">
        <v>13</v>
      </c>
      <c r="EM109" s="26">
        <v>8</v>
      </c>
      <c r="EN109" s="26">
        <v>0</v>
      </c>
      <c r="EO109" s="26">
        <v>-1400.8111572265625</v>
      </c>
      <c r="EP109" s="26">
        <v>352.06985473632812</v>
      </c>
      <c r="EQ109" s="26">
        <v>0</v>
      </c>
      <c r="ER109" s="26">
        <v>0</v>
      </c>
      <c r="ES109" s="26">
        <v>0</v>
      </c>
      <c r="ET109" s="26">
        <v>-116.3028564453125</v>
      </c>
      <c r="EV109" s="95">
        <v>13</v>
      </c>
      <c r="EW109" s="26">
        <v>8</v>
      </c>
      <c r="EX109" s="26">
        <v>0</v>
      </c>
      <c r="EY109" s="26">
        <v>-1487.7957763671875</v>
      </c>
      <c r="EZ109" s="26">
        <v>373.62200927734375</v>
      </c>
      <c r="FA109" s="26">
        <v>0</v>
      </c>
      <c r="FB109" s="26">
        <v>0</v>
      </c>
      <c r="FC109" s="26">
        <v>0</v>
      </c>
      <c r="FD109" s="26">
        <v>-123.05010223388672</v>
      </c>
      <c r="FF109" s="95">
        <v>13</v>
      </c>
      <c r="FG109" s="26">
        <v>8</v>
      </c>
      <c r="FH109" s="26">
        <v>0</v>
      </c>
      <c r="FI109" s="26">
        <v>-1383.315185546875</v>
      </c>
      <c r="FJ109" s="26">
        <v>347.57040405273438</v>
      </c>
      <c r="FK109" s="26">
        <v>0</v>
      </c>
      <c r="FL109" s="26">
        <v>0</v>
      </c>
      <c r="FM109" s="26">
        <v>0</v>
      </c>
      <c r="FN109" s="26">
        <v>-114.69380187988281</v>
      </c>
      <c r="FP109" s="95">
        <v>13</v>
      </c>
      <c r="FQ109" s="26">
        <v>8</v>
      </c>
      <c r="FR109" s="26">
        <v>0</v>
      </c>
      <c r="FS109" s="26">
        <v>-747.4658203125</v>
      </c>
      <c r="FT109" s="26">
        <v>339.6650390625</v>
      </c>
      <c r="FU109" s="26">
        <v>0</v>
      </c>
      <c r="FV109" s="26">
        <v>0</v>
      </c>
      <c r="FW109" s="26">
        <v>0</v>
      </c>
      <c r="FX109" s="26">
        <v>-504.2940673828125</v>
      </c>
      <c r="FZ109" s="95">
        <v>13</v>
      </c>
      <c r="GA109" s="26">
        <v>8</v>
      </c>
      <c r="GB109" s="26">
        <v>0</v>
      </c>
      <c r="GC109" s="26">
        <v>-503.2601318359375</v>
      </c>
      <c r="GD109" s="26">
        <v>214.48246765136719</v>
      </c>
      <c r="GE109" s="26">
        <v>0</v>
      </c>
      <c r="GF109" s="26">
        <v>0</v>
      </c>
      <c r="GG109" s="26">
        <v>0</v>
      </c>
      <c r="GH109" s="26">
        <v>-304.39822387695312</v>
      </c>
      <c r="GJ109" s="95">
        <v>13</v>
      </c>
      <c r="GK109" s="26">
        <v>8</v>
      </c>
      <c r="GL109" s="26">
        <v>0</v>
      </c>
      <c r="GM109" s="26">
        <v>-454.01034545898437</v>
      </c>
      <c r="GN109" s="26">
        <v>198.35670471191406</v>
      </c>
      <c r="GO109" s="26">
        <v>0</v>
      </c>
      <c r="GP109" s="26">
        <v>0</v>
      </c>
      <c r="GQ109" s="26">
        <v>0</v>
      </c>
      <c r="GR109" s="26">
        <v>-286.63299560546875</v>
      </c>
      <c r="GT109" s="95">
        <v>13</v>
      </c>
      <c r="GU109" s="26">
        <v>8</v>
      </c>
      <c r="GV109" s="26">
        <v>0</v>
      </c>
      <c r="GW109" s="26">
        <v>-140.53172302246094</v>
      </c>
      <c r="GX109" s="26">
        <v>57.145656585693359</v>
      </c>
      <c r="GY109" s="26">
        <v>0</v>
      </c>
      <c r="GZ109" s="26">
        <v>0</v>
      </c>
      <c r="HA109" s="26">
        <v>0</v>
      </c>
      <c r="HB109" s="26">
        <v>-59.581203460693359</v>
      </c>
    </row>
    <row r="110" spans="2:210">
      <c r="C110" s="26">
        <v>10</v>
      </c>
      <c r="D110" s="26">
        <v>3.5999999046325684</v>
      </c>
      <c r="E110" s="26">
        <v>-2816.9248046875</v>
      </c>
      <c r="F110" s="26">
        <v>-18.507152557373047</v>
      </c>
      <c r="G110" s="26">
        <v>0</v>
      </c>
      <c r="H110" s="26">
        <v>0</v>
      </c>
      <c r="I110" s="26">
        <v>0</v>
      </c>
      <c r="J110" s="26">
        <v>141.43267822265625</v>
      </c>
      <c r="M110" s="26">
        <v>10</v>
      </c>
      <c r="N110" s="26">
        <v>3.5999999046325684</v>
      </c>
      <c r="O110" s="26">
        <v>-1976.9761962890625</v>
      </c>
      <c r="P110" s="26">
        <v>16.295984268188477</v>
      </c>
      <c r="Q110" s="26">
        <v>0</v>
      </c>
      <c r="R110" s="26">
        <v>0</v>
      </c>
      <c r="S110" s="26">
        <v>0</v>
      </c>
      <c r="T110" s="26">
        <v>-123.71351623535156</v>
      </c>
      <c r="W110" s="26">
        <v>10</v>
      </c>
      <c r="X110" s="26">
        <v>3.5999999046325684</v>
      </c>
      <c r="Y110" s="26">
        <v>1072.3834228515625</v>
      </c>
      <c r="Z110" s="26">
        <v>-4.279739037156105E-2</v>
      </c>
      <c r="AA110" s="26">
        <v>0</v>
      </c>
      <c r="AB110" s="26">
        <v>0</v>
      </c>
      <c r="AC110" s="26">
        <v>0</v>
      </c>
      <c r="AD110" s="26">
        <v>0.12826655805110931</v>
      </c>
      <c r="AG110" s="26">
        <v>10</v>
      </c>
      <c r="AH110" s="26">
        <v>3.5999999046325684</v>
      </c>
      <c r="AI110" s="26">
        <v>1384.208984375</v>
      </c>
      <c r="AJ110" s="26">
        <v>-5.5208485573530197E-2</v>
      </c>
      <c r="AK110" s="26">
        <v>0</v>
      </c>
      <c r="AL110" s="26">
        <v>0</v>
      </c>
      <c r="AM110" s="26">
        <v>0</v>
      </c>
      <c r="AN110" s="26">
        <v>0.16530893743038177</v>
      </c>
      <c r="AQ110" s="26">
        <v>10</v>
      </c>
      <c r="AR110" s="26">
        <v>3.5999999046325684</v>
      </c>
      <c r="AS110" s="26">
        <v>-547.40704345703125</v>
      </c>
      <c r="AT110" s="26">
        <v>-5.8294200897216797</v>
      </c>
      <c r="AU110" s="26">
        <v>0</v>
      </c>
      <c r="AV110" s="26">
        <v>0</v>
      </c>
      <c r="AW110" s="26">
        <v>0</v>
      </c>
      <c r="AX110" s="26">
        <v>34.297714233398437</v>
      </c>
      <c r="BA110" s="26">
        <v>10</v>
      </c>
      <c r="BB110" s="26">
        <v>3.5999999046325684</v>
      </c>
      <c r="BC110" s="26">
        <v>-620.212646484375</v>
      </c>
      <c r="BD110" s="26">
        <v>-6.6047520637512207</v>
      </c>
      <c r="BE110" s="26">
        <v>0</v>
      </c>
      <c r="BF110" s="26">
        <v>0</v>
      </c>
      <c r="BG110" s="26">
        <v>0</v>
      </c>
      <c r="BH110" s="26">
        <v>38.859420776367188</v>
      </c>
      <c r="BK110" s="26">
        <v>10</v>
      </c>
      <c r="BL110" s="26">
        <v>3.5999999046325684</v>
      </c>
      <c r="BM110" s="26">
        <v>-644.298583984375</v>
      </c>
      <c r="BN110" s="26">
        <v>-6.8612480163574219</v>
      </c>
      <c r="BO110" s="26">
        <v>0</v>
      </c>
      <c r="BP110" s="26">
        <v>0</v>
      </c>
      <c r="BQ110" s="26">
        <v>0</v>
      </c>
      <c r="BR110" s="26">
        <v>40.368526458740234</v>
      </c>
      <c r="BU110" s="26">
        <v>10</v>
      </c>
      <c r="BV110" s="26">
        <v>3.5999999046325684</v>
      </c>
      <c r="BW110" s="26">
        <v>-644.298583984375</v>
      </c>
      <c r="BX110" s="26">
        <v>-6.8612480163574219</v>
      </c>
      <c r="BY110" s="26">
        <v>0</v>
      </c>
      <c r="BZ110" s="26">
        <v>0</v>
      </c>
      <c r="CA110" s="26">
        <v>0</v>
      </c>
      <c r="CB110" s="26">
        <v>40.368526458740234</v>
      </c>
      <c r="CE110" s="26">
        <v>10</v>
      </c>
      <c r="CF110" s="26">
        <v>3.5999999046325684</v>
      </c>
      <c r="CG110" s="26">
        <v>-644.298583984375</v>
      </c>
      <c r="CH110" s="26">
        <v>-6.8612480163574219</v>
      </c>
      <c r="CI110" s="26">
        <v>0</v>
      </c>
      <c r="CJ110" s="26">
        <v>0</v>
      </c>
      <c r="CK110" s="26">
        <v>0</v>
      </c>
      <c r="CL110" s="26">
        <v>40.368526458740234</v>
      </c>
      <c r="CO110" s="26">
        <v>10</v>
      </c>
      <c r="CP110" s="26">
        <v>3.5999999046325684</v>
      </c>
      <c r="CQ110" s="26">
        <v>-172.65159606933594</v>
      </c>
      <c r="CR110" s="26">
        <v>2.4405443668365479</v>
      </c>
      <c r="CS110" s="26">
        <v>0</v>
      </c>
      <c r="CT110" s="26">
        <v>0</v>
      </c>
      <c r="CU110" s="26">
        <v>0</v>
      </c>
      <c r="CV110" s="26">
        <v>65.446693420410156</v>
      </c>
      <c r="CY110" s="26">
        <v>10</v>
      </c>
      <c r="CZ110" s="26">
        <v>3.5999999046325684</v>
      </c>
      <c r="DA110" s="26">
        <v>-215.81448364257812</v>
      </c>
      <c r="DB110" s="26">
        <v>3.05068039894104</v>
      </c>
      <c r="DC110" s="26">
        <v>0</v>
      </c>
      <c r="DD110" s="26">
        <v>0</v>
      </c>
      <c r="DE110" s="26">
        <v>0</v>
      </c>
      <c r="DF110" s="26">
        <v>81.808364868164063</v>
      </c>
      <c r="DI110" s="26">
        <v>10</v>
      </c>
      <c r="DJ110" s="26">
        <v>3.5999999046325684</v>
      </c>
      <c r="DK110" s="26">
        <v>-761.3302001953125</v>
      </c>
      <c r="DL110" s="26">
        <v>9.1964969635009766</v>
      </c>
      <c r="DM110" s="26">
        <v>0</v>
      </c>
      <c r="DN110" s="26">
        <v>0</v>
      </c>
      <c r="DO110" s="26">
        <v>0</v>
      </c>
      <c r="DP110" s="26">
        <v>284.74163818359375</v>
      </c>
      <c r="DS110" s="26">
        <v>10</v>
      </c>
      <c r="DT110" s="26">
        <v>3.5999999046325684</v>
      </c>
      <c r="DU110" s="26">
        <v>-877.70648193359375</v>
      </c>
      <c r="DV110" s="26">
        <v>10.685015678405762</v>
      </c>
      <c r="DW110" s="26">
        <v>0</v>
      </c>
      <c r="DX110" s="26">
        <v>0</v>
      </c>
      <c r="DY110" s="26">
        <v>0</v>
      </c>
      <c r="DZ110" s="26">
        <v>328.47073364257812</v>
      </c>
      <c r="EC110" s="26">
        <v>10</v>
      </c>
      <c r="ED110" s="26">
        <v>3.5999999046325684</v>
      </c>
      <c r="EE110" s="26">
        <v>-1192.9591064453125</v>
      </c>
      <c r="EF110" s="26">
        <v>15.297858238220215</v>
      </c>
      <c r="EG110" s="26">
        <v>0</v>
      </c>
      <c r="EH110" s="26">
        <v>0</v>
      </c>
      <c r="EI110" s="26">
        <v>0</v>
      </c>
      <c r="EJ110" s="26">
        <v>448.35836791992187</v>
      </c>
      <c r="EM110" s="26">
        <v>10</v>
      </c>
      <c r="EN110" s="26">
        <v>3.5999999046325684</v>
      </c>
      <c r="EO110" s="26">
        <v>-1244.0980224609375</v>
      </c>
      <c r="EP110" s="26">
        <v>16.020769119262695</v>
      </c>
      <c r="EQ110" s="26">
        <v>0</v>
      </c>
      <c r="ER110" s="26">
        <v>0</v>
      </c>
      <c r="ES110" s="26">
        <v>0</v>
      </c>
      <c r="ET110" s="26">
        <v>467.7435302734375</v>
      </c>
      <c r="EW110" s="26">
        <v>10</v>
      </c>
      <c r="EX110" s="26">
        <v>3.5999999046325684</v>
      </c>
      <c r="EY110" s="26">
        <v>-1321.351318359375</v>
      </c>
      <c r="EZ110" s="26">
        <v>16.956268310546875</v>
      </c>
      <c r="FA110" s="26">
        <v>0</v>
      </c>
      <c r="FB110" s="26">
        <v>0</v>
      </c>
      <c r="FC110" s="26">
        <v>0</v>
      </c>
      <c r="FD110" s="26">
        <v>496.64239501953125</v>
      </c>
      <c r="FG110" s="26">
        <v>10</v>
      </c>
      <c r="FH110" s="26">
        <v>3.5999999046325684</v>
      </c>
      <c r="FI110" s="26">
        <v>-1228.5594482421875</v>
      </c>
      <c r="FJ110" s="26">
        <v>15.801119804382324</v>
      </c>
      <c r="FK110" s="26">
        <v>0</v>
      </c>
      <c r="FL110" s="26">
        <v>0</v>
      </c>
      <c r="FM110" s="26">
        <v>0</v>
      </c>
      <c r="FN110" s="26">
        <v>461.85333251953125</v>
      </c>
      <c r="FQ110" s="26">
        <v>10</v>
      </c>
      <c r="FR110" s="26">
        <v>3.5999999046325684</v>
      </c>
      <c r="FS110" s="26">
        <v>-673.763427734375</v>
      </c>
      <c r="FT110" s="26">
        <v>83.262374877929688</v>
      </c>
      <c r="FU110" s="26">
        <v>0</v>
      </c>
      <c r="FV110" s="26">
        <v>0</v>
      </c>
      <c r="FW110" s="26">
        <v>0</v>
      </c>
      <c r="FX110" s="26">
        <v>216.59149169921875</v>
      </c>
      <c r="GA110" s="26">
        <v>10</v>
      </c>
      <c r="GB110" s="26">
        <v>3.5999999046325684</v>
      </c>
      <c r="GC110" s="26">
        <v>-453.63714599609375</v>
      </c>
      <c r="GD110" s="26">
        <v>51.150020599365234</v>
      </c>
      <c r="GE110" s="26">
        <v>0</v>
      </c>
      <c r="GF110" s="26">
        <v>0</v>
      </c>
      <c r="GG110" s="26">
        <v>0</v>
      </c>
      <c r="GH110" s="26">
        <v>147.63571166992187</v>
      </c>
      <c r="GK110" s="26">
        <v>10</v>
      </c>
      <c r="GL110" s="26">
        <v>3.5999999046325684</v>
      </c>
      <c r="GM110" s="26">
        <v>-409.24356079101562</v>
      </c>
      <c r="GN110" s="26">
        <v>47.824535369873047</v>
      </c>
      <c r="GO110" s="26">
        <v>0</v>
      </c>
      <c r="GP110" s="26">
        <v>0</v>
      </c>
      <c r="GQ110" s="26">
        <v>0</v>
      </c>
      <c r="GR110" s="26">
        <v>132.57167053222656</v>
      </c>
      <c r="GU110" s="26">
        <v>10</v>
      </c>
      <c r="GV110" s="26">
        <v>3.5999999046325684</v>
      </c>
      <c r="GW110" s="26">
        <v>-124.80999755859375</v>
      </c>
      <c r="GX110" s="26">
        <v>7.544527530670166</v>
      </c>
      <c r="GY110" s="26">
        <v>0</v>
      </c>
      <c r="GZ110" s="26">
        <v>0</v>
      </c>
      <c r="HA110" s="26">
        <v>0</v>
      </c>
      <c r="HB110" s="26">
        <v>46.875774383544922</v>
      </c>
    </row>
    <row r="111" spans="2:210">
      <c r="B111" s="95">
        <v>14</v>
      </c>
      <c r="C111" s="26">
        <v>10</v>
      </c>
      <c r="D111" s="26">
        <v>0</v>
      </c>
      <c r="E111" s="26">
        <v>-2816.9248046875</v>
      </c>
      <c r="F111" s="26">
        <v>-18.507152557373047</v>
      </c>
      <c r="G111" s="26">
        <v>0</v>
      </c>
      <c r="H111" s="26">
        <v>0</v>
      </c>
      <c r="I111" s="26">
        <v>0</v>
      </c>
      <c r="J111" s="26">
        <v>141.43267822265625</v>
      </c>
      <c r="L111" s="95">
        <v>14</v>
      </c>
      <c r="M111" s="26">
        <v>10</v>
      </c>
      <c r="N111" s="26">
        <v>0</v>
      </c>
      <c r="O111" s="26">
        <v>-1976.9761962890625</v>
      </c>
      <c r="P111" s="26">
        <v>16.295984268188477</v>
      </c>
      <c r="Q111" s="26">
        <v>0</v>
      </c>
      <c r="R111" s="26">
        <v>0</v>
      </c>
      <c r="S111" s="26">
        <v>0</v>
      </c>
      <c r="T111" s="26">
        <v>-123.71351623535156</v>
      </c>
      <c r="V111" s="95">
        <v>14</v>
      </c>
      <c r="W111" s="26">
        <v>10</v>
      </c>
      <c r="X111" s="26">
        <v>0</v>
      </c>
      <c r="Y111" s="26">
        <v>1072.3834228515625</v>
      </c>
      <c r="Z111" s="26">
        <v>-4.279739037156105E-2</v>
      </c>
      <c r="AA111" s="26">
        <v>0</v>
      </c>
      <c r="AB111" s="26">
        <v>0</v>
      </c>
      <c r="AC111" s="26">
        <v>0</v>
      </c>
      <c r="AD111" s="26">
        <v>0.12826655805110931</v>
      </c>
      <c r="AF111" s="95">
        <v>14</v>
      </c>
      <c r="AG111" s="26">
        <v>10</v>
      </c>
      <c r="AH111" s="26">
        <v>0</v>
      </c>
      <c r="AI111" s="26">
        <v>1384.208984375</v>
      </c>
      <c r="AJ111" s="26">
        <v>-5.5208474397659302E-2</v>
      </c>
      <c r="AK111" s="26">
        <v>0</v>
      </c>
      <c r="AL111" s="26">
        <v>0</v>
      </c>
      <c r="AM111" s="26">
        <v>0</v>
      </c>
      <c r="AN111" s="26">
        <v>0.16530895233154297</v>
      </c>
      <c r="AP111" s="95">
        <v>14</v>
      </c>
      <c r="AQ111" s="26">
        <v>10</v>
      </c>
      <c r="AR111" s="26">
        <v>0</v>
      </c>
      <c r="AS111" s="26">
        <v>-547.40704345703125</v>
      </c>
      <c r="AT111" s="26">
        <v>-5.8294200897216797</v>
      </c>
      <c r="AU111" s="26">
        <v>0</v>
      </c>
      <c r="AV111" s="26">
        <v>0</v>
      </c>
      <c r="AW111" s="26">
        <v>0</v>
      </c>
      <c r="AX111" s="26">
        <v>34.297714233398437</v>
      </c>
      <c r="AZ111" s="95">
        <v>14</v>
      </c>
      <c r="BA111" s="26">
        <v>10</v>
      </c>
      <c r="BB111" s="26">
        <v>0</v>
      </c>
      <c r="BC111" s="26">
        <v>-620.212646484375</v>
      </c>
      <c r="BD111" s="26">
        <v>-6.6047520637512207</v>
      </c>
      <c r="BE111" s="26">
        <v>0</v>
      </c>
      <c r="BF111" s="26">
        <v>0</v>
      </c>
      <c r="BG111" s="26">
        <v>0</v>
      </c>
      <c r="BH111" s="26">
        <v>38.859420776367188</v>
      </c>
      <c r="BJ111" s="95">
        <v>14</v>
      </c>
      <c r="BK111" s="26">
        <v>10</v>
      </c>
      <c r="BL111" s="26">
        <v>0</v>
      </c>
      <c r="BM111" s="26">
        <v>-644.298583984375</v>
      </c>
      <c r="BN111" s="26">
        <v>-6.8612480163574219</v>
      </c>
      <c r="BO111" s="26">
        <v>0</v>
      </c>
      <c r="BP111" s="26">
        <v>0</v>
      </c>
      <c r="BQ111" s="26">
        <v>0</v>
      </c>
      <c r="BR111" s="26">
        <v>40.368526458740234</v>
      </c>
      <c r="BT111" s="95">
        <v>14</v>
      </c>
      <c r="BU111" s="26">
        <v>10</v>
      </c>
      <c r="BV111" s="26">
        <v>0</v>
      </c>
      <c r="BW111" s="26">
        <v>-644.298583984375</v>
      </c>
      <c r="BX111" s="26">
        <v>-6.8612480163574219</v>
      </c>
      <c r="BY111" s="26">
        <v>0</v>
      </c>
      <c r="BZ111" s="26">
        <v>0</v>
      </c>
      <c r="CA111" s="26">
        <v>0</v>
      </c>
      <c r="CB111" s="26">
        <v>40.368526458740234</v>
      </c>
      <c r="CD111" s="95">
        <v>14</v>
      </c>
      <c r="CE111" s="26">
        <v>10</v>
      </c>
      <c r="CF111" s="26">
        <v>0</v>
      </c>
      <c r="CG111" s="26">
        <v>-644.298583984375</v>
      </c>
      <c r="CH111" s="26">
        <v>-6.8612480163574219</v>
      </c>
      <c r="CI111" s="26">
        <v>0</v>
      </c>
      <c r="CJ111" s="26">
        <v>0</v>
      </c>
      <c r="CK111" s="26">
        <v>0</v>
      </c>
      <c r="CL111" s="26">
        <v>40.368526458740234</v>
      </c>
      <c r="CN111" s="95">
        <v>14</v>
      </c>
      <c r="CO111" s="26">
        <v>10</v>
      </c>
      <c r="CP111" s="26">
        <v>0</v>
      </c>
      <c r="CQ111" s="26">
        <v>-172.65159606933594</v>
      </c>
      <c r="CR111" s="26">
        <v>2.4405443668365479</v>
      </c>
      <c r="CS111" s="26">
        <v>0</v>
      </c>
      <c r="CT111" s="26">
        <v>0</v>
      </c>
      <c r="CU111" s="26">
        <v>0</v>
      </c>
      <c r="CV111" s="26">
        <v>65.446693420410156</v>
      </c>
      <c r="CX111" s="95">
        <v>14</v>
      </c>
      <c r="CY111" s="26">
        <v>10</v>
      </c>
      <c r="CZ111" s="26">
        <v>0</v>
      </c>
      <c r="DA111" s="26">
        <v>-215.81448364257812</v>
      </c>
      <c r="DB111" s="26">
        <v>3.05068039894104</v>
      </c>
      <c r="DC111" s="26">
        <v>0</v>
      </c>
      <c r="DD111" s="26">
        <v>0</v>
      </c>
      <c r="DE111" s="26">
        <v>0</v>
      </c>
      <c r="DF111" s="26">
        <v>81.808364868164063</v>
      </c>
      <c r="DH111" s="95">
        <v>14</v>
      </c>
      <c r="DI111" s="26">
        <v>10</v>
      </c>
      <c r="DJ111" s="26">
        <v>0</v>
      </c>
      <c r="DK111" s="26">
        <v>-761.3302001953125</v>
      </c>
      <c r="DL111" s="26">
        <v>9.1964969635009766</v>
      </c>
      <c r="DM111" s="26">
        <v>0</v>
      </c>
      <c r="DN111" s="26">
        <v>0</v>
      </c>
      <c r="DO111" s="26">
        <v>0</v>
      </c>
      <c r="DP111" s="26">
        <v>284.74163818359375</v>
      </c>
      <c r="DR111" s="95">
        <v>14</v>
      </c>
      <c r="DS111" s="26">
        <v>10</v>
      </c>
      <c r="DT111" s="26">
        <v>0</v>
      </c>
      <c r="DU111" s="26">
        <v>-877.70648193359375</v>
      </c>
      <c r="DV111" s="26">
        <v>10.685015678405762</v>
      </c>
      <c r="DW111" s="26">
        <v>0</v>
      </c>
      <c r="DX111" s="26">
        <v>0</v>
      </c>
      <c r="DY111" s="26">
        <v>0</v>
      </c>
      <c r="DZ111" s="26">
        <v>328.47073364257812</v>
      </c>
      <c r="EB111" s="95">
        <v>14</v>
      </c>
      <c r="EC111" s="26">
        <v>10</v>
      </c>
      <c r="ED111" s="26">
        <v>0</v>
      </c>
      <c r="EE111" s="26">
        <v>-1192.9591064453125</v>
      </c>
      <c r="EF111" s="26">
        <v>15.297858238220215</v>
      </c>
      <c r="EG111" s="26">
        <v>0</v>
      </c>
      <c r="EH111" s="26">
        <v>0</v>
      </c>
      <c r="EI111" s="26">
        <v>0</v>
      </c>
      <c r="EJ111" s="26">
        <v>448.35836791992187</v>
      </c>
      <c r="EL111" s="95">
        <v>14</v>
      </c>
      <c r="EM111" s="26">
        <v>10</v>
      </c>
      <c r="EN111" s="26">
        <v>0</v>
      </c>
      <c r="EO111" s="26">
        <v>-1244.0980224609375</v>
      </c>
      <c r="EP111" s="26">
        <v>16.020769119262695</v>
      </c>
      <c r="EQ111" s="26">
        <v>0</v>
      </c>
      <c r="ER111" s="26">
        <v>0</v>
      </c>
      <c r="ES111" s="26">
        <v>0</v>
      </c>
      <c r="ET111" s="26">
        <v>467.7435302734375</v>
      </c>
      <c r="EV111" s="95">
        <v>14</v>
      </c>
      <c r="EW111" s="26">
        <v>10</v>
      </c>
      <c r="EX111" s="26">
        <v>0</v>
      </c>
      <c r="EY111" s="26">
        <v>-1321.351318359375</v>
      </c>
      <c r="EZ111" s="26">
        <v>16.956268310546875</v>
      </c>
      <c r="FA111" s="26">
        <v>0</v>
      </c>
      <c r="FB111" s="26">
        <v>0</v>
      </c>
      <c r="FC111" s="26">
        <v>0</v>
      </c>
      <c r="FD111" s="26">
        <v>496.64239501953125</v>
      </c>
      <c r="FF111" s="95">
        <v>14</v>
      </c>
      <c r="FG111" s="26">
        <v>10</v>
      </c>
      <c r="FH111" s="26">
        <v>0</v>
      </c>
      <c r="FI111" s="26">
        <v>-1228.5594482421875</v>
      </c>
      <c r="FJ111" s="26">
        <v>15.801119804382324</v>
      </c>
      <c r="FK111" s="26">
        <v>0</v>
      </c>
      <c r="FL111" s="26">
        <v>0</v>
      </c>
      <c r="FM111" s="26">
        <v>0</v>
      </c>
      <c r="FN111" s="26">
        <v>461.85333251953125</v>
      </c>
      <c r="FP111" s="95">
        <v>14</v>
      </c>
      <c r="FQ111" s="26">
        <v>10</v>
      </c>
      <c r="FR111" s="26">
        <v>0</v>
      </c>
      <c r="FS111" s="26">
        <v>-673.763427734375</v>
      </c>
      <c r="FT111" s="26">
        <v>83.262374877929688</v>
      </c>
      <c r="FU111" s="26">
        <v>0</v>
      </c>
      <c r="FV111" s="26">
        <v>0</v>
      </c>
      <c r="FW111" s="26">
        <v>0</v>
      </c>
      <c r="FX111" s="26">
        <v>216.59149169921875</v>
      </c>
      <c r="FZ111" s="95">
        <v>14</v>
      </c>
      <c r="GA111" s="26">
        <v>10</v>
      </c>
      <c r="GB111" s="26">
        <v>0</v>
      </c>
      <c r="GC111" s="26">
        <v>-453.63714599609375</v>
      </c>
      <c r="GD111" s="26">
        <v>51.150020599365234</v>
      </c>
      <c r="GE111" s="26">
        <v>0</v>
      </c>
      <c r="GF111" s="26">
        <v>0</v>
      </c>
      <c r="GG111" s="26">
        <v>0</v>
      </c>
      <c r="GH111" s="26">
        <v>147.63571166992187</v>
      </c>
      <c r="GJ111" s="95">
        <v>14</v>
      </c>
      <c r="GK111" s="26">
        <v>10</v>
      </c>
      <c r="GL111" s="26">
        <v>0</v>
      </c>
      <c r="GM111" s="26">
        <v>-409.24356079101562</v>
      </c>
      <c r="GN111" s="26">
        <v>47.824535369873047</v>
      </c>
      <c r="GO111" s="26">
        <v>0</v>
      </c>
      <c r="GP111" s="26">
        <v>0</v>
      </c>
      <c r="GQ111" s="26">
        <v>0</v>
      </c>
      <c r="GR111" s="26">
        <v>132.57167053222656</v>
      </c>
      <c r="GT111" s="95">
        <v>14</v>
      </c>
      <c r="GU111" s="26">
        <v>10</v>
      </c>
      <c r="GV111" s="26">
        <v>0</v>
      </c>
      <c r="GW111" s="26">
        <v>-124.80999755859375</v>
      </c>
      <c r="GX111" s="26">
        <v>7.544527530670166</v>
      </c>
      <c r="GY111" s="26">
        <v>0</v>
      </c>
      <c r="GZ111" s="26">
        <v>0</v>
      </c>
      <c r="HA111" s="26">
        <v>0</v>
      </c>
      <c r="HB111" s="26">
        <v>46.875774383544922</v>
      </c>
    </row>
    <row r="112" spans="2:210">
      <c r="C112" s="26">
        <v>12</v>
      </c>
      <c r="D112" s="26">
        <v>2.7000000476837158</v>
      </c>
      <c r="E112" s="26">
        <v>-2758.5205078125</v>
      </c>
      <c r="F112" s="26">
        <v>-18.963485717773438</v>
      </c>
      <c r="G112" s="26">
        <v>0</v>
      </c>
      <c r="H112" s="26">
        <v>0</v>
      </c>
      <c r="I112" s="26">
        <v>0</v>
      </c>
      <c r="J112" s="26">
        <v>90.468406677246094</v>
      </c>
      <c r="M112" s="26">
        <v>12</v>
      </c>
      <c r="N112" s="26">
        <v>2.7000000476837158</v>
      </c>
      <c r="O112" s="26">
        <v>-1935.98681640625</v>
      </c>
      <c r="P112" s="26">
        <v>16.668188095092773</v>
      </c>
      <c r="Q112" s="26">
        <v>0</v>
      </c>
      <c r="R112" s="26">
        <v>0</v>
      </c>
      <c r="S112" s="26">
        <v>0</v>
      </c>
      <c r="T112" s="26">
        <v>-78.883712768554688</v>
      </c>
      <c r="W112" s="26">
        <v>12</v>
      </c>
      <c r="X112" s="26">
        <v>2.7000000476837158</v>
      </c>
      <c r="Y112" s="26">
        <v>1050.1492919921875</v>
      </c>
      <c r="Z112" s="26">
        <v>-3.6686047911643982E-2</v>
      </c>
      <c r="AA112" s="26">
        <v>0</v>
      </c>
      <c r="AB112" s="26">
        <v>0</v>
      </c>
      <c r="AC112" s="26">
        <v>0</v>
      </c>
      <c r="AD112" s="26">
        <v>2.141168899834156E-2</v>
      </c>
      <c r="AG112" s="26">
        <v>12</v>
      </c>
      <c r="AH112" s="26">
        <v>2.7000000476837158</v>
      </c>
      <c r="AI112" s="26">
        <v>1355.5096435546875</v>
      </c>
      <c r="AJ112" s="26">
        <v>-4.7319300472736359E-2</v>
      </c>
      <c r="AK112" s="26">
        <v>0</v>
      </c>
      <c r="AL112" s="26">
        <v>0</v>
      </c>
      <c r="AM112" s="26">
        <v>0</v>
      </c>
      <c r="AN112" s="26">
        <v>2.7475092560052872E-2</v>
      </c>
      <c r="AQ112" s="26">
        <v>12</v>
      </c>
      <c r="AR112" s="26">
        <v>2.7000000476837158</v>
      </c>
      <c r="AS112" s="26">
        <v>-534.853515625</v>
      </c>
      <c r="AT112" s="26">
        <v>-5.7544245719909668</v>
      </c>
      <c r="AU112" s="26">
        <v>0</v>
      </c>
      <c r="AV112" s="26">
        <v>0</v>
      </c>
      <c r="AW112" s="26">
        <v>0</v>
      </c>
      <c r="AX112" s="26">
        <v>18.541164398193359</v>
      </c>
      <c r="BA112" s="26">
        <v>12</v>
      </c>
      <c r="BB112" s="26">
        <v>2.7000000476837158</v>
      </c>
      <c r="BC112" s="26">
        <v>-605.989501953125</v>
      </c>
      <c r="BD112" s="26">
        <v>-6.5197815895080566</v>
      </c>
      <c r="BE112" s="26">
        <v>0</v>
      </c>
      <c r="BF112" s="26">
        <v>0</v>
      </c>
      <c r="BG112" s="26">
        <v>0</v>
      </c>
      <c r="BH112" s="26">
        <v>21.007198333740234</v>
      </c>
      <c r="BK112" s="26">
        <v>12</v>
      </c>
      <c r="BL112" s="26">
        <v>2.7000000476837158</v>
      </c>
      <c r="BM112" s="26">
        <v>-629.5230712890625</v>
      </c>
      <c r="BN112" s="26">
        <v>-6.7729778289794922</v>
      </c>
      <c r="BO112" s="26">
        <v>0</v>
      </c>
      <c r="BP112" s="26">
        <v>0</v>
      </c>
      <c r="BQ112" s="26">
        <v>0</v>
      </c>
      <c r="BR112" s="26">
        <v>21.823015213012695</v>
      </c>
      <c r="BU112" s="26">
        <v>12</v>
      </c>
      <c r="BV112" s="26">
        <v>2.7000000476837158</v>
      </c>
      <c r="BW112" s="26">
        <v>-629.5230712890625</v>
      </c>
      <c r="BX112" s="26">
        <v>-6.7729778289794922</v>
      </c>
      <c r="BY112" s="26">
        <v>0</v>
      </c>
      <c r="BZ112" s="26">
        <v>0</v>
      </c>
      <c r="CA112" s="26">
        <v>0</v>
      </c>
      <c r="CB112" s="26">
        <v>21.823015213012695</v>
      </c>
      <c r="CE112" s="26">
        <v>12</v>
      </c>
      <c r="CF112" s="26">
        <v>2.7000000476837158</v>
      </c>
      <c r="CG112" s="26">
        <v>-629.5230712890625</v>
      </c>
      <c r="CH112" s="26">
        <v>-6.7729778289794922</v>
      </c>
      <c r="CI112" s="26">
        <v>0</v>
      </c>
      <c r="CJ112" s="26">
        <v>0</v>
      </c>
      <c r="CK112" s="26">
        <v>0</v>
      </c>
      <c r="CL112" s="26">
        <v>21.823015213012695</v>
      </c>
      <c r="CO112" s="26">
        <v>12</v>
      </c>
      <c r="CP112" s="26">
        <v>2.7000000476837158</v>
      </c>
      <c r="CQ112" s="26">
        <v>-168.69223022460937</v>
      </c>
      <c r="CR112" s="26">
        <v>-1.5898653268814087</v>
      </c>
      <c r="CS112" s="26">
        <v>0</v>
      </c>
      <c r="CT112" s="26">
        <v>0</v>
      </c>
      <c r="CU112" s="26">
        <v>0</v>
      </c>
      <c r="CV112" s="26">
        <v>65.76727294921875</v>
      </c>
      <c r="CY112" s="26">
        <v>12</v>
      </c>
      <c r="CZ112" s="26">
        <v>2.7000000476837158</v>
      </c>
      <c r="DA112" s="26">
        <v>-210.86528015136719</v>
      </c>
      <c r="DB112" s="26">
        <v>-1.987331748008728</v>
      </c>
      <c r="DC112" s="26">
        <v>0</v>
      </c>
      <c r="DD112" s="26">
        <v>0</v>
      </c>
      <c r="DE112" s="26">
        <v>0</v>
      </c>
      <c r="DF112" s="26">
        <v>82.209091186523438</v>
      </c>
      <c r="DI112" s="26">
        <v>12</v>
      </c>
      <c r="DJ112" s="26">
        <v>2.7000000476837158</v>
      </c>
      <c r="DK112" s="26">
        <v>-743.870849609375</v>
      </c>
      <c r="DL112" s="26">
        <v>-7.9013419151306152</v>
      </c>
      <c r="DM112" s="26">
        <v>0</v>
      </c>
      <c r="DN112" s="26">
        <v>0</v>
      </c>
      <c r="DO112" s="26">
        <v>0</v>
      </c>
      <c r="DP112" s="26">
        <v>282.95147705078125</v>
      </c>
      <c r="DS112" s="26">
        <v>12</v>
      </c>
      <c r="DT112" s="26">
        <v>2.7000000476837158</v>
      </c>
      <c r="DU112" s="26">
        <v>-857.57830810546875</v>
      </c>
      <c r="DV112" s="26">
        <v>-9.0620555877685547</v>
      </c>
      <c r="DW112" s="26">
        <v>0</v>
      </c>
      <c r="DX112" s="26">
        <v>0</v>
      </c>
      <c r="DY112" s="26">
        <v>0</v>
      </c>
      <c r="DZ112" s="26">
        <v>326.57632446289062</v>
      </c>
      <c r="EC112" s="26">
        <v>12</v>
      </c>
      <c r="ED112" s="26">
        <v>2.7000000476837158</v>
      </c>
      <c r="EE112" s="26">
        <v>-1165.6014404296875</v>
      </c>
      <c r="EF112" s="26">
        <v>-11.876005172729492</v>
      </c>
      <c r="EG112" s="26">
        <v>0</v>
      </c>
      <c r="EH112" s="26">
        <v>0</v>
      </c>
      <c r="EI112" s="26">
        <v>0</v>
      </c>
      <c r="EJ112" s="26">
        <v>447.36965942382812</v>
      </c>
      <c r="EM112" s="26">
        <v>12</v>
      </c>
      <c r="EN112" s="26">
        <v>2.7000000476837158</v>
      </c>
      <c r="EO112" s="26">
        <v>-1215.5675048828125</v>
      </c>
      <c r="EP112" s="26">
        <v>-12.346901893615723</v>
      </c>
      <c r="EQ112" s="26">
        <v>0</v>
      </c>
      <c r="ER112" s="26">
        <v>0</v>
      </c>
      <c r="ES112" s="26">
        <v>0</v>
      </c>
      <c r="ET112" s="26">
        <v>466.84988403320312</v>
      </c>
      <c r="EW112" s="26">
        <v>12</v>
      </c>
      <c r="EX112" s="26">
        <v>2.7000000476837158</v>
      </c>
      <c r="EY112" s="26">
        <v>-1291.0491943359375</v>
      </c>
      <c r="EZ112" s="26">
        <v>-13.147344589233398</v>
      </c>
      <c r="FA112" s="26">
        <v>0</v>
      </c>
      <c r="FB112" s="26">
        <v>0</v>
      </c>
      <c r="FC112" s="26">
        <v>0</v>
      </c>
      <c r="FD112" s="26">
        <v>495.57180786132812</v>
      </c>
      <c r="FG112" s="26">
        <v>12</v>
      </c>
      <c r="FH112" s="26">
        <v>2.7000000476837158</v>
      </c>
      <c r="FI112" s="26">
        <v>-1200.38525390625</v>
      </c>
      <c r="FJ112" s="26">
        <v>-12.203814506530762</v>
      </c>
      <c r="FK112" s="26">
        <v>0</v>
      </c>
      <c r="FL112" s="26">
        <v>0</v>
      </c>
      <c r="FM112" s="26">
        <v>0</v>
      </c>
      <c r="FN112" s="26">
        <v>460.93081665039062</v>
      </c>
      <c r="FQ112" s="26">
        <v>12</v>
      </c>
      <c r="FR112" s="26">
        <v>2.7000000476837158</v>
      </c>
      <c r="FS112" s="26">
        <v>-659.7940673828125</v>
      </c>
      <c r="FT112" s="26">
        <v>54.568382263183594</v>
      </c>
      <c r="FU112" s="26">
        <v>0</v>
      </c>
      <c r="FV112" s="26">
        <v>0</v>
      </c>
      <c r="FW112" s="26">
        <v>0</v>
      </c>
      <c r="FX112" s="26">
        <v>398.6873779296875</v>
      </c>
      <c r="GA112" s="26">
        <v>12</v>
      </c>
      <c r="GB112" s="26">
        <v>2.7000000476837158</v>
      </c>
      <c r="GC112" s="26">
        <v>-444.23171997070312</v>
      </c>
      <c r="GD112" s="26">
        <v>32.9970703125</v>
      </c>
      <c r="GE112" s="26">
        <v>0</v>
      </c>
      <c r="GF112" s="26">
        <v>0</v>
      </c>
      <c r="GG112" s="26">
        <v>0</v>
      </c>
      <c r="GH112" s="26">
        <v>258.69488525390625</v>
      </c>
      <c r="GK112" s="26">
        <v>12</v>
      </c>
      <c r="GL112" s="26">
        <v>2.7000000476837158</v>
      </c>
      <c r="GM112" s="26">
        <v>-400.758544921875</v>
      </c>
      <c r="GN112" s="26">
        <v>31.048824310302734</v>
      </c>
      <c r="GO112" s="26">
        <v>0</v>
      </c>
      <c r="GP112" s="26">
        <v>0</v>
      </c>
      <c r="GQ112" s="26">
        <v>0</v>
      </c>
      <c r="GR112" s="26">
        <v>236.71279907226562</v>
      </c>
      <c r="GU112" s="26">
        <v>12</v>
      </c>
      <c r="GV112" s="26">
        <v>2.7000000476837158</v>
      </c>
      <c r="GW112" s="26">
        <v>-121.94776153564453</v>
      </c>
      <c r="GX112" s="26">
        <v>2.8742702007293701</v>
      </c>
      <c r="GY112" s="26">
        <v>0</v>
      </c>
      <c r="GZ112" s="26">
        <v>0</v>
      </c>
      <c r="HA112" s="26">
        <v>0</v>
      </c>
      <c r="HB112" s="26">
        <v>60.090969085693359</v>
      </c>
    </row>
    <row r="113" spans="2:210">
      <c r="B113" s="95">
        <v>15</v>
      </c>
      <c r="C113" s="26">
        <v>12</v>
      </c>
      <c r="D113" s="26">
        <v>0</v>
      </c>
      <c r="E113" s="26">
        <v>-2758.5205078125</v>
      </c>
      <c r="F113" s="26">
        <v>-18.963485717773438</v>
      </c>
      <c r="G113" s="26">
        <v>0</v>
      </c>
      <c r="H113" s="26">
        <v>0</v>
      </c>
      <c r="I113" s="26">
        <v>0</v>
      </c>
      <c r="J113" s="26">
        <v>90.468406677246094</v>
      </c>
      <c r="L113" s="95">
        <v>15</v>
      </c>
      <c r="M113" s="26">
        <v>12</v>
      </c>
      <c r="N113" s="26">
        <v>0</v>
      </c>
      <c r="O113" s="26">
        <v>-1935.98681640625</v>
      </c>
      <c r="P113" s="26">
        <v>16.668188095092773</v>
      </c>
      <c r="Q113" s="26">
        <v>0</v>
      </c>
      <c r="R113" s="26">
        <v>0</v>
      </c>
      <c r="S113" s="26">
        <v>0</v>
      </c>
      <c r="T113" s="26">
        <v>-78.883712768554688</v>
      </c>
      <c r="V113" s="95">
        <v>15</v>
      </c>
      <c r="W113" s="26">
        <v>12</v>
      </c>
      <c r="X113" s="26">
        <v>0</v>
      </c>
      <c r="Y113" s="26">
        <v>1050.1492919921875</v>
      </c>
      <c r="Z113" s="26">
        <v>-3.6686047911643982E-2</v>
      </c>
      <c r="AA113" s="26">
        <v>0</v>
      </c>
      <c r="AB113" s="26">
        <v>0</v>
      </c>
      <c r="AC113" s="26">
        <v>0</v>
      </c>
      <c r="AD113" s="26">
        <v>2.141168899834156E-2</v>
      </c>
      <c r="AF113" s="95">
        <v>15</v>
      </c>
      <c r="AG113" s="26">
        <v>12</v>
      </c>
      <c r="AH113" s="26">
        <v>0</v>
      </c>
      <c r="AI113" s="26">
        <v>1355.5096435546875</v>
      </c>
      <c r="AJ113" s="26">
        <v>-4.7319300472736359E-2</v>
      </c>
      <c r="AK113" s="26">
        <v>0</v>
      </c>
      <c r="AL113" s="26">
        <v>0</v>
      </c>
      <c r="AM113" s="26">
        <v>0</v>
      </c>
      <c r="AN113" s="26">
        <v>2.7475092560052872E-2</v>
      </c>
      <c r="AP113" s="95">
        <v>15</v>
      </c>
      <c r="AQ113" s="26">
        <v>12</v>
      </c>
      <c r="AR113" s="26">
        <v>0</v>
      </c>
      <c r="AS113" s="26">
        <v>-534.853515625</v>
      </c>
      <c r="AT113" s="26">
        <v>-5.7544245719909668</v>
      </c>
      <c r="AU113" s="26">
        <v>0</v>
      </c>
      <c r="AV113" s="26">
        <v>0</v>
      </c>
      <c r="AW113" s="26">
        <v>0</v>
      </c>
      <c r="AX113" s="26">
        <v>18.541164398193359</v>
      </c>
      <c r="AZ113" s="95">
        <v>15</v>
      </c>
      <c r="BA113" s="26">
        <v>12</v>
      </c>
      <c r="BB113" s="26">
        <v>0</v>
      </c>
      <c r="BC113" s="26">
        <v>-605.989501953125</v>
      </c>
      <c r="BD113" s="26">
        <v>-6.5197815895080566</v>
      </c>
      <c r="BE113" s="26">
        <v>0</v>
      </c>
      <c r="BF113" s="26">
        <v>0</v>
      </c>
      <c r="BG113" s="26">
        <v>0</v>
      </c>
      <c r="BH113" s="26">
        <v>21.007198333740234</v>
      </c>
      <c r="BJ113" s="95">
        <v>15</v>
      </c>
      <c r="BK113" s="26">
        <v>12</v>
      </c>
      <c r="BL113" s="26">
        <v>0</v>
      </c>
      <c r="BM113" s="26">
        <v>-629.5230712890625</v>
      </c>
      <c r="BN113" s="26">
        <v>-6.7729778289794922</v>
      </c>
      <c r="BO113" s="26">
        <v>0</v>
      </c>
      <c r="BP113" s="26">
        <v>0</v>
      </c>
      <c r="BQ113" s="26">
        <v>0</v>
      </c>
      <c r="BR113" s="26">
        <v>21.823015213012695</v>
      </c>
      <c r="BT113" s="95">
        <v>15</v>
      </c>
      <c r="BU113" s="26">
        <v>12</v>
      </c>
      <c r="BV113" s="26">
        <v>0</v>
      </c>
      <c r="BW113" s="26">
        <v>-629.5230712890625</v>
      </c>
      <c r="BX113" s="26">
        <v>-6.7729778289794922</v>
      </c>
      <c r="BY113" s="26">
        <v>0</v>
      </c>
      <c r="BZ113" s="26">
        <v>0</v>
      </c>
      <c r="CA113" s="26">
        <v>0</v>
      </c>
      <c r="CB113" s="26">
        <v>21.823015213012695</v>
      </c>
      <c r="CD113" s="95">
        <v>15</v>
      </c>
      <c r="CE113" s="26">
        <v>12</v>
      </c>
      <c r="CF113" s="26">
        <v>0</v>
      </c>
      <c r="CG113" s="26">
        <v>-629.5230712890625</v>
      </c>
      <c r="CH113" s="26">
        <v>-6.7729778289794922</v>
      </c>
      <c r="CI113" s="26">
        <v>0</v>
      </c>
      <c r="CJ113" s="26">
        <v>0</v>
      </c>
      <c r="CK113" s="26">
        <v>0</v>
      </c>
      <c r="CL113" s="26">
        <v>21.823015213012695</v>
      </c>
      <c r="CN113" s="95">
        <v>15</v>
      </c>
      <c r="CO113" s="26">
        <v>12</v>
      </c>
      <c r="CP113" s="26">
        <v>0</v>
      </c>
      <c r="CQ113" s="26">
        <v>-168.69223022460937</v>
      </c>
      <c r="CR113" s="26">
        <v>-1.5898653268814087</v>
      </c>
      <c r="CS113" s="26">
        <v>0</v>
      </c>
      <c r="CT113" s="26">
        <v>0</v>
      </c>
      <c r="CU113" s="26">
        <v>0</v>
      </c>
      <c r="CV113" s="26">
        <v>65.76727294921875</v>
      </c>
      <c r="CX113" s="95">
        <v>15</v>
      </c>
      <c r="CY113" s="26">
        <v>12</v>
      </c>
      <c r="CZ113" s="26">
        <v>0</v>
      </c>
      <c r="DA113" s="26">
        <v>-210.86528015136719</v>
      </c>
      <c r="DB113" s="26">
        <v>-1.987331748008728</v>
      </c>
      <c r="DC113" s="26">
        <v>0</v>
      </c>
      <c r="DD113" s="26">
        <v>0</v>
      </c>
      <c r="DE113" s="26">
        <v>0</v>
      </c>
      <c r="DF113" s="26">
        <v>82.209091186523438</v>
      </c>
      <c r="DH113" s="95">
        <v>15</v>
      </c>
      <c r="DI113" s="26">
        <v>12</v>
      </c>
      <c r="DJ113" s="26">
        <v>0</v>
      </c>
      <c r="DK113" s="26">
        <v>-743.870849609375</v>
      </c>
      <c r="DL113" s="26">
        <v>-7.9013419151306152</v>
      </c>
      <c r="DM113" s="26">
        <v>0</v>
      </c>
      <c r="DN113" s="26">
        <v>0</v>
      </c>
      <c r="DO113" s="26">
        <v>0</v>
      </c>
      <c r="DP113" s="26">
        <v>282.95147705078125</v>
      </c>
      <c r="DR113" s="95">
        <v>15</v>
      </c>
      <c r="DS113" s="26">
        <v>12</v>
      </c>
      <c r="DT113" s="26">
        <v>0</v>
      </c>
      <c r="DU113" s="26">
        <v>-857.57830810546875</v>
      </c>
      <c r="DV113" s="26">
        <v>-9.0620555877685547</v>
      </c>
      <c r="DW113" s="26">
        <v>0</v>
      </c>
      <c r="DX113" s="26">
        <v>0</v>
      </c>
      <c r="DY113" s="26">
        <v>0</v>
      </c>
      <c r="DZ113" s="26">
        <v>326.57632446289062</v>
      </c>
      <c r="EB113" s="95">
        <v>15</v>
      </c>
      <c r="EC113" s="26">
        <v>12</v>
      </c>
      <c r="ED113" s="26">
        <v>0</v>
      </c>
      <c r="EE113" s="26">
        <v>-1165.6014404296875</v>
      </c>
      <c r="EF113" s="26">
        <v>-11.876005172729492</v>
      </c>
      <c r="EG113" s="26">
        <v>0</v>
      </c>
      <c r="EH113" s="26">
        <v>0</v>
      </c>
      <c r="EI113" s="26">
        <v>0</v>
      </c>
      <c r="EJ113" s="26">
        <v>447.36965942382812</v>
      </c>
      <c r="EL113" s="95">
        <v>15</v>
      </c>
      <c r="EM113" s="26">
        <v>12</v>
      </c>
      <c r="EN113" s="26">
        <v>0</v>
      </c>
      <c r="EO113" s="26">
        <v>-1215.5675048828125</v>
      </c>
      <c r="EP113" s="26">
        <v>-12.346901893615723</v>
      </c>
      <c r="EQ113" s="26">
        <v>0</v>
      </c>
      <c r="ER113" s="26">
        <v>0</v>
      </c>
      <c r="ES113" s="26">
        <v>0</v>
      </c>
      <c r="ET113" s="26">
        <v>466.84988403320312</v>
      </c>
      <c r="EV113" s="95">
        <v>15</v>
      </c>
      <c r="EW113" s="26">
        <v>12</v>
      </c>
      <c r="EX113" s="26">
        <v>0</v>
      </c>
      <c r="EY113" s="26">
        <v>-1291.0491943359375</v>
      </c>
      <c r="EZ113" s="26">
        <v>-13.147344589233398</v>
      </c>
      <c r="FA113" s="26">
        <v>0</v>
      </c>
      <c r="FB113" s="26">
        <v>0</v>
      </c>
      <c r="FC113" s="26">
        <v>0</v>
      </c>
      <c r="FD113" s="26">
        <v>495.57180786132812</v>
      </c>
      <c r="FF113" s="95">
        <v>15</v>
      </c>
      <c r="FG113" s="26">
        <v>12</v>
      </c>
      <c r="FH113" s="26">
        <v>0</v>
      </c>
      <c r="FI113" s="26">
        <v>-1200.38525390625</v>
      </c>
      <c r="FJ113" s="26">
        <v>-12.203814506530762</v>
      </c>
      <c r="FK113" s="26">
        <v>0</v>
      </c>
      <c r="FL113" s="26">
        <v>0</v>
      </c>
      <c r="FM113" s="26">
        <v>0</v>
      </c>
      <c r="FN113" s="26">
        <v>460.93081665039062</v>
      </c>
      <c r="FP113" s="95">
        <v>15</v>
      </c>
      <c r="FQ113" s="26">
        <v>12</v>
      </c>
      <c r="FR113" s="26">
        <v>0</v>
      </c>
      <c r="FS113" s="26">
        <v>-659.7940673828125</v>
      </c>
      <c r="FT113" s="26">
        <v>54.568382263183594</v>
      </c>
      <c r="FU113" s="26">
        <v>0</v>
      </c>
      <c r="FV113" s="26">
        <v>0</v>
      </c>
      <c r="FW113" s="26">
        <v>0</v>
      </c>
      <c r="FX113" s="26">
        <v>398.6873779296875</v>
      </c>
      <c r="FZ113" s="95">
        <v>15</v>
      </c>
      <c r="GA113" s="26">
        <v>12</v>
      </c>
      <c r="GB113" s="26">
        <v>0</v>
      </c>
      <c r="GC113" s="26">
        <v>-444.23171997070312</v>
      </c>
      <c r="GD113" s="26">
        <v>32.9970703125</v>
      </c>
      <c r="GE113" s="26">
        <v>0</v>
      </c>
      <c r="GF113" s="26">
        <v>0</v>
      </c>
      <c r="GG113" s="26">
        <v>0</v>
      </c>
      <c r="GH113" s="26">
        <v>258.69488525390625</v>
      </c>
      <c r="GJ113" s="95">
        <v>15</v>
      </c>
      <c r="GK113" s="26">
        <v>12</v>
      </c>
      <c r="GL113" s="26">
        <v>0</v>
      </c>
      <c r="GM113" s="26">
        <v>-400.758544921875</v>
      </c>
      <c r="GN113" s="26">
        <v>31.048824310302734</v>
      </c>
      <c r="GO113" s="26">
        <v>0</v>
      </c>
      <c r="GP113" s="26">
        <v>0</v>
      </c>
      <c r="GQ113" s="26">
        <v>0</v>
      </c>
      <c r="GR113" s="26">
        <v>236.71279907226562</v>
      </c>
      <c r="GT113" s="95">
        <v>15</v>
      </c>
      <c r="GU113" s="26">
        <v>12</v>
      </c>
      <c r="GV113" s="26">
        <v>0</v>
      </c>
      <c r="GW113" s="26">
        <v>-121.94776153564453</v>
      </c>
      <c r="GX113" s="26">
        <v>2.8742702007293701</v>
      </c>
      <c r="GY113" s="26">
        <v>0</v>
      </c>
      <c r="GZ113" s="26">
        <v>0</v>
      </c>
      <c r="HA113" s="26">
        <v>0</v>
      </c>
      <c r="HB113" s="26">
        <v>60.090969085693359</v>
      </c>
    </row>
    <row r="114" spans="2:210">
      <c r="C114" s="26">
        <v>14</v>
      </c>
      <c r="D114" s="26">
        <v>2.7999999523162842</v>
      </c>
      <c r="E114" s="26">
        <v>-2396.675537109375</v>
      </c>
      <c r="F114" s="26">
        <v>-15.175060272216797</v>
      </c>
      <c r="G114" s="26">
        <v>0</v>
      </c>
      <c r="H114" s="26">
        <v>0</v>
      </c>
      <c r="I114" s="26">
        <v>0</v>
      </c>
      <c r="J114" s="26">
        <v>41.953163146972656</v>
      </c>
      <c r="M114" s="26">
        <v>14</v>
      </c>
      <c r="N114" s="26">
        <v>2.7999999523162842</v>
      </c>
      <c r="O114" s="26">
        <v>-1682.0364990234375</v>
      </c>
      <c r="P114" s="26">
        <v>13.26589298248291</v>
      </c>
      <c r="Q114" s="26">
        <v>0</v>
      </c>
      <c r="R114" s="26">
        <v>0</v>
      </c>
      <c r="S114" s="26">
        <v>0</v>
      </c>
      <c r="T114" s="26">
        <v>-36.362758636474609</v>
      </c>
      <c r="W114" s="26">
        <v>14</v>
      </c>
      <c r="X114" s="26">
        <v>2.7999999523162842</v>
      </c>
      <c r="Y114" s="26">
        <v>912.39752197265625</v>
      </c>
      <c r="Z114" s="26">
        <v>-1.1829926632344723E-2</v>
      </c>
      <c r="AA114" s="26">
        <v>0</v>
      </c>
      <c r="AB114" s="26">
        <v>0</v>
      </c>
      <c r="AC114" s="26">
        <v>0</v>
      </c>
      <c r="AD114" s="26">
        <v>-4.2886372655630112E-2</v>
      </c>
      <c r="AG114" s="26">
        <v>14</v>
      </c>
      <c r="AH114" s="26">
        <v>2.7999999523162842</v>
      </c>
      <c r="AI114" s="26">
        <v>1177.70263671875</v>
      </c>
      <c r="AJ114" s="26">
        <v>-1.5242488123476505E-2</v>
      </c>
      <c r="AK114" s="26">
        <v>0</v>
      </c>
      <c r="AL114" s="26">
        <v>0</v>
      </c>
      <c r="AM114" s="26">
        <v>0</v>
      </c>
      <c r="AN114" s="26">
        <v>-5.5431962013244629E-2</v>
      </c>
      <c r="AQ114" s="26">
        <v>14</v>
      </c>
      <c r="AR114" s="26">
        <v>2.7999999523162842</v>
      </c>
      <c r="AS114" s="26">
        <v>-460.101318359375</v>
      </c>
      <c r="AT114" s="26">
        <v>-3.65268874168396</v>
      </c>
      <c r="AU114" s="26">
        <v>0</v>
      </c>
      <c r="AV114" s="26">
        <v>0</v>
      </c>
      <c r="AW114" s="26">
        <v>0</v>
      </c>
      <c r="AX114" s="26">
        <v>5.3374977111816406</v>
      </c>
      <c r="BA114" s="26">
        <v>14</v>
      </c>
      <c r="BB114" s="26">
        <v>2.7999999523162842</v>
      </c>
      <c r="BC114" s="26">
        <v>-521.295166015625</v>
      </c>
      <c r="BD114" s="26">
        <v>-4.1385083198547363</v>
      </c>
      <c r="BE114" s="26">
        <v>0</v>
      </c>
      <c r="BF114" s="26">
        <v>0</v>
      </c>
      <c r="BG114" s="26">
        <v>0</v>
      </c>
      <c r="BH114" s="26">
        <v>6.0474023818969727</v>
      </c>
      <c r="BK114" s="26">
        <v>14</v>
      </c>
      <c r="BL114" s="26">
        <v>2.7999999523162842</v>
      </c>
      <c r="BM114" s="26">
        <v>-541.5396728515625</v>
      </c>
      <c r="BN114" s="26">
        <v>-4.299227237701416</v>
      </c>
      <c r="BO114" s="26">
        <v>0</v>
      </c>
      <c r="BP114" s="26">
        <v>0</v>
      </c>
      <c r="BQ114" s="26">
        <v>0</v>
      </c>
      <c r="BR114" s="26">
        <v>6.2822537422180176</v>
      </c>
      <c r="BU114" s="26">
        <v>14</v>
      </c>
      <c r="BV114" s="26">
        <v>2.7999999523162842</v>
      </c>
      <c r="BW114" s="26">
        <v>-541.5396728515625</v>
      </c>
      <c r="BX114" s="26">
        <v>-4.299227237701416</v>
      </c>
      <c r="BY114" s="26">
        <v>0</v>
      </c>
      <c r="BZ114" s="26">
        <v>0</v>
      </c>
      <c r="CA114" s="26">
        <v>0</v>
      </c>
      <c r="CB114" s="26">
        <v>6.2822537422180176</v>
      </c>
      <c r="CE114" s="26">
        <v>14</v>
      </c>
      <c r="CF114" s="26">
        <v>2.7999999523162842</v>
      </c>
      <c r="CG114" s="26">
        <v>-541.5396728515625</v>
      </c>
      <c r="CH114" s="26">
        <v>-4.299227237701416</v>
      </c>
      <c r="CI114" s="26">
        <v>0</v>
      </c>
      <c r="CJ114" s="26">
        <v>0</v>
      </c>
      <c r="CK114" s="26">
        <v>0</v>
      </c>
      <c r="CL114" s="26">
        <v>6.2822537422180176</v>
      </c>
      <c r="CO114" s="26">
        <v>14</v>
      </c>
      <c r="CP114" s="26">
        <v>2.7999999523162842</v>
      </c>
      <c r="CQ114" s="26">
        <v>-145.11546325683594</v>
      </c>
      <c r="CR114" s="26">
        <v>-9.3146066665649414</v>
      </c>
      <c r="CS114" s="26">
        <v>0</v>
      </c>
      <c r="CT114" s="26">
        <v>0</v>
      </c>
      <c r="CU114" s="26">
        <v>0</v>
      </c>
      <c r="CV114" s="26">
        <v>47.469684600830078</v>
      </c>
      <c r="CY114" s="26">
        <v>14</v>
      </c>
      <c r="CZ114" s="26">
        <v>2.7999999523162842</v>
      </c>
      <c r="DA114" s="26">
        <v>-181.39433288574219</v>
      </c>
      <c r="DB114" s="26">
        <v>-11.643258094787598</v>
      </c>
      <c r="DC114" s="26">
        <v>0</v>
      </c>
      <c r="DD114" s="26">
        <v>0</v>
      </c>
      <c r="DE114" s="26">
        <v>0</v>
      </c>
      <c r="DF114" s="26">
        <v>59.337104797363281</v>
      </c>
      <c r="DI114" s="26">
        <v>14</v>
      </c>
      <c r="DJ114" s="26">
        <v>2.7999999523162842</v>
      </c>
      <c r="DK114" s="26">
        <v>-639.906005859375</v>
      </c>
      <c r="DL114" s="26">
        <v>-40.279708862304688</v>
      </c>
      <c r="DM114" s="26">
        <v>0</v>
      </c>
      <c r="DN114" s="26">
        <v>0</v>
      </c>
      <c r="DO114" s="26">
        <v>0</v>
      </c>
      <c r="DP114" s="26">
        <v>202.62046813964844</v>
      </c>
      <c r="DS114" s="26">
        <v>14</v>
      </c>
      <c r="DT114" s="26">
        <v>2.7999999523162842</v>
      </c>
      <c r="DU114" s="26">
        <v>-737.72149658203125</v>
      </c>
      <c r="DV114" s="26">
        <v>-46.478816986083984</v>
      </c>
      <c r="DW114" s="26">
        <v>0</v>
      </c>
      <c r="DX114" s="26">
        <v>0</v>
      </c>
      <c r="DY114" s="26">
        <v>0</v>
      </c>
      <c r="DZ114" s="26">
        <v>233.94721984863281</v>
      </c>
      <c r="EC114" s="26">
        <v>14</v>
      </c>
      <c r="ED114" s="26">
        <v>2.7999999523162842</v>
      </c>
      <c r="EE114" s="26">
        <v>-1002.6946411132812</v>
      </c>
      <c r="EF114" s="26">
        <v>-63.56622314453125</v>
      </c>
      <c r="EG114" s="26">
        <v>0</v>
      </c>
      <c r="EH114" s="26">
        <v>0</v>
      </c>
      <c r="EI114" s="26">
        <v>0</v>
      </c>
      <c r="EJ114" s="26">
        <v>321.294677734375</v>
      </c>
      <c r="EM114" s="26">
        <v>14</v>
      </c>
      <c r="EN114" s="26">
        <v>2.7999999523162842</v>
      </c>
      <c r="EO114" s="26">
        <v>-1045.6773681640625</v>
      </c>
      <c r="EP114" s="26">
        <v>-66.3251953125</v>
      </c>
      <c r="EQ114" s="26">
        <v>0</v>
      </c>
      <c r="ER114" s="26">
        <v>0</v>
      </c>
      <c r="ES114" s="26">
        <v>0</v>
      </c>
      <c r="ET114" s="26">
        <v>335.35516357421875</v>
      </c>
      <c r="EW114" s="26">
        <v>14</v>
      </c>
      <c r="EX114" s="26">
        <v>2.7999999523162842</v>
      </c>
      <c r="EY114" s="26">
        <v>-1110.609619140625</v>
      </c>
      <c r="EZ114" s="26">
        <v>-70.413612365722656</v>
      </c>
      <c r="FA114" s="26">
        <v>0</v>
      </c>
      <c r="FB114" s="26">
        <v>0</v>
      </c>
      <c r="FC114" s="26">
        <v>0</v>
      </c>
      <c r="FD114" s="26">
        <v>355.92529296875</v>
      </c>
      <c r="FG114" s="26">
        <v>14</v>
      </c>
      <c r="FH114" s="26">
        <v>2.7999999523162842</v>
      </c>
      <c r="FI114" s="26">
        <v>-1032.6170654296875</v>
      </c>
      <c r="FJ114" s="26">
        <v>-65.486885070800781</v>
      </c>
      <c r="FK114" s="26">
        <v>0</v>
      </c>
      <c r="FL114" s="26">
        <v>0</v>
      </c>
      <c r="FM114" s="26">
        <v>0</v>
      </c>
      <c r="FN114" s="26">
        <v>331.0828857421875</v>
      </c>
      <c r="FQ114" s="26">
        <v>14</v>
      </c>
      <c r="FR114" s="26">
        <v>2.7999999523162842</v>
      </c>
      <c r="FS114" s="26">
        <v>-573.24652099609375</v>
      </c>
      <c r="FT114" s="26">
        <v>-31.53016471862793</v>
      </c>
      <c r="FU114" s="26">
        <v>0</v>
      </c>
      <c r="FV114" s="26">
        <v>0</v>
      </c>
      <c r="FW114" s="26">
        <v>0</v>
      </c>
      <c r="FX114" s="26">
        <v>411.48043823242187</v>
      </c>
      <c r="GA114" s="26">
        <v>14</v>
      </c>
      <c r="GB114" s="26">
        <v>2.7999999523162842</v>
      </c>
      <c r="GC114" s="26">
        <v>-385.96026611328125</v>
      </c>
      <c r="GD114" s="26">
        <v>-21.075637817382812</v>
      </c>
      <c r="GE114" s="26">
        <v>0</v>
      </c>
      <c r="GF114" s="26">
        <v>0</v>
      </c>
      <c r="GG114" s="26">
        <v>0</v>
      </c>
      <c r="GH114" s="26">
        <v>263.04177856445312</v>
      </c>
      <c r="GK114" s="26">
        <v>14</v>
      </c>
      <c r="GL114" s="26">
        <v>2.7999999523162842</v>
      </c>
      <c r="GM114" s="26">
        <v>-348.18963623046875</v>
      </c>
      <c r="GN114" s="26">
        <v>-19.065855026245117</v>
      </c>
      <c r="GO114" s="26">
        <v>0</v>
      </c>
      <c r="GP114" s="26">
        <v>0</v>
      </c>
      <c r="GQ114" s="26">
        <v>0</v>
      </c>
      <c r="GR114" s="26">
        <v>242.09382629394531</v>
      </c>
      <c r="GU114" s="26">
        <v>14</v>
      </c>
      <c r="GV114" s="26">
        <v>2.7999999523162842</v>
      </c>
      <c r="GW114" s="26">
        <v>-104.90410614013672</v>
      </c>
      <c r="GX114" s="26">
        <v>-7.6734504699707031</v>
      </c>
      <c r="GY114" s="26">
        <v>0</v>
      </c>
      <c r="GZ114" s="26">
        <v>0</v>
      </c>
      <c r="HA114" s="26">
        <v>0</v>
      </c>
      <c r="HB114" s="26">
        <v>49.933029174804688</v>
      </c>
    </row>
    <row r="115" spans="2:210">
      <c r="B115" s="26">
        <v>16</v>
      </c>
      <c r="C115" s="26">
        <v>14</v>
      </c>
      <c r="D115" s="26">
        <v>0</v>
      </c>
      <c r="E115" s="26">
        <v>-2396.675537109375</v>
      </c>
      <c r="F115" s="26">
        <v>-15.175060272216797</v>
      </c>
      <c r="G115" s="26">
        <v>0</v>
      </c>
      <c r="H115" s="26">
        <v>0</v>
      </c>
      <c r="I115" s="26">
        <v>0</v>
      </c>
      <c r="J115" s="26">
        <v>41.953163146972656</v>
      </c>
      <c r="L115" s="26">
        <v>16</v>
      </c>
      <c r="M115" s="26">
        <v>14</v>
      </c>
      <c r="N115" s="26">
        <v>0</v>
      </c>
      <c r="O115" s="26">
        <v>-1682.0364990234375</v>
      </c>
      <c r="P115" s="26">
        <v>13.26589298248291</v>
      </c>
      <c r="Q115" s="26">
        <v>0</v>
      </c>
      <c r="R115" s="26">
        <v>0</v>
      </c>
      <c r="S115" s="26">
        <v>0</v>
      </c>
      <c r="T115" s="26">
        <v>-36.362758636474609</v>
      </c>
      <c r="V115" s="26">
        <v>16</v>
      </c>
      <c r="W115" s="26">
        <v>14</v>
      </c>
      <c r="X115" s="26">
        <v>0</v>
      </c>
      <c r="Y115" s="26">
        <v>912.39752197265625</v>
      </c>
      <c r="Z115" s="26">
        <v>-1.1829925701022148E-2</v>
      </c>
      <c r="AA115" s="26">
        <v>0</v>
      </c>
      <c r="AB115" s="26">
        <v>0</v>
      </c>
      <c r="AC115" s="26">
        <v>0</v>
      </c>
      <c r="AD115" s="26">
        <v>-4.2886372655630112E-2</v>
      </c>
      <c r="AF115" s="26">
        <v>16</v>
      </c>
      <c r="AG115" s="26">
        <v>14</v>
      </c>
      <c r="AH115" s="26">
        <v>0</v>
      </c>
      <c r="AI115" s="26">
        <v>1177.70263671875</v>
      </c>
      <c r="AJ115" s="26">
        <v>-1.5242487192153931E-2</v>
      </c>
      <c r="AK115" s="26">
        <v>0</v>
      </c>
      <c r="AL115" s="26">
        <v>0</v>
      </c>
      <c r="AM115" s="26">
        <v>0</v>
      </c>
      <c r="AN115" s="26">
        <v>-5.5431962013244629E-2</v>
      </c>
      <c r="AP115" s="26">
        <v>16</v>
      </c>
      <c r="AQ115" s="26">
        <v>14</v>
      </c>
      <c r="AR115" s="26">
        <v>0</v>
      </c>
      <c r="AS115" s="26">
        <v>-460.101318359375</v>
      </c>
      <c r="AT115" s="26">
        <v>-3.65268874168396</v>
      </c>
      <c r="AU115" s="26">
        <v>0</v>
      </c>
      <c r="AV115" s="26">
        <v>0</v>
      </c>
      <c r="AW115" s="26">
        <v>0</v>
      </c>
      <c r="AX115" s="26">
        <v>5.3374977111816406</v>
      </c>
      <c r="AZ115" s="26">
        <v>16</v>
      </c>
      <c r="BA115" s="26">
        <v>14</v>
      </c>
      <c r="BB115" s="26">
        <v>0</v>
      </c>
      <c r="BC115" s="26">
        <v>-521.295166015625</v>
      </c>
      <c r="BD115" s="26">
        <v>-4.1385083198547363</v>
      </c>
      <c r="BE115" s="26">
        <v>0</v>
      </c>
      <c r="BF115" s="26">
        <v>0</v>
      </c>
      <c r="BG115" s="26">
        <v>0</v>
      </c>
      <c r="BH115" s="26">
        <v>6.0474023818969727</v>
      </c>
      <c r="BJ115" s="26">
        <v>16</v>
      </c>
      <c r="BK115" s="26">
        <v>14</v>
      </c>
      <c r="BL115" s="26">
        <v>0</v>
      </c>
      <c r="BM115" s="26">
        <v>-541.5396728515625</v>
      </c>
      <c r="BN115" s="26">
        <v>-4.299227237701416</v>
      </c>
      <c r="BO115" s="26">
        <v>0</v>
      </c>
      <c r="BP115" s="26">
        <v>0</v>
      </c>
      <c r="BQ115" s="26">
        <v>0</v>
      </c>
      <c r="BR115" s="26">
        <v>6.2822537422180176</v>
      </c>
      <c r="BT115" s="26">
        <v>16</v>
      </c>
      <c r="BU115" s="26">
        <v>14</v>
      </c>
      <c r="BV115" s="26">
        <v>0</v>
      </c>
      <c r="BW115" s="26">
        <v>-541.5396728515625</v>
      </c>
      <c r="BX115" s="26">
        <v>-4.299227237701416</v>
      </c>
      <c r="BY115" s="26">
        <v>0</v>
      </c>
      <c r="BZ115" s="26">
        <v>0</v>
      </c>
      <c r="CA115" s="26">
        <v>0</v>
      </c>
      <c r="CB115" s="26">
        <v>6.2822537422180176</v>
      </c>
      <c r="CD115" s="26">
        <v>16</v>
      </c>
      <c r="CE115" s="26">
        <v>14</v>
      </c>
      <c r="CF115" s="26">
        <v>0</v>
      </c>
      <c r="CG115" s="26">
        <v>-541.5396728515625</v>
      </c>
      <c r="CH115" s="26">
        <v>-4.299227237701416</v>
      </c>
      <c r="CI115" s="26">
        <v>0</v>
      </c>
      <c r="CJ115" s="26">
        <v>0</v>
      </c>
      <c r="CK115" s="26">
        <v>0</v>
      </c>
      <c r="CL115" s="26">
        <v>6.2822537422180176</v>
      </c>
      <c r="CN115" s="26">
        <v>16</v>
      </c>
      <c r="CO115" s="26">
        <v>14</v>
      </c>
      <c r="CP115" s="26">
        <v>0</v>
      </c>
      <c r="CQ115" s="26">
        <v>-145.11546325683594</v>
      </c>
      <c r="CR115" s="26">
        <v>-9.3146066665649414</v>
      </c>
      <c r="CS115" s="26">
        <v>0</v>
      </c>
      <c r="CT115" s="26">
        <v>0</v>
      </c>
      <c r="CU115" s="26">
        <v>0</v>
      </c>
      <c r="CV115" s="26">
        <v>47.469684600830078</v>
      </c>
      <c r="CX115" s="26">
        <v>16</v>
      </c>
      <c r="CY115" s="26">
        <v>14</v>
      </c>
      <c r="CZ115" s="26">
        <v>0</v>
      </c>
      <c r="DA115" s="26">
        <v>-181.39433288574219</v>
      </c>
      <c r="DB115" s="26">
        <v>-11.643258094787598</v>
      </c>
      <c r="DC115" s="26">
        <v>0</v>
      </c>
      <c r="DD115" s="26">
        <v>0</v>
      </c>
      <c r="DE115" s="26">
        <v>0</v>
      </c>
      <c r="DF115" s="26">
        <v>59.337104797363281</v>
      </c>
      <c r="DH115" s="26">
        <v>16</v>
      </c>
      <c r="DI115" s="26">
        <v>14</v>
      </c>
      <c r="DJ115" s="26">
        <v>0</v>
      </c>
      <c r="DK115" s="26">
        <v>-639.906005859375</v>
      </c>
      <c r="DL115" s="26">
        <v>-40.279708862304688</v>
      </c>
      <c r="DM115" s="26">
        <v>0</v>
      </c>
      <c r="DN115" s="26">
        <v>0</v>
      </c>
      <c r="DO115" s="26">
        <v>0</v>
      </c>
      <c r="DP115" s="26">
        <v>202.62046813964844</v>
      </c>
      <c r="DR115" s="26">
        <v>16</v>
      </c>
      <c r="DS115" s="26">
        <v>14</v>
      </c>
      <c r="DT115" s="26">
        <v>0</v>
      </c>
      <c r="DU115" s="26">
        <v>-737.72149658203125</v>
      </c>
      <c r="DV115" s="26">
        <v>-46.478816986083984</v>
      </c>
      <c r="DW115" s="26">
        <v>0</v>
      </c>
      <c r="DX115" s="26">
        <v>0</v>
      </c>
      <c r="DY115" s="26">
        <v>0</v>
      </c>
      <c r="DZ115" s="26">
        <v>233.94721984863281</v>
      </c>
      <c r="EB115" s="26">
        <v>16</v>
      </c>
      <c r="EC115" s="26">
        <v>14</v>
      </c>
      <c r="ED115" s="26">
        <v>0</v>
      </c>
      <c r="EE115" s="26">
        <v>-1002.6946411132812</v>
      </c>
      <c r="EF115" s="26">
        <v>-63.56622314453125</v>
      </c>
      <c r="EG115" s="26">
        <v>0</v>
      </c>
      <c r="EH115" s="26">
        <v>0</v>
      </c>
      <c r="EI115" s="26">
        <v>0</v>
      </c>
      <c r="EJ115" s="26">
        <v>321.294677734375</v>
      </c>
      <c r="EL115" s="26">
        <v>16</v>
      </c>
      <c r="EM115" s="26">
        <v>14</v>
      </c>
      <c r="EN115" s="26">
        <v>0</v>
      </c>
      <c r="EO115" s="26">
        <v>-1045.6773681640625</v>
      </c>
      <c r="EP115" s="26">
        <v>-66.3251953125</v>
      </c>
      <c r="EQ115" s="26">
        <v>0</v>
      </c>
      <c r="ER115" s="26">
        <v>0</v>
      </c>
      <c r="ES115" s="26">
        <v>0</v>
      </c>
      <c r="ET115" s="26">
        <v>335.35516357421875</v>
      </c>
      <c r="EV115" s="26">
        <v>16</v>
      </c>
      <c r="EW115" s="26">
        <v>14</v>
      </c>
      <c r="EX115" s="26">
        <v>0</v>
      </c>
      <c r="EY115" s="26">
        <v>-1110.609619140625</v>
      </c>
      <c r="EZ115" s="26">
        <v>-70.413612365722656</v>
      </c>
      <c r="FA115" s="26">
        <v>0</v>
      </c>
      <c r="FB115" s="26">
        <v>0</v>
      </c>
      <c r="FC115" s="26">
        <v>0</v>
      </c>
      <c r="FD115" s="26">
        <v>355.92529296875</v>
      </c>
      <c r="FF115" s="26">
        <v>16</v>
      </c>
      <c r="FG115" s="26">
        <v>14</v>
      </c>
      <c r="FH115" s="26">
        <v>0</v>
      </c>
      <c r="FI115" s="26">
        <v>-1032.6170654296875</v>
      </c>
      <c r="FJ115" s="26">
        <v>-65.486885070800781</v>
      </c>
      <c r="FK115" s="26">
        <v>0</v>
      </c>
      <c r="FL115" s="26">
        <v>0</v>
      </c>
      <c r="FM115" s="26">
        <v>0</v>
      </c>
      <c r="FN115" s="26">
        <v>331.0828857421875</v>
      </c>
      <c r="FP115" s="26">
        <v>16</v>
      </c>
      <c r="FQ115" s="26">
        <v>14</v>
      </c>
      <c r="FR115" s="26">
        <v>0</v>
      </c>
      <c r="FS115" s="26">
        <v>-573.24652099609375</v>
      </c>
      <c r="FT115" s="26">
        <v>-31.53016471862793</v>
      </c>
      <c r="FU115" s="26">
        <v>0</v>
      </c>
      <c r="FV115" s="26">
        <v>0</v>
      </c>
      <c r="FW115" s="26">
        <v>0</v>
      </c>
      <c r="FX115" s="26">
        <v>411.48043823242187</v>
      </c>
      <c r="FZ115" s="26">
        <v>16</v>
      </c>
      <c r="GA115" s="26">
        <v>14</v>
      </c>
      <c r="GB115" s="26">
        <v>0</v>
      </c>
      <c r="GC115" s="26">
        <v>-385.96026611328125</v>
      </c>
      <c r="GD115" s="26">
        <v>-21.075637817382812</v>
      </c>
      <c r="GE115" s="26">
        <v>0</v>
      </c>
      <c r="GF115" s="26">
        <v>0</v>
      </c>
      <c r="GG115" s="26">
        <v>0</v>
      </c>
      <c r="GH115" s="26">
        <v>263.04177856445312</v>
      </c>
      <c r="GJ115" s="26">
        <v>16</v>
      </c>
      <c r="GK115" s="26">
        <v>14</v>
      </c>
      <c r="GL115" s="26">
        <v>0</v>
      </c>
      <c r="GM115" s="26">
        <v>-348.18963623046875</v>
      </c>
      <c r="GN115" s="26">
        <v>-19.065855026245117</v>
      </c>
      <c r="GO115" s="26">
        <v>0</v>
      </c>
      <c r="GP115" s="26">
        <v>0</v>
      </c>
      <c r="GQ115" s="26">
        <v>0</v>
      </c>
      <c r="GR115" s="26">
        <v>242.09382629394531</v>
      </c>
      <c r="GT115" s="26">
        <v>16</v>
      </c>
      <c r="GU115" s="26">
        <v>14</v>
      </c>
      <c r="GV115" s="26">
        <v>0</v>
      </c>
      <c r="GW115" s="26">
        <v>-104.90410614013672</v>
      </c>
      <c r="GX115" s="26">
        <v>-7.6734504699707031</v>
      </c>
      <c r="GY115" s="26">
        <v>0</v>
      </c>
      <c r="GZ115" s="26">
        <v>0</v>
      </c>
      <c r="HA115" s="26">
        <v>0</v>
      </c>
      <c r="HB115" s="26">
        <v>49.933029174804688</v>
      </c>
    </row>
    <row r="116" spans="2:210">
      <c r="C116" s="26">
        <v>16</v>
      </c>
      <c r="D116" s="26">
        <v>8.1599998474121094</v>
      </c>
      <c r="E116" s="26">
        <v>-612.99505615234375</v>
      </c>
      <c r="F116" s="26">
        <v>-1.5465762004396311E-10</v>
      </c>
      <c r="G116" s="26">
        <v>0</v>
      </c>
      <c r="H116" s="26">
        <v>0</v>
      </c>
      <c r="I116" s="26">
        <v>0</v>
      </c>
      <c r="J116" s="26">
        <v>3.7217233739283984E-9</v>
      </c>
      <c r="M116" s="26">
        <v>16</v>
      </c>
      <c r="N116" s="26">
        <v>8.1599998474121094</v>
      </c>
      <c r="O116" s="26">
        <v>-430.21261596679687</v>
      </c>
      <c r="P116" s="26">
        <v>-3.6926550706084527E-10</v>
      </c>
      <c r="Q116" s="26">
        <v>0</v>
      </c>
      <c r="R116" s="26">
        <v>0</v>
      </c>
      <c r="S116" s="26">
        <v>0</v>
      </c>
      <c r="T116" s="26">
        <v>4.8657611273483781E-10</v>
      </c>
      <c r="W116" s="26">
        <v>16</v>
      </c>
      <c r="X116" s="26">
        <v>8.1599998474121094</v>
      </c>
      <c r="Y116" s="26">
        <v>233.36289978027344</v>
      </c>
      <c r="Z116" s="26">
        <v>2.045809771589191E-10</v>
      </c>
      <c r="AA116" s="26">
        <v>0</v>
      </c>
      <c r="AB116" s="26">
        <v>0</v>
      </c>
      <c r="AC116" s="26">
        <v>0</v>
      </c>
      <c r="AD116" s="26">
        <v>-1.6251802681388483E-10</v>
      </c>
      <c r="AG116" s="26">
        <v>16</v>
      </c>
      <c r="AH116" s="26">
        <v>8.1599998474121094</v>
      </c>
      <c r="AI116" s="26">
        <v>301.21969604492187</v>
      </c>
      <c r="AJ116" s="26">
        <v>-2.7420336834449444E-11</v>
      </c>
      <c r="AK116" s="26">
        <v>0</v>
      </c>
      <c r="AL116" s="26">
        <v>0</v>
      </c>
      <c r="AM116" s="26">
        <v>0</v>
      </c>
      <c r="AN116" s="26">
        <v>4.5528747438794426E-10</v>
      </c>
      <c r="AQ116" s="26">
        <v>16</v>
      </c>
      <c r="AR116" s="26">
        <v>8.1599998474121094</v>
      </c>
      <c r="AS116" s="26">
        <v>-114.50560760498047</v>
      </c>
      <c r="AT116" s="26">
        <v>-3.5121211494626436E-12</v>
      </c>
      <c r="AU116" s="26">
        <v>0</v>
      </c>
      <c r="AV116" s="26">
        <v>0</v>
      </c>
      <c r="AW116" s="26">
        <v>0</v>
      </c>
      <c r="AX116" s="26">
        <v>1.2830181361778159E-11</v>
      </c>
      <c r="BA116" s="26">
        <v>16</v>
      </c>
      <c r="BB116" s="26">
        <v>8.1599998474121094</v>
      </c>
      <c r="BC116" s="26">
        <v>-129.73495483398438</v>
      </c>
      <c r="BD116" s="26">
        <v>1.0331416278042127E-11</v>
      </c>
      <c r="BE116" s="26">
        <v>0</v>
      </c>
      <c r="BF116" s="26">
        <v>0</v>
      </c>
      <c r="BG116" s="26">
        <v>0</v>
      </c>
      <c r="BH116" s="26">
        <v>-4.8623327586483356E-12</v>
      </c>
      <c r="BK116" s="26">
        <v>16</v>
      </c>
      <c r="BL116" s="26">
        <v>8.1599998474121094</v>
      </c>
      <c r="BM116" s="26">
        <v>-134.77320861816406</v>
      </c>
      <c r="BN116" s="26">
        <v>4.6359999172906896E-12</v>
      </c>
      <c r="BO116" s="26">
        <v>0</v>
      </c>
      <c r="BP116" s="26">
        <v>0</v>
      </c>
      <c r="BQ116" s="26">
        <v>0</v>
      </c>
      <c r="BR116" s="26">
        <v>1.6250112366833491E-11</v>
      </c>
      <c r="BU116" s="26">
        <v>16</v>
      </c>
      <c r="BV116" s="26">
        <v>8.1599998474121094</v>
      </c>
      <c r="BW116" s="26">
        <v>-134.77320861816406</v>
      </c>
      <c r="BX116" s="26">
        <v>4.6359999172906896E-12</v>
      </c>
      <c r="BY116" s="26">
        <v>0</v>
      </c>
      <c r="BZ116" s="26">
        <v>0</v>
      </c>
      <c r="CA116" s="26">
        <v>0</v>
      </c>
      <c r="CB116" s="26">
        <v>1.6250112366833491E-11</v>
      </c>
      <c r="CE116" s="26">
        <v>16</v>
      </c>
      <c r="CF116" s="26">
        <v>8.1599998474121094</v>
      </c>
      <c r="CG116" s="26">
        <v>-134.77320861816406</v>
      </c>
      <c r="CH116" s="26">
        <v>4.6359999172906896E-12</v>
      </c>
      <c r="CI116" s="26">
        <v>0</v>
      </c>
      <c r="CJ116" s="26">
        <v>0</v>
      </c>
      <c r="CK116" s="26">
        <v>0</v>
      </c>
      <c r="CL116" s="26">
        <v>1.6250112366833491E-11</v>
      </c>
      <c r="CO116" s="26">
        <v>16</v>
      </c>
      <c r="CP116" s="26">
        <v>8.1599998474121094</v>
      </c>
      <c r="CQ116" s="26">
        <v>-36.114944458007812</v>
      </c>
      <c r="CR116" s="26">
        <v>1.2052581155330699E-12</v>
      </c>
      <c r="CS116" s="26">
        <v>0</v>
      </c>
      <c r="CT116" s="26">
        <v>0</v>
      </c>
      <c r="CU116" s="26">
        <v>0</v>
      </c>
      <c r="CV116" s="26">
        <v>-2.0250467969162855E-12</v>
      </c>
      <c r="CY116" s="26">
        <v>16</v>
      </c>
      <c r="CZ116" s="26">
        <v>8.1599998474121094</v>
      </c>
      <c r="DA116" s="26">
        <v>-45.143684387207031</v>
      </c>
      <c r="DB116" s="26">
        <v>7.2297723363590194E-13</v>
      </c>
      <c r="DC116" s="26">
        <v>0</v>
      </c>
      <c r="DD116" s="26">
        <v>0</v>
      </c>
      <c r="DE116" s="26">
        <v>0</v>
      </c>
      <c r="DF116" s="26">
        <v>-1.8118839761882555E-13</v>
      </c>
      <c r="DI116" s="26">
        <v>16</v>
      </c>
      <c r="DJ116" s="26">
        <v>8.1599998474121094</v>
      </c>
      <c r="DK116" s="26">
        <v>-159.253662109375</v>
      </c>
      <c r="DL116" s="26">
        <v>6.7501559897209518E-14</v>
      </c>
      <c r="DM116" s="26">
        <v>0</v>
      </c>
      <c r="DN116" s="26">
        <v>0</v>
      </c>
      <c r="DO116" s="26">
        <v>0</v>
      </c>
      <c r="DP116" s="26">
        <v>8.3417717178235762E-12</v>
      </c>
      <c r="DS116" s="26">
        <v>16</v>
      </c>
      <c r="DT116" s="26">
        <v>8.1599998474121094</v>
      </c>
      <c r="DU116" s="26">
        <v>-183.5970458984375</v>
      </c>
      <c r="DV116" s="26">
        <v>3.2471803024236578E-12</v>
      </c>
      <c r="DW116" s="26">
        <v>0</v>
      </c>
      <c r="DX116" s="26">
        <v>0</v>
      </c>
      <c r="DY116" s="26">
        <v>0</v>
      </c>
      <c r="DZ116" s="26">
        <v>-1.0032863428932615E-11</v>
      </c>
      <c r="EC116" s="26">
        <v>16</v>
      </c>
      <c r="ED116" s="26">
        <v>8.1599998474121094</v>
      </c>
      <c r="EE116" s="26">
        <v>-249.54103088378906</v>
      </c>
      <c r="EF116" s="26">
        <v>1.1439738045737613E-12</v>
      </c>
      <c r="EG116" s="26">
        <v>0</v>
      </c>
      <c r="EH116" s="26">
        <v>0</v>
      </c>
      <c r="EI116" s="26">
        <v>0</v>
      </c>
      <c r="EJ116" s="26">
        <v>1.3656631381309126E-11</v>
      </c>
      <c r="EM116" s="26">
        <v>16</v>
      </c>
      <c r="EN116" s="26">
        <v>8.1599998474121094</v>
      </c>
      <c r="EO116" s="26">
        <v>-260.2381591796875</v>
      </c>
      <c r="EP116" s="26">
        <v>9.9475983006414026E-14</v>
      </c>
      <c r="EQ116" s="26">
        <v>0</v>
      </c>
      <c r="ER116" s="26">
        <v>0</v>
      </c>
      <c r="ES116" s="26">
        <v>0</v>
      </c>
      <c r="ET116" s="26">
        <v>6.9348971010185778E-12</v>
      </c>
      <c r="EW116" s="26">
        <v>16</v>
      </c>
      <c r="EX116" s="26">
        <v>8.1599998474121094</v>
      </c>
      <c r="EY116" s="26">
        <v>-276.39785766601562</v>
      </c>
      <c r="EZ116" s="26">
        <v>-5.5635496210015845E-12</v>
      </c>
      <c r="FA116" s="26">
        <v>0</v>
      </c>
      <c r="FB116" s="26">
        <v>0</v>
      </c>
      <c r="FC116" s="26">
        <v>0</v>
      </c>
      <c r="FD116" s="26">
        <v>1.2704504115390591E-11</v>
      </c>
      <c r="FG116" s="26">
        <v>16</v>
      </c>
      <c r="FH116" s="26">
        <v>8.1599998474121094</v>
      </c>
      <c r="FI116" s="26">
        <v>-256.98782348632812</v>
      </c>
      <c r="FJ116" s="26">
        <v>8.4909856923331972E-12</v>
      </c>
      <c r="FK116" s="26">
        <v>0</v>
      </c>
      <c r="FL116" s="26">
        <v>0</v>
      </c>
      <c r="FM116" s="26">
        <v>0</v>
      </c>
      <c r="FN116" s="26">
        <v>8.9954710347228684E-12</v>
      </c>
      <c r="FQ116" s="26">
        <v>16</v>
      </c>
      <c r="FR116" s="26">
        <v>8.1599998474121094</v>
      </c>
      <c r="FS116" s="26">
        <v>-146.61862182617187</v>
      </c>
      <c r="FT116" s="26">
        <v>-6.8595795710280072E-11</v>
      </c>
      <c r="FU116" s="26">
        <v>0</v>
      </c>
      <c r="FV116" s="26">
        <v>0</v>
      </c>
      <c r="FW116" s="26">
        <v>0</v>
      </c>
      <c r="FX116" s="26">
        <v>4.6691184252267703E-10</v>
      </c>
      <c r="GA116" s="26">
        <v>16</v>
      </c>
      <c r="GB116" s="26">
        <v>8.1599998474121094</v>
      </c>
      <c r="GC116" s="26">
        <v>-98.716629028320313</v>
      </c>
      <c r="GD116" s="26">
        <v>-4.2824410684261238E-11</v>
      </c>
      <c r="GE116" s="26">
        <v>0</v>
      </c>
      <c r="GF116" s="26">
        <v>0</v>
      </c>
      <c r="GG116" s="26">
        <v>0</v>
      </c>
      <c r="GH116" s="26">
        <v>4.1710279674589401E-10</v>
      </c>
      <c r="GK116" s="26">
        <v>16</v>
      </c>
      <c r="GL116" s="26">
        <v>8.1599998474121094</v>
      </c>
      <c r="GM116" s="26">
        <v>-89.056076049804688</v>
      </c>
      <c r="GN116" s="26">
        <v>-9.8737018561223522E-11</v>
      </c>
      <c r="GO116" s="26">
        <v>0</v>
      </c>
      <c r="GP116" s="26">
        <v>0</v>
      </c>
      <c r="GQ116" s="26">
        <v>0</v>
      </c>
      <c r="GR116" s="26">
        <v>5.7171689604729181E-10</v>
      </c>
      <c r="GU116" s="26">
        <v>16</v>
      </c>
      <c r="GV116" s="26">
        <v>8.1599998474121094</v>
      </c>
      <c r="GW116" s="26">
        <v>-26.107528686523438</v>
      </c>
      <c r="GX116" s="26">
        <v>7.9580786405131221E-13</v>
      </c>
      <c r="GY116" s="26">
        <v>0</v>
      </c>
      <c r="GZ116" s="26">
        <v>0</v>
      </c>
      <c r="HA116" s="26">
        <v>0</v>
      </c>
      <c r="HB116" s="26">
        <v>3.979039320256561E-13</v>
      </c>
    </row>
    <row r="117" spans="2:210">
      <c r="B117" s="26">
        <v>17</v>
      </c>
      <c r="C117" s="26">
        <v>16</v>
      </c>
      <c r="D117" s="26">
        <v>0</v>
      </c>
      <c r="E117" s="26">
        <v>-612.99505615234375</v>
      </c>
      <c r="F117" s="26">
        <v>-9.808331924432423E-11</v>
      </c>
      <c r="G117" s="26">
        <v>0</v>
      </c>
      <c r="H117" s="26">
        <v>0</v>
      </c>
      <c r="I117" s="26">
        <v>0</v>
      </c>
      <c r="J117" s="26">
        <v>-3.3091396289819386E-10</v>
      </c>
      <c r="L117" s="26">
        <v>17</v>
      </c>
      <c r="M117" s="26">
        <v>16</v>
      </c>
      <c r="N117" s="26">
        <v>0</v>
      </c>
      <c r="O117" s="26">
        <v>-430.21261596679687</v>
      </c>
      <c r="P117" s="26">
        <v>-4.5332626541494392E-10</v>
      </c>
      <c r="Q117" s="26">
        <v>0</v>
      </c>
      <c r="R117" s="26">
        <v>0</v>
      </c>
      <c r="S117" s="26">
        <v>0</v>
      </c>
      <c r="T117" s="26">
        <v>9.6432017926417757E-10</v>
      </c>
      <c r="V117" s="26">
        <v>17</v>
      </c>
      <c r="W117" s="26">
        <v>16</v>
      </c>
      <c r="X117" s="26">
        <v>0</v>
      </c>
      <c r="Y117" s="26">
        <v>233.36289978027344</v>
      </c>
      <c r="Z117" s="26">
        <v>2.5292035132906676E-10</v>
      </c>
      <c r="AA117" s="26">
        <v>0</v>
      </c>
      <c r="AB117" s="26">
        <v>0</v>
      </c>
      <c r="AC117" s="26">
        <v>0</v>
      </c>
      <c r="AD117" s="26">
        <v>-6.6803274023641279E-10</v>
      </c>
      <c r="AF117" s="26">
        <v>17</v>
      </c>
      <c r="AG117" s="26">
        <v>16</v>
      </c>
      <c r="AH117" s="26">
        <v>0</v>
      </c>
      <c r="AI117" s="26">
        <v>301.21969604492187</v>
      </c>
      <c r="AJ117" s="26">
        <v>7.8266282343975035E-11</v>
      </c>
      <c r="AK117" s="26">
        <v>0</v>
      </c>
      <c r="AL117" s="26">
        <v>0</v>
      </c>
      <c r="AM117" s="26">
        <v>0</v>
      </c>
      <c r="AN117" s="26">
        <v>-2.6600588398650871E-10</v>
      </c>
      <c r="AP117" s="26">
        <v>17</v>
      </c>
      <c r="AQ117" s="26">
        <v>16</v>
      </c>
      <c r="AR117" s="26">
        <v>0</v>
      </c>
      <c r="AS117" s="26">
        <v>-114.50560760498047</v>
      </c>
      <c r="AT117" s="26">
        <v>1.1709744285326451E-11</v>
      </c>
      <c r="AU117" s="26">
        <v>0</v>
      </c>
      <c r="AV117" s="26">
        <v>0</v>
      </c>
      <c r="AW117" s="26">
        <v>0</v>
      </c>
      <c r="AX117" s="26">
        <v>2.1174173525650986E-12</v>
      </c>
      <c r="AZ117" s="26">
        <v>17</v>
      </c>
      <c r="BA117" s="26">
        <v>16</v>
      </c>
      <c r="BB117" s="26">
        <v>0</v>
      </c>
      <c r="BC117" s="26">
        <v>-129.73495483398438</v>
      </c>
      <c r="BD117" s="26">
        <v>1.0913936421275139E-11</v>
      </c>
      <c r="BE117" s="26">
        <v>0</v>
      </c>
      <c r="BF117" s="26">
        <v>0</v>
      </c>
      <c r="BG117" s="26">
        <v>0</v>
      </c>
      <c r="BH117" s="26">
        <v>2.9984903449076228E-12</v>
      </c>
      <c r="BJ117" s="26">
        <v>17</v>
      </c>
      <c r="BK117" s="26">
        <v>16</v>
      </c>
      <c r="BL117" s="26">
        <v>0</v>
      </c>
      <c r="BM117" s="26">
        <v>-134.77320861816406</v>
      </c>
      <c r="BN117" s="26">
        <v>1.8957280190079473E-11</v>
      </c>
      <c r="BO117" s="26">
        <v>0</v>
      </c>
      <c r="BP117" s="26">
        <v>0</v>
      </c>
      <c r="BQ117" s="26">
        <v>0</v>
      </c>
      <c r="BR117" s="26">
        <v>3.0837554731988348E-12</v>
      </c>
      <c r="BT117" s="26">
        <v>17</v>
      </c>
      <c r="BU117" s="26">
        <v>16</v>
      </c>
      <c r="BV117" s="26">
        <v>0</v>
      </c>
      <c r="BW117" s="26">
        <v>-134.77320861816406</v>
      </c>
      <c r="BX117" s="26">
        <v>1.8957280190079473E-11</v>
      </c>
      <c r="BY117" s="26">
        <v>0</v>
      </c>
      <c r="BZ117" s="26">
        <v>0</v>
      </c>
      <c r="CA117" s="26">
        <v>0</v>
      </c>
      <c r="CB117" s="26">
        <v>3.0837554731988348E-12</v>
      </c>
      <c r="CD117" s="26">
        <v>17</v>
      </c>
      <c r="CE117" s="26">
        <v>16</v>
      </c>
      <c r="CF117" s="26">
        <v>0</v>
      </c>
      <c r="CG117" s="26">
        <v>-134.77320861816406</v>
      </c>
      <c r="CH117" s="26">
        <v>1.8957280190079473E-11</v>
      </c>
      <c r="CI117" s="26">
        <v>0</v>
      </c>
      <c r="CJ117" s="26">
        <v>0</v>
      </c>
      <c r="CK117" s="26">
        <v>0</v>
      </c>
      <c r="CL117" s="26">
        <v>3.0837554731988348E-12</v>
      </c>
      <c r="CN117" s="26">
        <v>17</v>
      </c>
      <c r="CO117" s="26">
        <v>16</v>
      </c>
      <c r="CP117" s="26">
        <v>0</v>
      </c>
      <c r="CQ117" s="26">
        <v>-36.114944458007812</v>
      </c>
      <c r="CR117" s="26">
        <v>1.9326762412674725E-12</v>
      </c>
      <c r="CS117" s="26">
        <v>0</v>
      </c>
      <c r="CT117" s="26">
        <v>0</v>
      </c>
      <c r="CU117" s="26">
        <v>0</v>
      </c>
      <c r="CV117" s="26">
        <v>-2.2737367544323206E-13</v>
      </c>
      <c r="CX117" s="26">
        <v>17</v>
      </c>
      <c r="CY117" s="26">
        <v>16</v>
      </c>
      <c r="CZ117" s="26">
        <v>0</v>
      </c>
      <c r="DA117" s="26">
        <v>-45.143684387207031</v>
      </c>
      <c r="DB117" s="26">
        <v>-1.0800249583553523E-12</v>
      </c>
      <c r="DC117" s="26">
        <v>0</v>
      </c>
      <c r="DD117" s="26">
        <v>0</v>
      </c>
      <c r="DE117" s="26">
        <v>0</v>
      </c>
      <c r="DF117" s="26">
        <v>1.7621459846850485E-12</v>
      </c>
      <c r="DH117" s="26">
        <v>17</v>
      </c>
      <c r="DI117" s="26">
        <v>16</v>
      </c>
      <c r="DJ117" s="26">
        <v>0</v>
      </c>
      <c r="DK117" s="26">
        <v>-159.253662109375</v>
      </c>
      <c r="DL117" s="26">
        <v>5.2295945351943374E-12</v>
      </c>
      <c r="DM117" s="26">
        <v>0</v>
      </c>
      <c r="DN117" s="26">
        <v>0</v>
      </c>
      <c r="DO117" s="26">
        <v>0</v>
      </c>
      <c r="DP117" s="26">
        <v>5.6843418860808015E-12</v>
      </c>
      <c r="DR117" s="26">
        <v>17</v>
      </c>
      <c r="DS117" s="26">
        <v>16</v>
      </c>
      <c r="DT117" s="26">
        <v>0</v>
      </c>
      <c r="DU117" s="26">
        <v>-183.5970458984375</v>
      </c>
      <c r="DV117" s="26">
        <v>5.0022208597511053E-12</v>
      </c>
      <c r="DW117" s="26">
        <v>0</v>
      </c>
      <c r="DX117" s="26">
        <v>0</v>
      </c>
      <c r="DY117" s="26">
        <v>0</v>
      </c>
      <c r="DZ117" s="26">
        <v>3.865352482534945E-12</v>
      </c>
      <c r="EB117" s="26">
        <v>17</v>
      </c>
      <c r="EC117" s="26">
        <v>16</v>
      </c>
      <c r="ED117" s="26">
        <v>0</v>
      </c>
      <c r="EE117" s="26">
        <v>-249.54103088378906</v>
      </c>
      <c r="EF117" s="26">
        <v>2.9558577807620168E-12</v>
      </c>
      <c r="EG117" s="26">
        <v>0</v>
      </c>
      <c r="EH117" s="26">
        <v>0</v>
      </c>
      <c r="EI117" s="26">
        <v>0</v>
      </c>
      <c r="EJ117" s="26">
        <v>7.9580786405131221E-12</v>
      </c>
      <c r="EL117" s="26">
        <v>17</v>
      </c>
      <c r="EM117" s="26">
        <v>16</v>
      </c>
      <c r="EN117" s="26">
        <v>0</v>
      </c>
      <c r="EO117" s="26">
        <v>-260.2381591796875</v>
      </c>
      <c r="EP117" s="26">
        <v>1.3869794202037156E-11</v>
      </c>
      <c r="EQ117" s="26">
        <v>0</v>
      </c>
      <c r="ER117" s="26">
        <v>0</v>
      </c>
      <c r="ES117" s="26">
        <v>0</v>
      </c>
      <c r="ET117" s="26">
        <v>4.7748471843078732E-12</v>
      </c>
      <c r="EV117" s="26">
        <v>17</v>
      </c>
      <c r="EW117" s="26">
        <v>16</v>
      </c>
      <c r="EX117" s="26">
        <v>0</v>
      </c>
      <c r="EY117" s="26">
        <v>-276.39785766601562</v>
      </c>
      <c r="EZ117" s="26">
        <v>1.0913936421275139E-11</v>
      </c>
      <c r="FA117" s="26">
        <v>0</v>
      </c>
      <c r="FB117" s="26">
        <v>0</v>
      </c>
      <c r="FC117" s="26">
        <v>0</v>
      </c>
      <c r="FD117" s="26">
        <v>-1.0686562745831907E-11</v>
      </c>
      <c r="FF117" s="26">
        <v>17</v>
      </c>
      <c r="FG117" s="26">
        <v>16</v>
      </c>
      <c r="FH117" s="26">
        <v>0</v>
      </c>
      <c r="FI117" s="26">
        <v>-256.98782348632812</v>
      </c>
      <c r="FJ117" s="26">
        <v>4.0927261579781771E-12</v>
      </c>
      <c r="FK117" s="26">
        <v>0</v>
      </c>
      <c r="FL117" s="26">
        <v>0</v>
      </c>
      <c r="FM117" s="26">
        <v>0</v>
      </c>
      <c r="FN117" s="26">
        <v>1.1141310096718371E-11</v>
      </c>
      <c r="FP117" s="26">
        <v>17</v>
      </c>
      <c r="FQ117" s="26">
        <v>16</v>
      </c>
      <c r="FR117" s="26">
        <v>0</v>
      </c>
      <c r="FS117" s="26">
        <v>-146.61862182617187</v>
      </c>
      <c r="FT117" s="26">
        <v>-6.9121597334742546E-11</v>
      </c>
      <c r="FU117" s="26">
        <v>0</v>
      </c>
      <c r="FV117" s="26">
        <v>0</v>
      </c>
      <c r="FW117" s="26">
        <v>0</v>
      </c>
      <c r="FX117" s="26">
        <v>9.0949470177292824E-11</v>
      </c>
      <c r="FZ117" s="26">
        <v>17</v>
      </c>
      <c r="GA117" s="26">
        <v>16</v>
      </c>
      <c r="GB117" s="26">
        <v>0</v>
      </c>
      <c r="GC117" s="26">
        <v>-98.716629028320313</v>
      </c>
      <c r="GD117" s="26">
        <v>-4.9112713895738125E-11</v>
      </c>
      <c r="GE117" s="26">
        <v>0</v>
      </c>
      <c r="GF117" s="26">
        <v>0</v>
      </c>
      <c r="GG117" s="26">
        <v>0</v>
      </c>
      <c r="GH117" s="26">
        <v>6.184563972055912E-11</v>
      </c>
      <c r="GJ117" s="26">
        <v>17</v>
      </c>
      <c r="GK117" s="26">
        <v>16</v>
      </c>
      <c r="GL117" s="26">
        <v>0</v>
      </c>
      <c r="GM117" s="26">
        <v>-89.056076049804688</v>
      </c>
      <c r="GN117" s="26">
        <v>-9.4587448984384537E-11</v>
      </c>
      <c r="GO117" s="26">
        <v>0</v>
      </c>
      <c r="GP117" s="26">
        <v>0</v>
      </c>
      <c r="GQ117" s="26">
        <v>0</v>
      </c>
      <c r="GR117" s="26">
        <v>1.3460521586239338E-10</v>
      </c>
      <c r="GT117" s="26">
        <v>17</v>
      </c>
      <c r="GU117" s="26">
        <v>16</v>
      </c>
      <c r="GV117" s="26">
        <v>0</v>
      </c>
      <c r="GW117" s="26">
        <v>-26.107528686523438</v>
      </c>
      <c r="GX117" s="26">
        <v>1.3642420526593924E-12</v>
      </c>
      <c r="GY117" s="26">
        <v>0</v>
      </c>
      <c r="GZ117" s="26">
        <v>0</v>
      </c>
      <c r="HA117" s="26">
        <v>0</v>
      </c>
      <c r="HB117" s="26">
        <v>5.6843418860808015E-13</v>
      </c>
    </row>
    <row r="118" spans="2:210">
      <c r="C118" s="26">
        <v>18</v>
      </c>
      <c r="D118" s="26">
        <v>1.5</v>
      </c>
      <c r="E118" s="26">
        <v>-296.81640625</v>
      </c>
      <c r="F118" s="26">
        <v>-9.808331924432423E-11</v>
      </c>
      <c r="G118" s="26">
        <v>0</v>
      </c>
      <c r="H118" s="26">
        <v>0</v>
      </c>
      <c r="I118" s="26">
        <v>0</v>
      </c>
      <c r="J118" s="26">
        <v>-4.7810999603825621E-10</v>
      </c>
      <c r="M118" s="26">
        <v>18</v>
      </c>
      <c r="N118" s="26">
        <v>1.5</v>
      </c>
      <c r="O118" s="26">
        <v>-208.3118896484375</v>
      </c>
      <c r="P118" s="26">
        <v>-4.5332626541494392E-10</v>
      </c>
      <c r="Q118" s="26">
        <v>0</v>
      </c>
      <c r="R118" s="26">
        <v>0</v>
      </c>
      <c r="S118" s="26">
        <v>0</v>
      </c>
      <c r="T118" s="26">
        <v>2.8435920285119209E-10</v>
      </c>
      <c r="W118" s="26">
        <v>18</v>
      </c>
      <c r="X118" s="26">
        <v>1.5</v>
      </c>
      <c r="Y118" s="26">
        <v>112.99591064453125</v>
      </c>
      <c r="Z118" s="26">
        <v>2.5292035132906676E-10</v>
      </c>
      <c r="AA118" s="26">
        <v>0</v>
      </c>
      <c r="AB118" s="26">
        <v>0</v>
      </c>
      <c r="AC118" s="26">
        <v>0</v>
      </c>
      <c r="AD118" s="26">
        <v>-2.886526573320225E-10</v>
      </c>
      <c r="AG118" s="26">
        <v>18</v>
      </c>
      <c r="AH118" s="26">
        <v>1.5</v>
      </c>
      <c r="AI118" s="26">
        <v>145.85264587402344</v>
      </c>
      <c r="AJ118" s="26">
        <v>7.8266282343975035E-11</v>
      </c>
      <c r="AK118" s="26">
        <v>0</v>
      </c>
      <c r="AL118" s="26">
        <v>0</v>
      </c>
      <c r="AM118" s="26">
        <v>0</v>
      </c>
      <c r="AN118" s="26">
        <v>-1.4860646047054615E-10</v>
      </c>
      <c r="AQ118" s="26">
        <v>18</v>
      </c>
      <c r="AR118" s="26">
        <v>1.5</v>
      </c>
      <c r="AS118" s="26">
        <v>-55.383563995361328</v>
      </c>
      <c r="AT118" s="26">
        <v>1.1709744285326451E-11</v>
      </c>
      <c r="AU118" s="26">
        <v>0</v>
      </c>
      <c r="AV118" s="26">
        <v>0</v>
      </c>
      <c r="AW118" s="26">
        <v>0</v>
      </c>
      <c r="AX118" s="26">
        <v>1.9696244635269977E-11</v>
      </c>
      <c r="BA118" s="26">
        <v>18</v>
      </c>
      <c r="BB118" s="26">
        <v>1.5</v>
      </c>
      <c r="BC118" s="26">
        <v>-62.749626159667969</v>
      </c>
      <c r="BD118" s="26">
        <v>1.0913936421275139E-11</v>
      </c>
      <c r="BE118" s="26">
        <v>0</v>
      </c>
      <c r="BF118" s="26">
        <v>0</v>
      </c>
      <c r="BG118" s="26">
        <v>0</v>
      </c>
      <c r="BH118" s="26">
        <v>1.9383605831535533E-11</v>
      </c>
      <c r="BK118" s="26">
        <v>18</v>
      </c>
      <c r="BL118" s="26">
        <v>1.5</v>
      </c>
      <c r="BM118" s="26">
        <v>-65.186508178710937</v>
      </c>
      <c r="BN118" s="26">
        <v>1.8957280190079473E-11</v>
      </c>
      <c r="BO118" s="26">
        <v>0</v>
      </c>
      <c r="BP118" s="26">
        <v>0</v>
      </c>
      <c r="BQ118" s="26">
        <v>0</v>
      </c>
      <c r="BR118" s="26">
        <v>3.1505464903602842E-11</v>
      </c>
      <c r="BU118" s="26">
        <v>18</v>
      </c>
      <c r="BV118" s="26">
        <v>1.5</v>
      </c>
      <c r="BW118" s="26">
        <v>-65.186508178710937</v>
      </c>
      <c r="BX118" s="26">
        <v>1.8957280190079473E-11</v>
      </c>
      <c r="BY118" s="26">
        <v>0</v>
      </c>
      <c r="BZ118" s="26">
        <v>0</v>
      </c>
      <c r="CA118" s="26">
        <v>0</v>
      </c>
      <c r="CB118" s="26">
        <v>3.1505464903602842E-11</v>
      </c>
      <c r="CE118" s="26">
        <v>18</v>
      </c>
      <c r="CF118" s="26">
        <v>1.5</v>
      </c>
      <c r="CG118" s="26">
        <v>-65.186508178710937</v>
      </c>
      <c r="CH118" s="26">
        <v>1.8957280190079473E-11</v>
      </c>
      <c r="CI118" s="26">
        <v>0</v>
      </c>
      <c r="CJ118" s="26">
        <v>0</v>
      </c>
      <c r="CK118" s="26">
        <v>0</v>
      </c>
      <c r="CL118" s="26">
        <v>3.1505464903602842E-11</v>
      </c>
      <c r="CO118" s="26">
        <v>18</v>
      </c>
      <c r="CP118" s="26">
        <v>1.5</v>
      </c>
      <c r="CQ118" s="26">
        <v>-17.467916488647461</v>
      </c>
      <c r="CR118" s="26">
        <v>1.9326762412674725E-12</v>
      </c>
      <c r="CS118" s="26">
        <v>0</v>
      </c>
      <c r="CT118" s="26">
        <v>0</v>
      </c>
      <c r="CU118" s="26">
        <v>0</v>
      </c>
      <c r="CV118" s="26">
        <v>2.6716406864579767E-12</v>
      </c>
      <c r="CY118" s="26">
        <v>18</v>
      </c>
      <c r="CZ118" s="26">
        <v>1.5</v>
      </c>
      <c r="DA118" s="26">
        <v>-21.834896087646484</v>
      </c>
      <c r="DB118" s="26">
        <v>-1.0800249583553523E-12</v>
      </c>
      <c r="DC118" s="26">
        <v>0</v>
      </c>
      <c r="DD118" s="26">
        <v>0</v>
      </c>
      <c r="DE118" s="26">
        <v>0</v>
      </c>
      <c r="DF118" s="26">
        <v>1.1368683772161603E-13</v>
      </c>
      <c r="DI118" s="26">
        <v>18</v>
      </c>
      <c r="DJ118" s="26">
        <v>1.5</v>
      </c>
      <c r="DK118" s="26">
        <v>-77.027107238769531</v>
      </c>
      <c r="DL118" s="26">
        <v>5.2295945351943374E-12</v>
      </c>
      <c r="DM118" s="26">
        <v>0</v>
      </c>
      <c r="DN118" s="26">
        <v>0</v>
      </c>
      <c r="DO118" s="26">
        <v>0</v>
      </c>
      <c r="DP118" s="26">
        <v>1.3528733688872308E-11</v>
      </c>
      <c r="DS118" s="26">
        <v>18</v>
      </c>
      <c r="DT118" s="26">
        <v>1.5</v>
      </c>
      <c r="DU118" s="26">
        <v>-88.801406860351563</v>
      </c>
      <c r="DV118" s="26">
        <v>5.0022208597511053E-12</v>
      </c>
      <c r="DW118" s="26">
        <v>0</v>
      </c>
      <c r="DX118" s="26">
        <v>0</v>
      </c>
      <c r="DY118" s="26">
        <v>0</v>
      </c>
      <c r="DZ118" s="26">
        <v>1.1596057447604835E-11</v>
      </c>
      <c r="EC118" s="26">
        <v>18</v>
      </c>
      <c r="ED118" s="26">
        <v>1.5</v>
      </c>
      <c r="EE118" s="26">
        <v>-120.6968994140625</v>
      </c>
      <c r="EF118" s="26">
        <v>2.9558577807620168E-12</v>
      </c>
      <c r="EG118" s="26">
        <v>0</v>
      </c>
      <c r="EH118" s="26">
        <v>0</v>
      </c>
      <c r="EI118" s="26">
        <v>0</v>
      </c>
      <c r="EJ118" s="26">
        <v>1.2278178473934531E-11</v>
      </c>
      <c r="EM118" s="26">
        <v>18</v>
      </c>
      <c r="EN118" s="26">
        <v>1.5</v>
      </c>
      <c r="EO118" s="26">
        <v>-125.87084197998047</v>
      </c>
      <c r="EP118" s="26">
        <v>1.3869794202037156E-11</v>
      </c>
      <c r="EQ118" s="26">
        <v>0</v>
      </c>
      <c r="ER118" s="26">
        <v>0</v>
      </c>
      <c r="ES118" s="26">
        <v>0</v>
      </c>
      <c r="ET118" s="26">
        <v>2.5465851649641991E-11</v>
      </c>
      <c r="EW118" s="26">
        <v>18</v>
      </c>
      <c r="EX118" s="26">
        <v>1.5</v>
      </c>
      <c r="EY118" s="26">
        <v>-133.68690490722656</v>
      </c>
      <c r="EZ118" s="26">
        <v>1.0913936421275139E-11</v>
      </c>
      <c r="FA118" s="26">
        <v>0</v>
      </c>
      <c r="FB118" s="26">
        <v>0</v>
      </c>
      <c r="FC118" s="26">
        <v>0</v>
      </c>
      <c r="FD118" s="26">
        <v>5.6843418860808015E-12</v>
      </c>
      <c r="FG118" s="26">
        <v>18</v>
      </c>
      <c r="FH118" s="26">
        <v>1.5</v>
      </c>
      <c r="FI118" s="26">
        <v>-124.29872894287109</v>
      </c>
      <c r="FJ118" s="26">
        <v>4.0927261579781771E-12</v>
      </c>
      <c r="FK118" s="26">
        <v>0</v>
      </c>
      <c r="FL118" s="26">
        <v>0</v>
      </c>
      <c r="FM118" s="26">
        <v>0</v>
      </c>
      <c r="FN118" s="26">
        <v>1.6825651982799172E-11</v>
      </c>
      <c r="FQ118" s="26">
        <v>18</v>
      </c>
      <c r="FR118" s="26">
        <v>1.5</v>
      </c>
      <c r="FS118" s="26">
        <v>-70.993743896484375</v>
      </c>
      <c r="FT118" s="26">
        <v>-6.9121597334742546E-11</v>
      </c>
      <c r="FU118" s="26">
        <v>0</v>
      </c>
      <c r="FV118" s="26">
        <v>0</v>
      </c>
      <c r="FW118" s="26">
        <v>0</v>
      </c>
      <c r="FX118" s="26">
        <v>-1.4551915228366852E-11</v>
      </c>
      <c r="GA118" s="26">
        <v>18</v>
      </c>
      <c r="GB118" s="26">
        <v>1.5</v>
      </c>
      <c r="GC118" s="26">
        <v>-47.799266815185547</v>
      </c>
      <c r="GD118" s="26">
        <v>-4.9112713895738125E-11</v>
      </c>
      <c r="GE118" s="26">
        <v>0</v>
      </c>
      <c r="GF118" s="26">
        <v>0</v>
      </c>
      <c r="GG118" s="26">
        <v>0</v>
      </c>
      <c r="GH118" s="26">
        <v>-1.0913936421275139E-11</v>
      </c>
      <c r="GK118" s="26">
        <v>18</v>
      </c>
      <c r="GL118" s="26">
        <v>1.5</v>
      </c>
      <c r="GM118" s="26">
        <v>-43.121562957763672</v>
      </c>
      <c r="GN118" s="26">
        <v>-9.4587448984384537E-11</v>
      </c>
      <c r="GO118" s="26">
        <v>0</v>
      </c>
      <c r="GP118" s="26">
        <v>0</v>
      </c>
      <c r="GQ118" s="26">
        <v>0</v>
      </c>
      <c r="GR118" s="26">
        <v>-7.2759576141834259E-12</v>
      </c>
      <c r="GU118" s="26">
        <v>18</v>
      </c>
      <c r="GV118" s="26">
        <v>1.5</v>
      </c>
      <c r="GW118" s="26">
        <v>-12.627573013305664</v>
      </c>
      <c r="GX118" s="26">
        <v>1.3642420526593924E-12</v>
      </c>
      <c r="GY118" s="26">
        <v>0</v>
      </c>
      <c r="GZ118" s="26">
        <v>0</v>
      </c>
      <c r="HA118" s="26">
        <v>0</v>
      </c>
      <c r="HB118" s="26">
        <v>2.5579538487363607E-12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913"/>
  <sheetViews>
    <sheetView zoomScaleNormal="100" workbookViewId="0">
      <selection activeCell="C28" sqref="C28:M29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231</v>
      </c>
      <c r="B1" t="s">
        <v>232</v>
      </c>
      <c r="C1" t="s">
        <v>233</v>
      </c>
      <c r="D1" t="s">
        <v>234</v>
      </c>
      <c r="E1" t="s">
        <v>235</v>
      </c>
      <c r="F1" t="s">
        <v>139</v>
      </c>
      <c r="G1" t="s">
        <v>236</v>
      </c>
      <c r="H1" t="s">
        <v>237</v>
      </c>
      <c r="I1" t="s">
        <v>238</v>
      </c>
      <c r="J1" t="s">
        <v>239</v>
      </c>
      <c r="K1" t="s">
        <v>240</v>
      </c>
      <c r="L1" t="s">
        <v>241</v>
      </c>
      <c r="M1" t="s">
        <v>242</v>
      </c>
    </row>
    <row r="2" spans="1:13">
      <c r="A2">
        <v>1</v>
      </c>
      <c r="B2" t="s">
        <v>243</v>
      </c>
      <c r="C2">
        <v>1</v>
      </c>
      <c r="D2">
        <v>0</v>
      </c>
      <c r="E2">
        <v>1</v>
      </c>
      <c r="F2" t="s">
        <v>244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243</v>
      </c>
      <c r="C3">
        <v>1</v>
      </c>
      <c r="D3">
        <v>2</v>
      </c>
      <c r="E3">
        <v>4</v>
      </c>
      <c r="F3" t="s">
        <v>245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>
        <v>1</v>
      </c>
      <c r="B4" t="s">
        <v>243</v>
      </c>
      <c r="C4">
        <v>2</v>
      </c>
      <c r="D4">
        <v>3</v>
      </c>
      <c r="E4">
        <v>6</v>
      </c>
      <c r="F4" t="s">
        <v>244</v>
      </c>
      <c r="G4">
        <v>0</v>
      </c>
      <c r="H4">
        <v>3146.33</v>
      </c>
      <c r="I4">
        <v>4607.95</v>
      </c>
      <c r="J4">
        <v>775.74</v>
      </c>
      <c r="K4">
        <v>-223</v>
      </c>
      <c r="L4">
        <v>4480.9399999999996</v>
      </c>
      <c r="M4">
        <v>-112.77</v>
      </c>
    </row>
    <row r="5" spans="1:13">
      <c r="A5">
        <v>1</v>
      </c>
      <c r="B5" t="s">
        <v>243</v>
      </c>
      <c r="C5">
        <v>2</v>
      </c>
      <c r="D5">
        <v>3</v>
      </c>
      <c r="E5">
        <v>0</v>
      </c>
      <c r="F5">
        <v>1</v>
      </c>
      <c r="G5">
        <v>2.2000000000000002</v>
      </c>
      <c r="H5">
        <v>17161.669999999998</v>
      </c>
      <c r="I5">
        <v>7583.54</v>
      </c>
      <c r="J5">
        <v>28.3</v>
      </c>
      <c r="K5">
        <v>0</v>
      </c>
      <c r="L5">
        <v>0</v>
      </c>
      <c r="M5">
        <v>0</v>
      </c>
    </row>
    <row r="6" spans="1:13">
      <c r="A6">
        <v>1</v>
      </c>
      <c r="B6" t="s">
        <v>243</v>
      </c>
      <c r="C6">
        <v>2</v>
      </c>
      <c r="D6">
        <v>3</v>
      </c>
      <c r="E6">
        <v>0</v>
      </c>
      <c r="F6">
        <v>2</v>
      </c>
      <c r="G6">
        <v>2.2000000000000002</v>
      </c>
      <c r="H6">
        <v>17161.669999999998</v>
      </c>
      <c r="I6">
        <v>7583.54</v>
      </c>
      <c r="J6">
        <v>28.3</v>
      </c>
      <c r="K6">
        <v>0</v>
      </c>
      <c r="L6">
        <v>0</v>
      </c>
      <c r="M6">
        <v>0</v>
      </c>
    </row>
    <row r="7" spans="1:13">
      <c r="A7">
        <v>1</v>
      </c>
      <c r="B7" t="s">
        <v>243</v>
      </c>
      <c r="C7">
        <v>2</v>
      </c>
      <c r="D7">
        <v>3</v>
      </c>
      <c r="E7">
        <v>0</v>
      </c>
      <c r="F7" t="s">
        <v>245</v>
      </c>
      <c r="G7">
        <v>3</v>
      </c>
      <c r="H7">
        <v>23228.5</v>
      </c>
      <c r="I7">
        <v>7583.54</v>
      </c>
      <c r="J7">
        <v>28.3</v>
      </c>
      <c r="K7">
        <v>0</v>
      </c>
      <c r="L7">
        <v>0</v>
      </c>
      <c r="M7">
        <v>0</v>
      </c>
    </row>
    <row r="8" spans="1:13">
      <c r="A8">
        <v>1</v>
      </c>
      <c r="B8" t="s">
        <v>243</v>
      </c>
      <c r="C8">
        <v>3</v>
      </c>
      <c r="D8">
        <v>1</v>
      </c>
      <c r="E8">
        <v>0</v>
      </c>
      <c r="F8" t="s">
        <v>244</v>
      </c>
      <c r="G8">
        <v>0</v>
      </c>
      <c r="H8">
        <v>10660.34</v>
      </c>
      <c r="I8">
        <v>-9112.74</v>
      </c>
      <c r="J8">
        <v>-740.23</v>
      </c>
      <c r="K8">
        <v>0</v>
      </c>
      <c r="L8">
        <v>0</v>
      </c>
      <c r="M8">
        <v>0</v>
      </c>
    </row>
    <row r="9" spans="1:13">
      <c r="A9">
        <v>1</v>
      </c>
      <c r="B9" t="s">
        <v>243</v>
      </c>
      <c r="C9">
        <v>3</v>
      </c>
      <c r="D9">
        <v>1</v>
      </c>
      <c r="E9">
        <v>0</v>
      </c>
      <c r="F9">
        <v>1</v>
      </c>
      <c r="G9">
        <v>0.8</v>
      </c>
      <c r="H9">
        <v>3897.09</v>
      </c>
      <c r="I9">
        <v>-6426.28</v>
      </c>
      <c r="J9">
        <v>-65.709999999999994</v>
      </c>
      <c r="K9">
        <v>0</v>
      </c>
      <c r="L9">
        <v>0</v>
      </c>
      <c r="M9">
        <v>0</v>
      </c>
    </row>
    <row r="10" spans="1:13">
      <c r="A10">
        <v>1</v>
      </c>
      <c r="B10" t="s">
        <v>243</v>
      </c>
      <c r="C10">
        <v>3</v>
      </c>
      <c r="D10">
        <v>1</v>
      </c>
      <c r="E10">
        <v>0</v>
      </c>
      <c r="F10">
        <v>2</v>
      </c>
      <c r="G10">
        <v>0.8</v>
      </c>
      <c r="H10">
        <v>3897.09</v>
      </c>
      <c r="I10">
        <v>-6426.28</v>
      </c>
      <c r="J10">
        <v>-65.709999999999994</v>
      </c>
      <c r="K10">
        <v>0</v>
      </c>
      <c r="L10">
        <v>0</v>
      </c>
      <c r="M10">
        <v>0</v>
      </c>
    </row>
    <row r="11" spans="1:13">
      <c r="A11">
        <v>1</v>
      </c>
      <c r="B11" t="s">
        <v>243</v>
      </c>
      <c r="C11">
        <v>3</v>
      </c>
      <c r="D11">
        <v>6</v>
      </c>
      <c r="E11">
        <v>3</v>
      </c>
      <c r="F11" t="s">
        <v>245</v>
      </c>
      <c r="G11">
        <v>1.5</v>
      </c>
      <c r="H11">
        <v>218.69</v>
      </c>
      <c r="I11">
        <v>-2768.68</v>
      </c>
      <c r="J11">
        <v>112.18</v>
      </c>
      <c r="K11">
        <v>-3152.74</v>
      </c>
      <c r="L11">
        <v>-9075.66</v>
      </c>
      <c r="M11">
        <v>-776.58</v>
      </c>
    </row>
    <row r="12" spans="1:13">
      <c r="A12">
        <v>1</v>
      </c>
      <c r="B12" t="s">
        <v>243</v>
      </c>
      <c r="C12">
        <v>4</v>
      </c>
      <c r="D12">
        <v>6</v>
      </c>
      <c r="E12">
        <v>3</v>
      </c>
      <c r="F12" t="s">
        <v>244</v>
      </c>
      <c r="G12">
        <v>0</v>
      </c>
      <c r="H12">
        <v>223</v>
      </c>
      <c r="I12">
        <v>-112.77</v>
      </c>
      <c r="J12">
        <v>-4480.9399999999996</v>
      </c>
      <c r="K12">
        <v>-3146.33</v>
      </c>
      <c r="L12">
        <v>775.74</v>
      </c>
      <c r="M12">
        <v>-4607.95</v>
      </c>
    </row>
    <row r="13" spans="1:13">
      <c r="A13">
        <v>1</v>
      </c>
      <c r="B13" t="s">
        <v>243</v>
      </c>
      <c r="C13">
        <v>4</v>
      </c>
      <c r="D13">
        <v>6</v>
      </c>
      <c r="E13">
        <v>3</v>
      </c>
      <c r="F13" t="s">
        <v>245</v>
      </c>
      <c r="G13">
        <v>1</v>
      </c>
      <c r="H13">
        <v>110.23</v>
      </c>
      <c r="I13">
        <v>-112.77</v>
      </c>
      <c r="J13">
        <v>-4480.9399999999996</v>
      </c>
      <c r="K13">
        <v>-2370.59</v>
      </c>
      <c r="L13">
        <v>775.74</v>
      </c>
      <c r="M13">
        <v>-4607.95</v>
      </c>
    </row>
    <row r="14" spans="1:13">
      <c r="A14">
        <v>1</v>
      </c>
      <c r="B14" t="s">
        <v>243</v>
      </c>
      <c r="C14">
        <v>5</v>
      </c>
      <c r="D14">
        <v>6</v>
      </c>
      <c r="E14">
        <v>3</v>
      </c>
      <c r="F14" t="s">
        <v>244</v>
      </c>
      <c r="G14">
        <v>0</v>
      </c>
      <c r="H14">
        <v>110.23</v>
      </c>
      <c r="I14">
        <v>-112.77</v>
      </c>
      <c r="J14">
        <v>-4480.9399999999996</v>
      </c>
      <c r="K14">
        <v>-2370.59</v>
      </c>
      <c r="L14">
        <v>775.74</v>
      </c>
      <c r="M14">
        <v>-4607.95</v>
      </c>
    </row>
    <row r="15" spans="1:13">
      <c r="A15">
        <v>1</v>
      </c>
      <c r="B15" t="s">
        <v>243</v>
      </c>
      <c r="C15">
        <v>5</v>
      </c>
      <c r="D15">
        <v>0</v>
      </c>
      <c r="E15">
        <v>3</v>
      </c>
      <c r="F15" t="s">
        <v>245</v>
      </c>
      <c r="G15">
        <v>2.2400000000000002</v>
      </c>
      <c r="H15">
        <v>0</v>
      </c>
      <c r="I15">
        <v>0</v>
      </c>
      <c r="J15">
        <v>0</v>
      </c>
      <c r="K15">
        <v>-632.94000000000005</v>
      </c>
      <c r="L15">
        <v>775.74</v>
      </c>
      <c r="M15">
        <v>-4607.95</v>
      </c>
    </row>
    <row r="16" spans="1:13">
      <c r="A16">
        <v>1</v>
      </c>
      <c r="B16" t="s">
        <v>243</v>
      </c>
      <c r="C16">
        <v>6</v>
      </c>
      <c r="D16">
        <v>0</v>
      </c>
      <c r="E16">
        <v>3</v>
      </c>
      <c r="F16" t="s">
        <v>244</v>
      </c>
      <c r="G16">
        <v>0</v>
      </c>
      <c r="H16">
        <v>0</v>
      </c>
      <c r="I16">
        <v>0</v>
      </c>
      <c r="J16">
        <v>0</v>
      </c>
      <c r="K16">
        <v>-632.94000000000005</v>
      </c>
      <c r="L16">
        <v>775.74</v>
      </c>
      <c r="M16">
        <v>-4607.95</v>
      </c>
    </row>
    <row r="17" spans="1:13">
      <c r="A17">
        <v>1</v>
      </c>
      <c r="B17" t="s">
        <v>243</v>
      </c>
      <c r="C17">
        <v>6</v>
      </c>
      <c r="D17">
        <v>3</v>
      </c>
      <c r="E17">
        <v>6</v>
      </c>
      <c r="F17" t="s">
        <v>245</v>
      </c>
      <c r="G17">
        <v>3.6</v>
      </c>
      <c r="H17">
        <v>807.56</v>
      </c>
      <c r="I17">
        <v>101.43</v>
      </c>
      <c r="J17">
        <v>-4170.04</v>
      </c>
      <c r="K17">
        <v>-248.92</v>
      </c>
      <c r="L17">
        <v>29.37</v>
      </c>
      <c r="M17">
        <v>-4016.07</v>
      </c>
    </row>
    <row r="18" spans="1:13">
      <c r="A18">
        <v>1</v>
      </c>
      <c r="B18" t="s">
        <v>243</v>
      </c>
      <c r="C18">
        <v>7</v>
      </c>
      <c r="D18">
        <v>3</v>
      </c>
      <c r="E18">
        <v>6</v>
      </c>
      <c r="F18" t="s">
        <v>244</v>
      </c>
      <c r="G18">
        <v>0</v>
      </c>
      <c r="H18">
        <v>807.56</v>
      </c>
      <c r="I18">
        <v>101.43</v>
      </c>
      <c r="J18">
        <v>-4170.04</v>
      </c>
      <c r="K18">
        <v>-248.92</v>
      </c>
      <c r="L18">
        <v>29.37</v>
      </c>
      <c r="M18">
        <v>-4016.07</v>
      </c>
    </row>
    <row r="19" spans="1:13">
      <c r="A19">
        <v>1</v>
      </c>
      <c r="B19" t="s">
        <v>243</v>
      </c>
      <c r="C19">
        <v>7</v>
      </c>
      <c r="D19">
        <v>3</v>
      </c>
      <c r="E19">
        <v>6</v>
      </c>
      <c r="F19" t="s">
        <v>245</v>
      </c>
      <c r="G19">
        <v>2.7</v>
      </c>
      <c r="H19">
        <v>983.97</v>
      </c>
      <c r="I19">
        <v>37.58</v>
      </c>
      <c r="J19">
        <v>-4086</v>
      </c>
      <c r="K19">
        <v>-155.80000000000001</v>
      </c>
      <c r="L19">
        <v>37.57</v>
      </c>
      <c r="M19">
        <v>-3929.41</v>
      </c>
    </row>
    <row r="20" spans="1:13">
      <c r="A20">
        <v>1</v>
      </c>
      <c r="B20" t="s">
        <v>243</v>
      </c>
      <c r="C20">
        <v>8</v>
      </c>
      <c r="D20">
        <v>3</v>
      </c>
      <c r="E20">
        <v>6</v>
      </c>
      <c r="F20" t="s">
        <v>244</v>
      </c>
      <c r="G20">
        <v>0</v>
      </c>
      <c r="H20">
        <v>983.97</v>
      </c>
      <c r="I20">
        <v>37.58</v>
      </c>
      <c r="J20">
        <v>-4086</v>
      </c>
      <c r="K20">
        <v>-155.80000000000001</v>
      </c>
      <c r="L20">
        <v>37.57</v>
      </c>
      <c r="M20">
        <v>-3929.41</v>
      </c>
    </row>
    <row r="21" spans="1:13">
      <c r="A21">
        <v>1</v>
      </c>
      <c r="B21" t="s">
        <v>243</v>
      </c>
      <c r="C21">
        <v>8</v>
      </c>
      <c r="D21">
        <v>3</v>
      </c>
      <c r="E21">
        <v>6</v>
      </c>
      <c r="F21" t="s">
        <v>245</v>
      </c>
      <c r="G21">
        <v>2.8</v>
      </c>
      <c r="H21">
        <v>829.72</v>
      </c>
      <c r="I21">
        <v>-114.93</v>
      </c>
      <c r="J21">
        <v>-3559.26</v>
      </c>
      <c r="K21">
        <v>-45.29</v>
      </c>
      <c r="L21">
        <v>36.130000000000003</v>
      </c>
      <c r="M21">
        <v>-3401.04</v>
      </c>
    </row>
    <row r="22" spans="1:13">
      <c r="A22">
        <v>1</v>
      </c>
      <c r="B22" t="s">
        <v>243</v>
      </c>
      <c r="C22">
        <v>9</v>
      </c>
      <c r="D22">
        <v>3</v>
      </c>
      <c r="E22">
        <v>6</v>
      </c>
      <c r="F22" t="s">
        <v>244</v>
      </c>
      <c r="G22">
        <v>0</v>
      </c>
      <c r="H22">
        <v>829.72</v>
      </c>
      <c r="I22">
        <v>-114.93</v>
      </c>
      <c r="J22">
        <v>-3559.26</v>
      </c>
      <c r="K22">
        <v>-45.29</v>
      </c>
      <c r="L22">
        <v>36.130000000000003</v>
      </c>
      <c r="M22">
        <v>-3401.04</v>
      </c>
    </row>
    <row r="23" spans="1:13">
      <c r="A23">
        <v>1</v>
      </c>
      <c r="B23" t="s">
        <v>243</v>
      </c>
      <c r="C23">
        <v>9</v>
      </c>
      <c r="D23">
        <v>0</v>
      </c>
      <c r="E23">
        <v>3</v>
      </c>
      <c r="F23" t="s">
        <v>245</v>
      </c>
      <c r="G23">
        <v>8.16</v>
      </c>
      <c r="H23">
        <v>0</v>
      </c>
      <c r="I23">
        <v>0</v>
      </c>
      <c r="J23">
        <v>0</v>
      </c>
      <c r="K23">
        <v>0</v>
      </c>
      <c r="L23">
        <v>0</v>
      </c>
      <c r="M23">
        <v>-916.73</v>
      </c>
    </row>
    <row r="24" spans="1:13">
      <c r="A24">
        <v>1</v>
      </c>
      <c r="B24" t="s">
        <v>243</v>
      </c>
      <c r="C24">
        <v>10</v>
      </c>
      <c r="D24">
        <v>0</v>
      </c>
      <c r="E24">
        <v>3</v>
      </c>
      <c r="F24" t="s">
        <v>244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-916.73</v>
      </c>
    </row>
    <row r="25" spans="1:13">
      <c r="A25">
        <v>1</v>
      </c>
      <c r="B25" t="s">
        <v>243</v>
      </c>
      <c r="C25">
        <v>10</v>
      </c>
      <c r="D25">
        <v>6</v>
      </c>
      <c r="E25">
        <v>0</v>
      </c>
      <c r="F25" t="s">
        <v>245</v>
      </c>
      <c r="G25">
        <v>1.5</v>
      </c>
      <c r="H25">
        <v>0</v>
      </c>
      <c r="I25">
        <v>0</v>
      </c>
      <c r="J25">
        <v>-149.33000000000001</v>
      </c>
      <c r="K25">
        <v>0</v>
      </c>
      <c r="L25">
        <v>0</v>
      </c>
      <c r="M25">
        <v>0</v>
      </c>
    </row>
    <row r="26" spans="1:13">
      <c r="A26">
        <v>1</v>
      </c>
      <c r="B26" t="s">
        <v>243</v>
      </c>
      <c r="C26">
        <v>11</v>
      </c>
      <c r="D26">
        <v>6</v>
      </c>
      <c r="E26">
        <v>3</v>
      </c>
      <c r="F26" t="s">
        <v>244</v>
      </c>
      <c r="G26">
        <v>0</v>
      </c>
      <c r="H26">
        <v>218.69</v>
      </c>
      <c r="I26">
        <v>-112.18</v>
      </c>
      <c r="J26">
        <v>-2768.68</v>
      </c>
      <c r="K26">
        <v>-3152.74</v>
      </c>
      <c r="L26">
        <v>776.58</v>
      </c>
      <c r="M26">
        <v>-9075.66</v>
      </c>
    </row>
    <row r="27" spans="1:13">
      <c r="A27">
        <v>1</v>
      </c>
      <c r="B27" t="s">
        <v>243</v>
      </c>
      <c r="C27">
        <v>11</v>
      </c>
      <c r="D27">
        <v>6</v>
      </c>
      <c r="E27">
        <v>3</v>
      </c>
      <c r="F27" t="s">
        <v>245</v>
      </c>
      <c r="G27">
        <v>1</v>
      </c>
      <c r="H27">
        <v>106.51</v>
      </c>
      <c r="I27">
        <v>-112.18</v>
      </c>
      <c r="J27">
        <v>-2768.68</v>
      </c>
      <c r="K27">
        <v>-2376.16</v>
      </c>
      <c r="L27">
        <v>776.58</v>
      </c>
      <c r="M27">
        <v>-9075.66</v>
      </c>
    </row>
    <row r="28" spans="1:13">
      <c r="A28">
        <v>1</v>
      </c>
      <c r="B28" t="s">
        <v>243</v>
      </c>
      <c r="C28">
        <v>12</v>
      </c>
      <c r="D28">
        <v>6</v>
      </c>
      <c r="E28">
        <v>3</v>
      </c>
      <c r="F28" t="s">
        <v>244</v>
      </c>
      <c r="G28">
        <v>0</v>
      </c>
      <c r="H28">
        <v>106.51</v>
      </c>
      <c r="I28">
        <v>-112.18</v>
      </c>
      <c r="J28">
        <v>-2768.68</v>
      </c>
      <c r="K28">
        <v>-2376.16</v>
      </c>
      <c r="L28">
        <v>776.58</v>
      </c>
      <c r="M28">
        <v>-9075.66</v>
      </c>
    </row>
    <row r="29" spans="1:13">
      <c r="A29">
        <v>1</v>
      </c>
      <c r="B29" t="s">
        <v>243</v>
      </c>
      <c r="C29">
        <v>12</v>
      </c>
      <c r="D29">
        <v>0</v>
      </c>
      <c r="E29">
        <v>3</v>
      </c>
      <c r="F29" t="s">
        <v>245</v>
      </c>
      <c r="G29">
        <v>2.2400000000000002</v>
      </c>
      <c r="H29">
        <v>0</v>
      </c>
      <c r="I29">
        <v>0</v>
      </c>
      <c r="J29">
        <v>0</v>
      </c>
      <c r="K29">
        <v>-636.62</v>
      </c>
      <c r="L29">
        <v>776.58</v>
      </c>
      <c r="M29">
        <v>-9075.66</v>
      </c>
    </row>
    <row r="30" spans="1:13">
      <c r="A30">
        <v>1</v>
      </c>
      <c r="B30" t="s">
        <v>243</v>
      </c>
      <c r="C30">
        <v>13</v>
      </c>
      <c r="D30">
        <v>0</v>
      </c>
      <c r="E30">
        <v>3</v>
      </c>
      <c r="F30" t="s">
        <v>244</v>
      </c>
      <c r="G30">
        <v>0</v>
      </c>
      <c r="H30">
        <v>0</v>
      </c>
      <c r="I30">
        <v>0</v>
      </c>
      <c r="J30">
        <v>0</v>
      </c>
      <c r="K30">
        <v>-636.62</v>
      </c>
      <c r="L30">
        <v>776.58</v>
      </c>
      <c r="M30">
        <v>-9075.66</v>
      </c>
    </row>
    <row r="31" spans="1:13">
      <c r="A31">
        <v>1</v>
      </c>
      <c r="B31" t="s">
        <v>243</v>
      </c>
      <c r="C31">
        <v>13</v>
      </c>
      <c r="D31">
        <v>3</v>
      </c>
      <c r="E31">
        <v>6</v>
      </c>
      <c r="F31" t="s">
        <v>245</v>
      </c>
      <c r="G31">
        <v>3.6</v>
      </c>
      <c r="H31">
        <v>806.21</v>
      </c>
      <c r="I31">
        <v>101.89</v>
      </c>
      <c r="J31">
        <v>-8150.8</v>
      </c>
      <c r="K31">
        <v>-249.73</v>
      </c>
      <c r="L31">
        <v>29.66</v>
      </c>
      <c r="M31">
        <v>-2505.19</v>
      </c>
    </row>
    <row r="32" spans="1:13">
      <c r="A32">
        <v>1</v>
      </c>
      <c r="B32" t="s">
        <v>243</v>
      </c>
      <c r="C32">
        <v>14</v>
      </c>
      <c r="D32">
        <v>3</v>
      </c>
      <c r="E32">
        <v>6</v>
      </c>
      <c r="F32" t="s">
        <v>244</v>
      </c>
      <c r="G32">
        <v>0</v>
      </c>
      <c r="H32">
        <v>806.21</v>
      </c>
      <c r="I32">
        <v>101.89</v>
      </c>
      <c r="J32">
        <v>-8150.8</v>
      </c>
      <c r="K32">
        <v>-249.73</v>
      </c>
      <c r="L32">
        <v>29.66</v>
      </c>
      <c r="M32">
        <v>-2505.19</v>
      </c>
    </row>
    <row r="33" spans="1:13">
      <c r="A33">
        <v>1</v>
      </c>
      <c r="B33" t="s">
        <v>243</v>
      </c>
      <c r="C33">
        <v>14</v>
      </c>
      <c r="D33">
        <v>3</v>
      </c>
      <c r="E33">
        <v>6</v>
      </c>
      <c r="F33" t="s">
        <v>245</v>
      </c>
      <c r="G33">
        <v>2.7</v>
      </c>
      <c r="H33">
        <v>983.76</v>
      </c>
      <c r="I33">
        <v>37.97</v>
      </c>
      <c r="J33">
        <v>-7977.4</v>
      </c>
      <c r="K33">
        <v>-155.88</v>
      </c>
      <c r="L33">
        <v>37.82</v>
      </c>
      <c r="M33">
        <v>-2454.65</v>
      </c>
    </row>
    <row r="34" spans="1:13">
      <c r="A34">
        <v>1</v>
      </c>
      <c r="B34" t="s">
        <v>243</v>
      </c>
      <c r="C34">
        <v>15</v>
      </c>
      <c r="D34">
        <v>3</v>
      </c>
      <c r="E34">
        <v>6</v>
      </c>
      <c r="F34" t="s">
        <v>244</v>
      </c>
      <c r="G34">
        <v>0</v>
      </c>
      <c r="H34">
        <v>983.76</v>
      </c>
      <c r="I34">
        <v>37.97</v>
      </c>
      <c r="J34">
        <v>-7977.4</v>
      </c>
      <c r="K34">
        <v>-155.88</v>
      </c>
      <c r="L34">
        <v>37.82</v>
      </c>
      <c r="M34">
        <v>-2454.65</v>
      </c>
    </row>
    <row r="35" spans="1:13">
      <c r="A35">
        <v>1</v>
      </c>
      <c r="B35" t="s">
        <v>243</v>
      </c>
      <c r="C35">
        <v>15</v>
      </c>
      <c r="D35">
        <v>3</v>
      </c>
      <c r="E35">
        <v>6</v>
      </c>
      <c r="F35" t="s">
        <v>245</v>
      </c>
      <c r="G35">
        <v>2.8</v>
      </c>
      <c r="H35">
        <v>830.18</v>
      </c>
      <c r="I35">
        <v>-114.81</v>
      </c>
      <c r="J35">
        <v>-6914.14</v>
      </c>
      <c r="K35">
        <v>-44.96</v>
      </c>
      <c r="L35">
        <v>36.19</v>
      </c>
      <c r="M35">
        <v>-2138.0100000000002</v>
      </c>
    </row>
    <row r="36" spans="1:13">
      <c r="A36">
        <v>1</v>
      </c>
      <c r="B36" t="s">
        <v>243</v>
      </c>
      <c r="C36">
        <v>16</v>
      </c>
      <c r="D36">
        <v>3</v>
      </c>
      <c r="E36">
        <v>6</v>
      </c>
      <c r="F36" t="s">
        <v>244</v>
      </c>
      <c r="G36">
        <v>0</v>
      </c>
      <c r="H36">
        <v>830.18</v>
      </c>
      <c r="I36">
        <v>-114.81</v>
      </c>
      <c r="J36">
        <v>-6914.14</v>
      </c>
      <c r="K36">
        <v>-44.96</v>
      </c>
      <c r="L36">
        <v>36.19</v>
      </c>
      <c r="M36">
        <v>-2138.0100000000002</v>
      </c>
    </row>
    <row r="37" spans="1:13">
      <c r="A37">
        <v>1</v>
      </c>
      <c r="B37" t="s">
        <v>243</v>
      </c>
      <c r="C37">
        <v>16</v>
      </c>
      <c r="D37">
        <v>1</v>
      </c>
      <c r="E37">
        <v>0</v>
      </c>
      <c r="F37" t="s">
        <v>245</v>
      </c>
      <c r="G37">
        <v>8.16</v>
      </c>
      <c r="H37">
        <v>0</v>
      </c>
      <c r="I37">
        <v>0</v>
      </c>
      <c r="J37">
        <v>-1763.68</v>
      </c>
      <c r="K37">
        <v>0</v>
      </c>
      <c r="L37">
        <v>0</v>
      </c>
      <c r="M37">
        <v>0</v>
      </c>
    </row>
    <row r="38" spans="1:13">
      <c r="A38">
        <v>1</v>
      </c>
      <c r="B38" t="s">
        <v>243</v>
      </c>
      <c r="C38">
        <v>17</v>
      </c>
      <c r="D38">
        <v>3</v>
      </c>
      <c r="E38">
        <v>0</v>
      </c>
      <c r="F38" t="s">
        <v>244</v>
      </c>
      <c r="G38">
        <v>0</v>
      </c>
      <c r="H38">
        <v>0</v>
      </c>
      <c r="I38">
        <v>0</v>
      </c>
      <c r="J38">
        <v>-1204</v>
      </c>
      <c r="K38">
        <v>0</v>
      </c>
      <c r="L38">
        <v>0</v>
      </c>
      <c r="M38">
        <v>0</v>
      </c>
    </row>
    <row r="39" spans="1:13">
      <c r="A39">
        <v>1</v>
      </c>
      <c r="B39" t="s">
        <v>243</v>
      </c>
      <c r="C39">
        <v>17</v>
      </c>
      <c r="D39">
        <v>0</v>
      </c>
      <c r="E39">
        <v>5</v>
      </c>
      <c r="F39" t="s">
        <v>245</v>
      </c>
      <c r="G39">
        <v>1.5</v>
      </c>
      <c r="H39">
        <v>0</v>
      </c>
      <c r="I39">
        <v>0</v>
      </c>
      <c r="J39">
        <v>0</v>
      </c>
      <c r="K39">
        <v>0</v>
      </c>
      <c r="L39">
        <v>0</v>
      </c>
      <c r="M39">
        <v>-284.26</v>
      </c>
    </row>
    <row r="40" spans="1:13">
      <c r="A40">
        <v>1</v>
      </c>
      <c r="B40" t="s">
        <v>246</v>
      </c>
      <c r="C40">
        <v>1</v>
      </c>
      <c r="D40">
        <v>3</v>
      </c>
      <c r="E40">
        <v>6</v>
      </c>
      <c r="F40" t="s">
        <v>244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>
      <c r="A41">
        <v>1</v>
      </c>
      <c r="B41" t="s">
        <v>246</v>
      </c>
      <c r="C41">
        <v>1</v>
      </c>
      <c r="D41">
        <v>3</v>
      </c>
      <c r="E41">
        <v>6</v>
      </c>
      <c r="F41" t="s">
        <v>245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>
      <c r="A42">
        <v>1</v>
      </c>
      <c r="B42" t="s">
        <v>246</v>
      </c>
      <c r="C42">
        <v>2</v>
      </c>
      <c r="D42">
        <v>3</v>
      </c>
      <c r="E42">
        <v>0</v>
      </c>
      <c r="F42" t="s">
        <v>244</v>
      </c>
      <c r="G42">
        <v>0</v>
      </c>
      <c r="H42">
        <v>477.88</v>
      </c>
      <c r="I42">
        <v>7583.54</v>
      </c>
      <c r="J42">
        <v>28.3</v>
      </c>
      <c r="K42">
        <v>0</v>
      </c>
      <c r="L42">
        <v>0</v>
      </c>
      <c r="M42">
        <v>0</v>
      </c>
    </row>
    <row r="43" spans="1:13">
      <c r="A43">
        <v>1</v>
      </c>
      <c r="B43" t="s">
        <v>246</v>
      </c>
      <c r="C43">
        <v>2</v>
      </c>
      <c r="D43">
        <v>3</v>
      </c>
      <c r="E43">
        <v>0</v>
      </c>
      <c r="F43">
        <v>1</v>
      </c>
      <c r="G43">
        <v>2.2000000000000002</v>
      </c>
      <c r="H43">
        <v>17161.669999999998</v>
      </c>
      <c r="I43">
        <v>7583.54</v>
      </c>
      <c r="J43">
        <v>28.3</v>
      </c>
      <c r="K43">
        <v>0</v>
      </c>
      <c r="L43">
        <v>0</v>
      </c>
      <c r="M43">
        <v>0</v>
      </c>
    </row>
    <row r="44" spans="1:13">
      <c r="A44">
        <v>1</v>
      </c>
      <c r="B44" t="s">
        <v>246</v>
      </c>
      <c r="C44">
        <v>2</v>
      </c>
      <c r="D44">
        <v>3</v>
      </c>
      <c r="E44">
        <v>0</v>
      </c>
      <c r="F44">
        <v>2</v>
      </c>
      <c r="G44">
        <v>2.2000000000000002</v>
      </c>
      <c r="H44">
        <v>17161.669999999998</v>
      </c>
      <c r="I44">
        <v>7583.54</v>
      </c>
      <c r="J44">
        <v>28.3</v>
      </c>
      <c r="K44">
        <v>0</v>
      </c>
      <c r="L44">
        <v>0</v>
      </c>
      <c r="M44">
        <v>0</v>
      </c>
    </row>
    <row r="45" spans="1:13">
      <c r="A45">
        <v>1</v>
      </c>
      <c r="B45" t="s">
        <v>246</v>
      </c>
      <c r="C45">
        <v>2</v>
      </c>
      <c r="D45">
        <v>3</v>
      </c>
      <c r="E45">
        <v>0</v>
      </c>
      <c r="F45" t="s">
        <v>245</v>
      </c>
      <c r="G45">
        <v>3</v>
      </c>
      <c r="H45">
        <v>23228.5</v>
      </c>
      <c r="I45">
        <v>7583.54</v>
      </c>
      <c r="J45">
        <v>28.3</v>
      </c>
      <c r="K45">
        <v>0</v>
      </c>
      <c r="L45">
        <v>0</v>
      </c>
      <c r="M45">
        <v>0</v>
      </c>
    </row>
    <row r="46" spans="1:13">
      <c r="A46">
        <v>1</v>
      </c>
      <c r="B46" t="s">
        <v>246</v>
      </c>
      <c r="C46">
        <v>3</v>
      </c>
      <c r="D46">
        <v>0</v>
      </c>
      <c r="E46">
        <v>1</v>
      </c>
      <c r="F46" t="s">
        <v>244</v>
      </c>
      <c r="G46">
        <v>0</v>
      </c>
      <c r="H46">
        <v>0</v>
      </c>
      <c r="I46">
        <v>0</v>
      </c>
      <c r="J46">
        <v>0</v>
      </c>
      <c r="K46">
        <v>10660.34</v>
      </c>
      <c r="L46">
        <v>-9112.74</v>
      </c>
      <c r="M46">
        <v>-740.23</v>
      </c>
    </row>
    <row r="47" spans="1:13">
      <c r="A47">
        <v>1</v>
      </c>
      <c r="B47" t="s">
        <v>246</v>
      </c>
      <c r="C47">
        <v>3</v>
      </c>
      <c r="D47">
        <v>0</v>
      </c>
      <c r="E47">
        <v>1</v>
      </c>
      <c r="F47">
        <v>1</v>
      </c>
      <c r="G47">
        <v>0.8</v>
      </c>
      <c r="H47">
        <v>0</v>
      </c>
      <c r="I47">
        <v>0</v>
      </c>
      <c r="J47">
        <v>0</v>
      </c>
      <c r="K47">
        <v>3370.15</v>
      </c>
      <c r="L47">
        <v>-9112.74</v>
      </c>
      <c r="M47">
        <v>-740.23</v>
      </c>
    </row>
    <row r="48" spans="1:13">
      <c r="A48">
        <v>1</v>
      </c>
      <c r="B48" t="s">
        <v>246</v>
      </c>
      <c r="C48">
        <v>3</v>
      </c>
      <c r="D48">
        <v>0</v>
      </c>
      <c r="E48">
        <v>1</v>
      </c>
      <c r="F48">
        <v>2</v>
      </c>
      <c r="G48">
        <v>0.8</v>
      </c>
      <c r="H48">
        <v>0</v>
      </c>
      <c r="I48">
        <v>0</v>
      </c>
      <c r="J48">
        <v>0</v>
      </c>
      <c r="K48">
        <v>3370.15</v>
      </c>
      <c r="L48">
        <v>-9112.74</v>
      </c>
      <c r="M48">
        <v>-740.23</v>
      </c>
    </row>
    <row r="49" spans="1:13">
      <c r="A49">
        <v>1</v>
      </c>
      <c r="B49" t="s">
        <v>246</v>
      </c>
      <c r="C49">
        <v>3</v>
      </c>
      <c r="D49">
        <v>0</v>
      </c>
      <c r="E49">
        <v>1</v>
      </c>
      <c r="F49" t="s">
        <v>245</v>
      </c>
      <c r="G49">
        <v>1.5</v>
      </c>
      <c r="H49">
        <v>0</v>
      </c>
      <c r="I49">
        <v>0</v>
      </c>
      <c r="J49">
        <v>0</v>
      </c>
      <c r="K49">
        <v>-3008.77</v>
      </c>
      <c r="L49">
        <v>-9112.74</v>
      </c>
      <c r="M49">
        <v>-740.23</v>
      </c>
    </row>
    <row r="50" spans="1:13">
      <c r="A50">
        <v>1</v>
      </c>
      <c r="B50" t="s">
        <v>246</v>
      </c>
      <c r="C50">
        <v>4</v>
      </c>
      <c r="D50">
        <v>3</v>
      </c>
      <c r="E50">
        <v>6</v>
      </c>
      <c r="F50" t="s">
        <v>244</v>
      </c>
      <c r="G50">
        <v>0</v>
      </c>
      <c r="H50">
        <v>-3146.33</v>
      </c>
      <c r="I50">
        <v>775.74</v>
      </c>
      <c r="J50">
        <v>-4607.95</v>
      </c>
      <c r="K50">
        <v>223</v>
      </c>
      <c r="L50">
        <v>-112.77</v>
      </c>
      <c r="M50">
        <v>-4480.9399999999996</v>
      </c>
    </row>
    <row r="51" spans="1:13">
      <c r="A51">
        <v>1</v>
      </c>
      <c r="B51" t="s">
        <v>246</v>
      </c>
      <c r="C51">
        <v>4</v>
      </c>
      <c r="D51">
        <v>3</v>
      </c>
      <c r="E51">
        <v>6</v>
      </c>
      <c r="F51" t="s">
        <v>245</v>
      </c>
      <c r="G51">
        <v>1</v>
      </c>
      <c r="H51">
        <v>-2370.59</v>
      </c>
      <c r="I51">
        <v>775.74</v>
      </c>
      <c r="J51">
        <v>-4607.95</v>
      </c>
      <c r="K51">
        <v>110.23</v>
      </c>
      <c r="L51">
        <v>-112.77</v>
      </c>
      <c r="M51">
        <v>-4480.9399999999996</v>
      </c>
    </row>
    <row r="52" spans="1:13">
      <c r="A52">
        <v>1</v>
      </c>
      <c r="B52" t="s">
        <v>246</v>
      </c>
      <c r="C52">
        <v>5</v>
      </c>
      <c r="D52">
        <v>3</v>
      </c>
      <c r="E52">
        <v>6</v>
      </c>
      <c r="F52" t="s">
        <v>244</v>
      </c>
      <c r="G52">
        <v>0</v>
      </c>
      <c r="H52">
        <v>-2370.59</v>
      </c>
      <c r="I52">
        <v>775.74</v>
      </c>
      <c r="J52">
        <v>-4607.95</v>
      </c>
      <c r="K52">
        <v>110.23</v>
      </c>
      <c r="L52">
        <v>-112.77</v>
      </c>
      <c r="M52">
        <v>-4480.9399999999996</v>
      </c>
    </row>
    <row r="53" spans="1:13">
      <c r="A53">
        <v>1</v>
      </c>
      <c r="B53" t="s">
        <v>246</v>
      </c>
      <c r="C53">
        <v>5</v>
      </c>
      <c r="D53">
        <v>3</v>
      </c>
      <c r="E53">
        <v>6</v>
      </c>
      <c r="F53" t="s">
        <v>245</v>
      </c>
      <c r="G53">
        <v>2.2400000000000002</v>
      </c>
      <c r="H53">
        <v>-632.94000000000005</v>
      </c>
      <c r="I53">
        <v>775.74</v>
      </c>
      <c r="J53">
        <v>-4607.95</v>
      </c>
      <c r="K53">
        <v>-142.37</v>
      </c>
      <c r="L53">
        <v>-112.77</v>
      </c>
      <c r="M53">
        <v>-4480.9399999999996</v>
      </c>
    </row>
    <row r="54" spans="1:13">
      <c r="A54">
        <v>1</v>
      </c>
      <c r="B54" t="s">
        <v>246</v>
      </c>
      <c r="C54">
        <v>6</v>
      </c>
      <c r="D54">
        <v>3</v>
      </c>
      <c r="E54">
        <v>6</v>
      </c>
      <c r="F54" t="s">
        <v>244</v>
      </c>
      <c r="G54">
        <v>0</v>
      </c>
      <c r="H54">
        <v>-632.94000000000005</v>
      </c>
      <c r="I54">
        <v>775.74</v>
      </c>
      <c r="J54">
        <v>-4607.95</v>
      </c>
      <c r="K54">
        <v>-142.37</v>
      </c>
      <c r="L54">
        <v>-112.77</v>
      </c>
      <c r="M54">
        <v>-4480.9399999999996</v>
      </c>
    </row>
    <row r="55" spans="1:13">
      <c r="A55">
        <v>1</v>
      </c>
      <c r="B55" t="s">
        <v>246</v>
      </c>
      <c r="C55">
        <v>6</v>
      </c>
      <c r="D55">
        <v>3</v>
      </c>
      <c r="E55">
        <v>0</v>
      </c>
      <c r="F55" t="s">
        <v>245</v>
      </c>
      <c r="G55">
        <v>3.6</v>
      </c>
      <c r="H55">
        <v>807.56</v>
      </c>
      <c r="I55">
        <v>101.43</v>
      </c>
      <c r="J55">
        <v>-4170.04</v>
      </c>
      <c r="K55">
        <v>0</v>
      </c>
      <c r="L55">
        <v>0</v>
      </c>
      <c r="M55">
        <v>0</v>
      </c>
    </row>
    <row r="56" spans="1:13">
      <c r="A56">
        <v>1</v>
      </c>
      <c r="B56" t="s">
        <v>246</v>
      </c>
      <c r="C56">
        <v>7</v>
      </c>
      <c r="D56">
        <v>3</v>
      </c>
      <c r="E56">
        <v>0</v>
      </c>
      <c r="F56" t="s">
        <v>244</v>
      </c>
      <c r="G56">
        <v>0</v>
      </c>
      <c r="H56">
        <v>807.56</v>
      </c>
      <c r="I56">
        <v>101.43</v>
      </c>
      <c r="J56">
        <v>-4170.04</v>
      </c>
      <c r="K56">
        <v>0</v>
      </c>
      <c r="L56">
        <v>0</v>
      </c>
      <c r="M56">
        <v>0</v>
      </c>
    </row>
    <row r="57" spans="1:13">
      <c r="A57">
        <v>1</v>
      </c>
      <c r="B57" t="s">
        <v>246</v>
      </c>
      <c r="C57">
        <v>7</v>
      </c>
      <c r="D57">
        <v>3</v>
      </c>
      <c r="E57">
        <v>0</v>
      </c>
      <c r="F57" t="s">
        <v>245</v>
      </c>
      <c r="G57">
        <v>2.7</v>
      </c>
      <c r="H57">
        <v>-7.2</v>
      </c>
      <c r="I57">
        <v>63.81</v>
      </c>
      <c r="J57">
        <v>-6668.1</v>
      </c>
      <c r="K57">
        <v>0</v>
      </c>
      <c r="L57">
        <v>0</v>
      </c>
      <c r="M57">
        <v>0</v>
      </c>
    </row>
    <row r="58" spans="1:13">
      <c r="A58">
        <v>1</v>
      </c>
      <c r="B58" t="s">
        <v>246</v>
      </c>
      <c r="C58">
        <v>8</v>
      </c>
      <c r="D58">
        <v>3</v>
      </c>
      <c r="E58">
        <v>0</v>
      </c>
      <c r="F58" t="s">
        <v>244</v>
      </c>
      <c r="G58">
        <v>0</v>
      </c>
      <c r="H58">
        <v>-7.2</v>
      </c>
      <c r="I58">
        <v>63.81</v>
      </c>
      <c r="J58">
        <v>-6668.1</v>
      </c>
      <c r="K58">
        <v>0</v>
      </c>
      <c r="L58">
        <v>0</v>
      </c>
      <c r="M58">
        <v>0</v>
      </c>
    </row>
    <row r="59" spans="1:13">
      <c r="A59">
        <v>1</v>
      </c>
      <c r="B59" t="s">
        <v>246</v>
      </c>
      <c r="C59">
        <v>8</v>
      </c>
      <c r="D59">
        <v>6</v>
      </c>
      <c r="E59">
        <v>3</v>
      </c>
      <c r="F59" t="s">
        <v>245</v>
      </c>
      <c r="G59">
        <v>2.8</v>
      </c>
      <c r="H59">
        <v>-45.29</v>
      </c>
      <c r="I59">
        <v>36.130000000000003</v>
      </c>
      <c r="J59">
        <v>-3401.04</v>
      </c>
      <c r="K59">
        <v>829.72</v>
      </c>
      <c r="L59">
        <v>-114.93</v>
      </c>
      <c r="M59">
        <v>-3559.26</v>
      </c>
    </row>
    <row r="60" spans="1:13">
      <c r="A60">
        <v>1</v>
      </c>
      <c r="B60" t="s">
        <v>246</v>
      </c>
      <c r="C60">
        <v>9</v>
      </c>
      <c r="D60">
        <v>6</v>
      </c>
      <c r="E60">
        <v>3</v>
      </c>
      <c r="F60" t="s">
        <v>244</v>
      </c>
      <c r="G60">
        <v>0</v>
      </c>
      <c r="H60">
        <v>-45.29</v>
      </c>
      <c r="I60">
        <v>36.130000000000003</v>
      </c>
      <c r="J60">
        <v>-3401.04</v>
      </c>
      <c r="K60">
        <v>829.72</v>
      </c>
      <c r="L60">
        <v>-114.93</v>
      </c>
      <c r="M60">
        <v>-3559.26</v>
      </c>
    </row>
    <row r="61" spans="1:13">
      <c r="A61">
        <v>1</v>
      </c>
      <c r="B61" t="s">
        <v>246</v>
      </c>
      <c r="C61">
        <v>9</v>
      </c>
      <c r="D61">
        <v>3</v>
      </c>
      <c r="E61">
        <v>0</v>
      </c>
      <c r="F61" t="s">
        <v>245</v>
      </c>
      <c r="G61">
        <v>8.16</v>
      </c>
      <c r="H61">
        <v>0</v>
      </c>
      <c r="I61">
        <v>0</v>
      </c>
      <c r="J61">
        <v>-916.73</v>
      </c>
      <c r="K61">
        <v>0</v>
      </c>
      <c r="L61">
        <v>0</v>
      </c>
      <c r="M61">
        <v>0</v>
      </c>
    </row>
    <row r="62" spans="1:13">
      <c r="A62">
        <v>1</v>
      </c>
      <c r="B62" t="s">
        <v>246</v>
      </c>
      <c r="C62">
        <v>10</v>
      </c>
      <c r="D62">
        <v>3</v>
      </c>
      <c r="E62">
        <v>0</v>
      </c>
      <c r="F62" t="s">
        <v>244</v>
      </c>
      <c r="G62">
        <v>0</v>
      </c>
      <c r="H62">
        <v>0</v>
      </c>
      <c r="I62">
        <v>0</v>
      </c>
      <c r="J62">
        <v>-916.73</v>
      </c>
      <c r="K62">
        <v>0</v>
      </c>
      <c r="L62">
        <v>0</v>
      </c>
      <c r="M62">
        <v>0</v>
      </c>
    </row>
    <row r="63" spans="1:13">
      <c r="A63">
        <v>1</v>
      </c>
      <c r="B63" t="s">
        <v>246</v>
      </c>
      <c r="C63">
        <v>10</v>
      </c>
      <c r="D63">
        <v>3</v>
      </c>
      <c r="E63">
        <v>0</v>
      </c>
      <c r="F63" t="s">
        <v>245</v>
      </c>
      <c r="G63">
        <v>1.5</v>
      </c>
      <c r="H63">
        <v>0</v>
      </c>
      <c r="I63">
        <v>0</v>
      </c>
      <c r="J63">
        <v>-444.01</v>
      </c>
      <c r="K63">
        <v>0</v>
      </c>
      <c r="L63">
        <v>0</v>
      </c>
      <c r="M63">
        <v>0</v>
      </c>
    </row>
    <row r="64" spans="1:13">
      <c r="A64">
        <v>1</v>
      </c>
      <c r="B64" t="s">
        <v>246</v>
      </c>
      <c r="C64">
        <v>11</v>
      </c>
      <c r="D64">
        <v>3</v>
      </c>
      <c r="E64">
        <v>6</v>
      </c>
      <c r="F64" t="s">
        <v>244</v>
      </c>
      <c r="G64">
        <v>0</v>
      </c>
      <c r="H64">
        <v>-3152.74</v>
      </c>
      <c r="I64">
        <v>776.58</v>
      </c>
      <c r="J64">
        <v>-9075.66</v>
      </c>
      <c r="K64">
        <v>218.69</v>
      </c>
      <c r="L64">
        <v>-112.18</v>
      </c>
      <c r="M64">
        <v>-2768.68</v>
      </c>
    </row>
    <row r="65" spans="1:13">
      <c r="A65">
        <v>1</v>
      </c>
      <c r="B65" t="s">
        <v>246</v>
      </c>
      <c r="C65">
        <v>11</v>
      </c>
      <c r="D65">
        <v>3</v>
      </c>
      <c r="E65">
        <v>6</v>
      </c>
      <c r="F65" t="s">
        <v>245</v>
      </c>
      <c r="G65">
        <v>1</v>
      </c>
      <c r="H65">
        <v>-2376.16</v>
      </c>
      <c r="I65">
        <v>776.58</v>
      </c>
      <c r="J65">
        <v>-9075.66</v>
      </c>
      <c r="K65">
        <v>106.51</v>
      </c>
      <c r="L65">
        <v>-112.18</v>
      </c>
      <c r="M65">
        <v>-2768.68</v>
      </c>
    </row>
    <row r="66" spans="1:13">
      <c r="A66">
        <v>1</v>
      </c>
      <c r="B66" t="s">
        <v>246</v>
      </c>
      <c r="C66">
        <v>12</v>
      </c>
      <c r="D66">
        <v>3</v>
      </c>
      <c r="E66">
        <v>6</v>
      </c>
      <c r="F66" t="s">
        <v>244</v>
      </c>
      <c r="G66">
        <v>0</v>
      </c>
      <c r="H66">
        <v>-2376.16</v>
      </c>
      <c r="I66">
        <v>776.58</v>
      </c>
      <c r="J66">
        <v>-9075.66</v>
      </c>
      <c r="K66">
        <v>106.51</v>
      </c>
      <c r="L66">
        <v>-112.18</v>
      </c>
      <c r="M66">
        <v>-2768.68</v>
      </c>
    </row>
    <row r="67" spans="1:13">
      <c r="A67">
        <v>1</v>
      </c>
      <c r="B67" t="s">
        <v>246</v>
      </c>
      <c r="C67">
        <v>12</v>
      </c>
      <c r="D67">
        <v>3</v>
      </c>
      <c r="E67">
        <v>6</v>
      </c>
      <c r="F67" t="s">
        <v>245</v>
      </c>
      <c r="G67">
        <v>2.2400000000000002</v>
      </c>
      <c r="H67">
        <v>-636.62</v>
      </c>
      <c r="I67">
        <v>776.58</v>
      </c>
      <c r="J67">
        <v>-9075.66</v>
      </c>
      <c r="K67">
        <v>-144.78</v>
      </c>
      <c r="L67">
        <v>-112.18</v>
      </c>
      <c r="M67">
        <v>-2768.68</v>
      </c>
    </row>
    <row r="68" spans="1:13">
      <c r="A68">
        <v>1</v>
      </c>
      <c r="B68" t="s">
        <v>246</v>
      </c>
      <c r="C68">
        <v>13</v>
      </c>
      <c r="D68">
        <v>3</v>
      </c>
      <c r="E68">
        <v>6</v>
      </c>
      <c r="F68" t="s">
        <v>244</v>
      </c>
      <c r="G68">
        <v>0</v>
      </c>
      <c r="H68">
        <v>-636.62</v>
      </c>
      <c r="I68">
        <v>776.58</v>
      </c>
      <c r="J68">
        <v>-9075.66</v>
      </c>
      <c r="K68">
        <v>-144.78</v>
      </c>
      <c r="L68">
        <v>-112.18</v>
      </c>
      <c r="M68">
        <v>-2768.68</v>
      </c>
    </row>
    <row r="69" spans="1:13">
      <c r="A69">
        <v>1</v>
      </c>
      <c r="B69" t="s">
        <v>246</v>
      </c>
      <c r="C69">
        <v>13</v>
      </c>
      <c r="D69">
        <v>3</v>
      </c>
      <c r="E69">
        <v>0</v>
      </c>
      <c r="F69" t="s">
        <v>245</v>
      </c>
      <c r="G69">
        <v>3.6</v>
      </c>
      <c r="H69">
        <v>806.21</v>
      </c>
      <c r="I69">
        <v>101.89</v>
      </c>
      <c r="J69">
        <v>-8150.8</v>
      </c>
      <c r="K69">
        <v>0</v>
      </c>
      <c r="L69">
        <v>0</v>
      </c>
      <c r="M69">
        <v>0</v>
      </c>
    </row>
    <row r="70" spans="1:13">
      <c r="A70">
        <v>1</v>
      </c>
      <c r="B70" t="s">
        <v>246</v>
      </c>
      <c r="C70">
        <v>14</v>
      </c>
      <c r="D70">
        <v>3</v>
      </c>
      <c r="E70">
        <v>0</v>
      </c>
      <c r="F70" t="s">
        <v>244</v>
      </c>
      <c r="G70">
        <v>0</v>
      </c>
      <c r="H70">
        <v>806.21</v>
      </c>
      <c r="I70">
        <v>101.89</v>
      </c>
      <c r="J70">
        <v>-8150.8</v>
      </c>
      <c r="K70">
        <v>0</v>
      </c>
      <c r="L70">
        <v>0</v>
      </c>
      <c r="M70">
        <v>0</v>
      </c>
    </row>
    <row r="71" spans="1:13">
      <c r="A71">
        <v>1</v>
      </c>
      <c r="B71" t="s">
        <v>246</v>
      </c>
      <c r="C71">
        <v>14</v>
      </c>
      <c r="D71">
        <v>3</v>
      </c>
      <c r="E71">
        <v>0</v>
      </c>
      <c r="F71" t="s">
        <v>245</v>
      </c>
      <c r="G71">
        <v>2.7</v>
      </c>
      <c r="H71">
        <v>-7.39</v>
      </c>
      <c r="I71">
        <v>64.260000000000005</v>
      </c>
      <c r="J71">
        <v>-5395.3</v>
      </c>
      <c r="K71">
        <v>0</v>
      </c>
      <c r="L71">
        <v>0</v>
      </c>
      <c r="M71">
        <v>0</v>
      </c>
    </row>
    <row r="72" spans="1:13">
      <c r="A72">
        <v>1</v>
      </c>
      <c r="B72" t="s">
        <v>246</v>
      </c>
      <c r="C72">
        <v>15</v>
      </c>
      <c r="D72">
        <v>3</v>
      </c>
      <c r="E72">
        <v>0</v>
      </c>
      <c r="F72" t="s">
        <v>244</v>
      </c>
      <c r="G72">
        <v>0</v>
      </c>
      <c r="H72">
        <v>-7.39</v>
      </c>
      <c r="I72">
        <v>64.260000000000005</v>
      </c>
      <c r="J72">
        <v>-5395.3</v>
      </c>
      <c r="K72">
        <v>0</v>
      </c>
      <c r="L72">
        <v>0</v>
      </c>
      <c r="M72">
        <v>0</v>
      </c>
    </row>
    <row r="73" spans="1:13">
      <c r="A73">
        <v>1</v>
      </c>
      <c r="B73" t="s">
        <v>246</v>
      </c>
      <c r="C73">
        <v>15</v>
      </c>
      <c r="D73">
        <v>6</v>
      </c>
      <c r="E73">
        <v>3</v>
      </c>
      <c r="F73" t="s">
        <v>245</v>
      </c>
      <c r="G73">
        <v>2.8</v>
      </c>
      <c r="H73">
        <v>-44.96</v>
      </c>
      <c r="I73">
        <v>36.19</v>
      </c>
      <c r="J73">
        <v>-2138.0100000000002</v>
      </c>
      <c r="K73">
        <v>830.18</v>
      </c>
      <c r="L73">
        <v>-114.81</v>
      </c>
      <c r="M73">
        <v>-6914.14</v>
      </c>
    </row>
    <row r="74" spans="1:13">
      <c r="A74">
        <v>1</v>
      </c>
      <c r="B74" t="s">
        <v>246</v>
      </c>
      <c r="C74">
        <v>16</v>
      </c>
      <c r="D74">
        <v>6</v>
      </c>
      <c r="E74">
        <v>3</v>
      </c>
      <c r="F74" t="s">
        <v>244</v>
      </c>
      <c r="G74">
        <v>0</v>
      </c>
      <c r="H74">
        <v>-44.96</v>
      </c>
      <c r="I74">
        <v>36.19</v>
      </c>
      <c r="J74">
        <v>-2138.0100000000002</v>
      </c>
      <c r="K74">
        <v>830.18</v>
      </c>
      <c r="L74">
        <v>-114.81</v>
      </c>
      <c r="M74">
        <v>-6914.14</v>
      </c>
    </row>
    <row r="75" spans="1:13">
      <c r="A75">
        <v>1</v>
      </c>
      <c r="B75" t="s">
        <v>246</v>
      </c>
      <c r="C75">
        <v>16</v>
      </c>
      <c r="D75">
        <v>0</v>
      </c>
      <c r="E75">
        <v>3</v>
      </c>
      <c r="F75" t="s">
        <v>245</v>
      </c>
      <c r="G75">
        <v>8.16</v>
      </c>
      <c r="H75">
        <v>0</v>
      </c>
      <c r="I75">
        <v>0</v>
      </c>
      <c r="J75">
        <v>0</v>
      </c>
      <c r="K75">
        <v>0</v>
      </c>
      <c r="L75">
        <v>0</v>
      </c>
      <c r="M75">
        <v>-1756.79</v>
      </c>
    </row>
    <row r="76" spans="1:13">
      <c r="A76">
        <v>1</v>
      </c>
      <c r="B76" t="s">
        <v>246</v>
      </c>
      <c r="C76">
        <v>17</v>
      </c>
      <c r="D76">
        <v>0</v>
      </c>
      <c r="E76">
        <v>3</v>
      </c>
      <c r="F76" t="s">
        <v>244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-1204</v>
      </c>
    </row>
    <row r="77" spans="1:13">
      <c r="A77">
        <v>1</v>
      </c>
      <c r="B77" t="s">
        <v>246</v>
      </c>
      <c r="C77">
        <v>17</v>
      </c>
      <c r="D77">
        <v>0</v>
      </c>
      <c r="E77">
        <v>3</v>
      </c>
      <c r="F77" t="s">
        <v>245</v>
      </c>
      <c r="G77">
        <v>1.5</v>
      </c>
      <c r="H77">
        <v>0</v>
      </c>
      <c r="I77">
        <v>0</v>
      </c>
      <c r="J77">
        <v>0</v>
      </c>
      <c r="K77">
        <v>0</v>
      </c>
      <c r="L77">
        <v>0</v>
      </c>
      <c r="M77">
        <v>-583.04999999999995</v>
      </c>
    </row>
    <row r="78" spans="1:13">
      <c r="A78">
        <v>1</v>
      </c>
      <c r="B78" t="s">
        <v>247</v>
      </c>
      <c r="C78">
        <v>1</v>
      </c>
      <c r="D78">
        <v>0</v>
      </c>
      <c r="E78">
        <v>0</v>
      </c>
      <c r="F78" t="s">
        <v>244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1:13">
      <c r="A79">
        <v>1</v>
      </c>
      <c r="B79" t="s">
        <v>247</v>
      </c>
      <c r="C79">
        <v>1</v>
      </c>
      <c r="D79">
        <v>0</v>
      </c>
      <c r="E79">
        <v>0</v>
      </c>
      <c r="F79" t="s">
        <v>245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>
      <c r="A80">
        <v>1</v>
      </c>
      <c r="B80" t="s">
        <v>247</v>
      </c>
      <c r="C80">
        <v>2</v>
      </c>
      <c r="D80">
        <v>3</v>
      </c>
      <c r="E80">
        <v>6</v>
      </c>
      <c r="F80" t="s">
        <v>244</v>
      </c>
      <c r="G80">
        <v>0</v>
      </c>
      <c r="H80">
        <v>3146.33</v>
      </c>
      <c r="I80">
        <v>4607.95</v>
      </c>
      <c r="J80">
        <v>775.74</v>
      </c>
      <c r="K80">
        <v>-223</v>
      </c>
      <c r="L80">
        <v>4480.9399999999996</v>
      </c>
      <c r="M80">
        <v>-112.77</v>
      </c>
    </row>
    <row r="81" spans="1:13">
      <c r="A81">
        <v>1</v>
      </c>
      <c r="B81" t="s">
        <v>247</v>
      </c>
      <c r="C81">
        <v>2</v>
      </c>
      <c r="D81">
        <v>3</v>
      </c>
      <c r="E81">
        <v>6</v>
      </c>
      <c r="F81">
        <v>1</v>
      </c>
      <c r="G81">
        <v>2.2000000000000002</v>
      </c>
      <c r="H81">
        <v>13283.82</v>
      </c>
      <c r="I81">
        <v>4607.95</v>
      </c>
      <c r="J81">
        <v>775.74</v>
      </c>
      <c r="K81">
        <v>9635.07</v>
      </c>
      <c r="L81">
        <v>4480.9399999999996</v>
      </c>
      <c r="M81">
        <v>-112.77</v>
      </c>
    </row>
    <row r="82" spans="1:13">
      <c r="A82">
        <v>1</v>
      </c>
      <c r="B82" t="s">
        <v>247</v>
      </c>
      <c r="C82">
        <v>2</v>
      </c>
      <c r="D82">
        <v>3</v>
      </c>
      <c r="E82">
        <v>6</v>
      </c>
      <c r="F82">
        <v>2</v>
      </c>
      <c r="G82">
        <v>2.2000000000000002</v>
      </c>
      <c r="H82">
        <v>13283.82</v>
      </c>
      <c r="I82">
        <v>4607.95</v>
      </c>
      <c r="J82">
        <v>775.74</v>
      </c>
      <c r="K82">
        <v>9635.07</v>
      </c>
      <c r="L82">
        <v>4480.9399999999996</v>
      </c>
      <c r="M82">
        <v>-112.77</v>
      </c>
    </row>
    <row r="83" spans="1:13">
      <c r="A83">
        <v>1</v>
      </c>
      <c r="B83" t="s">
        <v>247</v>
      </c>
      <c r="C83">
        <v>2</v>
      </c>
      <c r="D83">
        <v>3</v>
      </c>
      <c r="E83">
        <v>6</v>
      </c>
      <c r="F83" t="s">
        <v>245</v>
      </c>
      <c r="G83">
        <v>3</v>
      </c>
      <c r="H83">
        <v>16970.18</v>
      </c>
      <c r="I83">
        <v>4607.95</v>
      </c>
      <c r="J83">
        <v>775.74</v>
      </c>
      <c r="K83">
        <v>13219.83</v>
      </c>
      <c r="L83">
        <v>4480.9399999999996</v>
      </c>
      <c r="M83">
        <v>-112.77</v>
      </c>
    </row>
    <row r="84" spans="1:13">
      <c r="A84">
        <v>1</v>
      </c>
      <c r="B84" t="s">
        <v>247</v>
      </c>
      <c r="C84">
        <v>3</v>
      </c>
      <c r="D84">
        <v>6</v>
      </c>
      <c r="E84">
        <v>3</v>
      </c>
      <c r="F84" t="s">
        <v>244</v>
      </c>
      <c r="G84">
        <v>0</v>
      </c>
      <c r="H84">
        <v>4371.71</v>
      </c>
      <c r="I84">
        <v>-2768.68</v>
      </c>
      <c r="J84">
        <v>112.18</v>
      </c>
      <c r="K84">
        <v>10460.76</v>
      </c>
      <c r="L84">
        <v>-9075.66</v>
      </c>
      <c r="M84">
        <v>-776.58</v>
      </c>
    </row>
    <row r="85" spans="1:13">
      <c r="A85">
        <v>1</v>
      </c>
      <c r="B85" t="s">
        <v>247</v>
      </c>
      <c r="C85">
        <v>3</v>
      </c>
      <c r="D85">
        <v>6</v>
      </c>
      <c r="E85">
        <v>3</v>
      </c>
      <c r="F85">
        <v>1</v>
      </c>
      <c r="G85">
        <v>0.8</v>
      </c>
      <c r="H85">
        <v>2156.77</v>
      </c>
      <c r="I85">
        <v>-2768.68</v>
      </c>
      <c r="J85">
        <v>112.18</v>
      </c>
      <c r="K85">
        <v>3200.23</v>
      </c>
      <c r="L85">
        <v>-9075.66</v>
      </c>
      <c r="M85">
        <v>-776.58</v>
      </c>
    </row>
    <row r="86" spans="1:13">
      <c r="A86">
        <v>1</v>
      </c>
      <c r="B86" t="s">
        <v>247</v>
      </c>
      <c r="C86">
        <v>3</v>
      </c>
      <c r="D86">
        <v>6</v>
      </c>
      <c r="E86">
        <v>3</v>
      </c>
      <c r="F86">
        <v>2</v>
      </c>
      <c r="G86">
        <v>0.8</v>
      </c>
      <c r="H86">
        <v>2156.77</v>
      </c>
      <c r="I86">
        <v>-2768.68</v>
      </c>
      <c r="J86">
        <v>112.18</v>
      </c>
      <c r="K86">
        <v>3200.23</v>
      </c>
      <c r="L86">
        <v>-9075.66</v>
      </c>
      <c r="M86">
        <v>-776.58</v>
      </c>
    </row>
    <row r="87" spans="1:13">
      <c r="A87">
        <v>1</v>
      </c>
      <c r="B87" t="s">
        <v>247</v>
      </c>
      <c r="C87">
        <v>3</v>
      </c>
      <c r="D87">
        <v>6</v>
      </c>
      <c r="E87">
        <v>3</v>
      </c>
      <c r="F87" t="s">
        <v>245</v>
      </c>
      <c r="G87">
        <v>1.5</v>
      </c>
      <c r="H87">
        <v>218.69</v>
      </c>
      <c r="I87">
        <v>-2768.68</v>
      </c>
      <c r="J87">
        <v>112.18</v>
      </c>
      <c r="K87">
        <v>-3152.74</v>
      </c>
      <c r="L87">
        <v>-9075.66</v>
      </c>
      <c r="M87">
        <v>-776.58</v>
      </c>
    </row>
    <row r="88" spans="1:13">
      <c r="A88">
        <v>1</v>
      </c>
      <c r="B88" t="s">
        <v>247</v>
      </c>
      <c r="C88">
        <v>4</v>
      </c>
      <c r="D88">
        <v>0</v>
      </c>
      <c r="E88">
        <v>3</v>
      </c>
      <c r="F88" t="s">
        <v>244</v>
      </c>
      <c r="G88">
        <v>0</v>
      </c>
      <c r="H88">
        <v>0</v>
      </c>
      <c r="I88">
        <v>0</v>
      </c>
      <c r="J88">
        <v>0</v>
      </c>
      <c r="K88">
        <v>-477.88</v>
      </c>
      <c r="L88">
        <v>28.3</v>
      </c>
      <c r="M88">
        <v>-7583.54</v>
      </c>
    </row>
    <row r="89" spans="1:13">
      <c r="A89">
        <v>1</v>
      </c>
      <c r="B89" t="s">
        <v>247</v>
      </c>
      <c r="C89">
        <v>4</v>
      </c>
      <c r="D89">
        <v>0</v>
      </c>
      <c r="E89">
        <v>3</v>
      </c>
      <c r="F89" t="s">
        <v>245</v>
      </c>
      <c r="G89">
        <v>1</v>
      </c>
      <c r="H89">
        <v>0</v>
      </c>
      <c r="I89">
        <v>0</v>
      </c>
      <c r="J89">
        <v>0</v>
      </c>
      <c r="K89">
        <v>-449.58</v>
      </c>
      <c r="L89">
        <v>28.3</v>
      </c>
      <c r="M89">
        <v>-7583.54</v>
      </c>
    </row>
    <row r="90" spans="1:13">
      <c r="A90">
        <v>1</v>
      </c>
      <c r="B90" t="s">
        <v>247</v>
      </c>
      <c r="C90">
        <v>5</v>
      </c>
      <c r="D90">
        <v>0</v>
      </c>
      <c r="E90">
        <v>3</v>
      </c>
      <c r="F90" t="s">
        <v>244</v>
      </c>
      <c r="G90">
        <v>0</v>
      </c>
      <c r="H90">
        <v>0</v>
      </c>
      <c r="I90">
        <v>0</v>
      </c>
      <c r="J90">
        <v>0</v>
      </c>
      <c r="K90">
        <v>-449.58</v>
      </c>
      <c r="L90">
        <v>28.3</v>
      </c>
      <c r="M90">
        <v>-7583.54</v>
      </c>
    </row>
    <row r="91" spans="1:13">
      <c r="A91">
        <v>1</v>
      </c>
      <c r="B91" t="s">
        <v>247</v>
      </c>
      <c r="C91">
        <v>5</v>
      </c>
      <c r="D91">
        <v>0</v>
      </c>
      <c r="E91">
        <v>3</v>
      </c>
      <c r="F91" t="s">
        <v>245</v>
      </c>
      <c r="G91">
        <v>2.2400000000000002</v>
      </c>
      <c r="H91">
        <v>0</v>
      </c>
      <c r="I91">
        <v>0</v>
      </c>
      <c r="J91">
        <v>0</v>
      </c>
      <c r="K91">
        <v>-386.18</v>
      </c>
      <c r="L91">
        <v>28.3</v>
      </c>
      <c r="M91">
        <v>-7583.54</v>
      </c>
    </row>
    <row r="92" spans="1:13">
      <c r="A92">
        <v>1</v>
      </c>
      <c r="B92" t="s">
        <v>247</v>
      </c>
      <c r="C92">
        <v>6</v>
      </c>
      <c r="D92">
        <v>0</v>
      </c>
      <c r="E92">
        <v>3</v>
      </c>
      <c r="F92" t="s">
        <v>244</v>
      </c>
      <c r="G92">
        <v>0</v>
      </c>
      <c r="H92">
        <v>0</v>
      </c>
      <c r="I92">
        <v>0</v>
      </c>
      <c r="J92">
        <v>0</v>
      </c>
      <c r="K92">
        <v>-386.18</v>
      </c>
      <c r="L92">
        <v>28.3</v>
      </c>
      <c r="M92">
        <v>-7583.54</v>
      </c>
    </row>
    <row r="93" spans="1:13">
      <c r="A93">
        <v>1</v>
      </c>
      <c r="B93" t="s">
        <v>247</v>
      </c>
      <c r="C93">
        <v>6</v>
      </c>
      <c r="D93">
        <v>0</v>
      </c>
      <c r="E93">
        <v>3</v>
      </c>
      <c r="F93" t="s">
        <v>245</v>
      </c>
      <c r="G93">
        <v>3.6</v>
      </c>
      <c r="H93">
        <v>0</v>
      </c>
      <c r="I93">
        <v>0</v>
      </c>
      <c r="J93">
        <v>0</v>
      </c>
      <c r="K93">
        <v>-185.56</v>
      </c>
      <c r="L93">
        <v>67.44</v>
      </c>
      <c r="M93">
        <v>-6812.74</v>
      </c>
    </row>
    <row r="94" spans="1:13">
      <c r="A94">
        <v>1</v>
      </c>
      <c r="B94" t="s">
        <v>247</v>
      </c>
      <c r="C94">
        <v>7</v>
      </c>
      <c r="D94">
        <v>0</v>
      </c>
      <c r="E94">
        <v>3</v>
      </c>
      <c r="F94" t="s">
        <v>244</v>
      </c>
      <c r="G94">
        <v>0</v>
      </c>
      <c r="H94">
        <v>0</v>
      </c>
      <c r="I94">
        <v>0</v>
      </c>
      <c r="J94">
        <v>0</v>
      </c>
      <c r="K94">
        <v>-185.56</v>
      </c>
      <c r="L94">
        <v>67.44</v>
      </c>
      <c r="M94">
        <v>-6812.74</v>
      </c>
    </row>
    <row r="95" spans="1:13">
      <c r="A95">
        <v>1</v>
      </c>
      <c r="B95" t="s">
        <v>247</v>
      </c>
      <c r="C95">
        <v>7</v>
      </c>
      <c r="D95">
        <v>0</v>
      </c>
      <c r="E95">
        <v>3</v>
      </c>
      <c r="F95" t="s">
        <v>245</v>
      </c>
      <c r="G95">
        <v>2.7</v>
      </c>
      <c r="H95">
        <v>0</v>
      </c>
      <c r="I95">
        <v>0</v>
      </c>
      <c r="J95">
        <v>0</v>
      </c>
      <c r="K95">
        <v>-7.2</v>
      </c>
      <c r="L95">
        <v>63.81</v>
      </c>
      <c r="M95">
        <v>-6668.1</v>
      </c>
    </row>
    <row r="96" spans="1:13">
      <c r="A96">
        <v>1</v>
      </c>
      <c r="B96" t="s">
        <v>247</v>
      </c>
      <c r="C96">
        <v>8</v>
      </c>
      <c r="D96">
        <v>0</v>
      </c>
      <c r="E96">
        <v>3</v>
      </c>
      <c r="F96" t="s">
        <v>244</v>
      </c>
      <c r="G96">
        <v>0</v>
      </c>
      <c r="H96">
        <v>0</v>
      </c>
      <c r="I96">
        <v>0</v>
      </c>
      <c r="J96">
        <v>0</v>
      </c>
      <c r="K96">
        <v>-7.2</v>
      </c>
      <c r="L96">
        <v>63.81</v>
      </c>
      <c r="M96">
        <v>-6668.1</v>
      </c>
    </row>
    <row r="97" spans="1:13">
      <c r="A97">
        <v>1</v>
      </c>
      <c r="B97" t="s">
        <v>247</v>
      </c>
      <c r="C97">
        <v>8</v>
      </c>
      <c r="D97">
        <v>0</v>
      </c>
      <c r="E97">
        <v>3</v>
      </c>
      <c r="F97" t="s">
        <v>245</v>
      </c>
      <c r="G97">
        <v>2.8</v>
      </c>
      <c r="H97">
        <v>0</v>
      </c>
      <c r="I97">
        <v>0</v>
      </c>
      <c r="J97">
        <v>0</v>
      </c>
      <c r="K97">
        <v>117.75</v>
      </c>
      <c r="L97">
        <v>25.88</v>
      </c>
      <c r="M97">
        <v>-5780.48</v>
      </c>
    </row>
    <row r="98" spans="1:13">
      <c r="A98">
        <v>1</v>
      </c>
      <c r="B98" t="s">
        <v>247</v>
      </c>
      <c r="C98">
        <v>9</v>
      </c>
      <c r="D98">
        <v>0</v>
      </c>
      <c r="E98">
        <v>3</v>
      </c>
      <c r="F98" t="s">
        <v>244</v>
      </c>
      <c r="G98">
        <v>0</v>
      </c>
      <c r="H98">
        <v>0</v>
      </c>
      <c r="I98">
        <v>0</v>
      </c>
      <c r="J98">
        <v>0</v>
      </c>
      <c r="K98">
        <v>117.75</v>
      </c>
      <c r="L98">
        <v>25.88</v>
      </c>
      <c r="M98">
        <v>-5780.48</v>
      </c>
    </row>
    <row r="99" spans="1:13">
      <c r="A99">
        <v>1</v>
      </c>
      <c r="B99" t="s">
        <v>247</v>
      </c>
      <c r="C99">
        <v>9</v>
      </c>
      <c r="D99">
        <v>0</v>
      </c>
      <c r="E99">
        <v>3</v>
      </c>
      <c r="F99" t="s">
        <v>245</v>
      </c>
      <c r="G99">
        <v>8.16</v>
      </c>
      <c r="H99">
        <v>0</v>
      </c>
      <c r="I99">
        <v>0</v>
      </c>
      <c r="J99">
        <v>0</v>
      </c>
      <c r="K99">
        <v>0</v>
      </c>
      <c r="L99">
        <v>0</v>
      </c>
      <c r="M99">
        <v>-1469.53</v>
      </c>
    </row>
    <row r="100" spans="1:13">
      <c r="A100">
        <v>1</v>
      </c>
      <c r="B100" t="s">
        <v>247</v>
      </c>
      <c r="C100">
        <v>10</v>
      </c>
      <c r="D100">
        <v>0</v>
      </c>
      <c r="E100">
        <v>3</v>
      </c>
      <c r="F100" t="s">
        <v>244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-1469.53</v>
      </c>
    </row>
    <row r="101" spans="1:13">
      <c r="A101">
        <v>1</v>
      </c>
      <c r="B101" t="s">
        <v>247</v>
      </c>
      <c r="C101">
        <v>10</v>
      </c>
      <c r="D101">
        <v>0</v>
      </c>
      <c r="E101">
        <v>3</v>
      </c>
      <c r="F101" t="s">
        <v>245</v>
      </c>
      <c r="G101">
        <v>1.5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-711.38</v>
      </c>
    </row>
    <row r="102" spans="1:13">
      <c r="A102">
        <v>1</v>
      </c>
      <c r="B102" t="s">
        <v>247</v>
      </c>
      <c r="C102">
        <v>11</v>
      </c>
      <c r="D102">
        <v>0</v>
      </c>
      <c r="E102">
        <v>1</v>
      </c>
      <c r="F102" t="s">
        <v>244</v>
      </c>
      <c r="G102">
        <v>0</v>
      </c>
      <c r="H102">
        <v>0</v>
      </c>
      <c r="I102">
        <v>0</v>
      </c>
      <c r="J102">
        <v>0</v>
      </c>
      <c r="K102">
        <v>-3008.77</v>
      </c>
      <c r="L102">
        <v>740.23</v>
      </c>
      <c r="M102">
        <v>-9112.74</v>
      </c>
    </row>
    <row r="103" spans="1:13">
      <c r="A103">
        <v>1</v>
      </c>
      <c r="B103" t="s">
        <v>247</v>
      </c>
      <c r="C103">
        <v>11</v>
      </c>
      <c r="D103">
        <v>0</v>
      </c>
      <c r="E103">
        <v>1</v>
      </c>
      <c r="F103" t="s">
        <v>245</v>
      </c>
      <c r="G103">
        <v>1</v>
      </c>
      <c r="H103">
        <v>0</v>
      </c>
      <c r="I103">
        <v>0</v>
      </c>
      <c r="J103">
        <v>0</v>
      </c>
      <c r="K103">
        <v>-2268.54</v>
      </c>
      <c r="L103">
        <v>740.23</v>
      </c>
      <c r="M103">
        <v>-9112.74</v>
      </c>
    </row>
    <row r="104" spans="1:13">
      <c r="A104">
        <v>1</v>
      </c>
      <c r="B104" t="s">
        <v>247</v>
      </c>
      <c r="C104">
        <v>12</v>
      </c>
      <c r="D104">
        <v>0</v>
      </c>
      <c r="E104">
        <v>1</v>
      </c>
      <c r="F104" t="s">
        <v>244</v>
      </c>
      <c r="G104">
        <v>0</v>
      </c>
      <c r="H104">
        <v>0</v>
      </c>
      <c r="I104">
        <v>0</v>
      </c>
      <c r="J104">
        <v>0</v>
      </c>
      <c r="K104">
        <v>-2268.54</v>
      </c>
      <c r="L104">
        <v>740.23</v>
      </c>
      <c r="M104">
        <v>-9112.74</v>
      </c>
    </row>
    <row r="105" spans="1:13">
      <c r="A105">
        <v>1</v>
      </c>
      <c r="B105" t="s">
        <v>247</v>
      </c>
      <c r="C105">
        <v>12</v>
      </c>
      <c r="D105">
        <v>0</v>
      </c>
      <c r="E105">
        <v>1</v>
      </c>
      <c r="F105" t="s">
        <v>245</v>
      </c>
      <c r="G105">
        <v>2.2400000000000002</v>
      </c>
      <c r="H105">
        <v>0</v>
      </c>
      <c r="I105">
        <v>0</v>
      </c>
      <c r="J105">
        <v>0</v>
      </c>
      <c r="K105">
        <v>-610.42999999999995</v>
      </c>
      <c r="L105">
        <v>740.23</v>
      </c>
      <c r="M105">
        <v>-9112.74</v>
      </c>
    </row>
    <row r="106" spans="1:13">
      <c r="A106">
        <v>1</v>
      </c>
      <c r="B106" t="s">
        <v>247</v>
      </c>
      <c r="C106">
        <v>13</v>
      </c>
      <c r="D106">
        <v>0</v>
      </c>
      <c r="E106">
        <v>1</v>
      </c>
      <c r="F106" t="s">
        <v>244</v>
      </c>
      <c r="G106">
        <v>0</v>
      </c>
      <c r="H106">
        <v>0</v>
      </c>
      <c r="I106">
        <v>0</v>
      </c>
      <c r="J106">
        <v>0</v>
      </c>
      <c r="K106">
        <v>-610.42999999999995</v>
      </c>
      <c r="L106">
        <v>740.23</v>
      </c>
      <c r="M106">
        <v>-9112.74</v>
      </c>
    </row>
    <row r="107" spans="1:13">
      <c r="A107">
        <v>1</v>
      </c>
      <c r="B107" t="s">
        <v>247</v>
      </c>
      <c r="C107">
        <v>13</v>
      </c>
      <c r="D107">
        <v>0</v>
      </c>
      <c r="E107">
        <v>1</v>
      </c>
      <c r="F107" t="s">
        <v>245</v>
      </c>
      <c r="G107">
        <v>3.6</v>
      </c>
      <c r="H107">
        <v>0</v>
      </c>
      <c r="I107">
        <v>0</v>
      </c>
      <c r="J107">
        <v>0</v>
      </c>
      <c r="K107">
        <v>768.04</v>
      </c>
      <c r="L107">
        <v>98.51</v>
      </c>
      <c r="M107">
        <v>-8183.73</v>
      </c>
    </row>
    <row r="108" spans="1:13">
      <c r="A108">
        <v>1</v>
      </c>
      <c r="B108" t="s">
        <v>247</v>
      </c>
      <c r="C108">
        <v>14</v>
      </c>
      <c r="D108">
        <v>0</v>
      </c>
      <c r="E108">
        <v>1</v>
      </c>
      <c r="F108" t="s">
        <v>244</v>
      </c>
      <c r="G108">
        <v>0</v>
      </c>
      <c r="H108">
        <v>0</v>
      </c>
      <c r="I108">
        <v>0</v>
      </c>
      <c r="J108">
        <v>0</v>
      </c>
      <c r="K108">
        <v>768.04</v>
      </c>
      <c r="L108">
        <v>98.51</v>
      </c>
      <c r="M108">
        <v>-8183.73</v>
      </c>
    </row>
    <row r="109" spans="1:13">
      <c r="A109">
        <v>1</v>
      </c>
      <c r="B109" t="s">
        <v>247</v>
      </c>
      <c r="C109">
        <v>14</v>
      </c>
      <c r="D109">
        <v>0</v>
      </c>
      <c r="E109">
        <v>1</v>
      </c>
      <c r="F109" t="s">
        <v>245</v>
      </c>
      <c r="G109">
        <v>2.7</v>
      </c>
      <c r="H109">
        <v>0</v>
      </c>
      <c r="I109">
        <v>0</v>
      </c>
      <c r="J109">
        <v>0</v>
      </c>
      <c r="K109">
        <v>941.02</v>
      </c>
      <c r="L109">
        <v>37.549999999999997</v>
      </c>
      <c r="M109">
        <v>-8009.57</v>
      </c>
    </row>
    <row r="110" spans="1:13">
      <c r="A110">
        <v>1</v>
      </c>
      <c r="B110" t="s">
        <v>247</v>
      </c>
      <c r="C110">
        <v>15</v>
      </c>
      <c r="D110">
        <v>0</v>
      </c>
      <c r="E110">
        <v>1</v>
      </c>
      <c r="F110" t="s">
        <v>244</v>
      </c>
      <c r="G110">
        <v>0</v>
      </c>
      <c r="H110">
        <v>0</v>
      </c>
      <c r="I110">
        <v>0</v>
      </c>
      <c r="J110">
        <v>0</v>
      </c>
      <c r="K110">
        <v>941.02</v>
      </c>
      <c r="L110">
        <v>37.549999999999997</v>
      </c>
      <c r="M110">
        <v>-8009.57</v>
      </c>
    </row>
    <row r="111" spans="1:13">
      <c r="A111">
        <v>1</v>
      </c>
      <c r="B111" t="s">
        <v>247</v>
      </c>
      <c r="C111">
        <v>15</v>
      </c>
      <c r="D111">
        <v>0</v>
      </c>
      <c r="E111">
        <v>1</v>
      </c>
      <c r="F111" t="s">
        <v>245</v>
      </c>
      <c r="G111">
        <v>2.8</v>
      </c>
      <c r="H111">
        <v>0</v>
      </c>
      <c r="I111">
        <v>0</v>
      </c>
      <c r="J111">
        <v>0</v>
      </c>
      <c r="K111">
        <v>797.13</v>
      </c>
      <c r="L111">
        <v>-109.04</v>
      </c>
      <c r="M111">
        <v>-6941.82</v>
      </c>
    </row>
    <row r="112" spans="1:13">
      <c r="A112">
        <v>1</v>
      </c>
      <c r="B112" t="s">
        <v>247</v>
      </c>
      <c r="C112">
        <v>16</v>
      </c>
      <c r="D112">
        <v>0</v>
      </c>
      <c r="E112">
        <v>1</v>
      </c>
      <c r="F112" t="s">
        <v>244</v>
      </c>
      <c r="G112">
        <v>0</v>
      </c>
      <c r="H112">
        <v>0</v>
      </c>
      <c r="I112">
        <v>0</v>
      </c>
      <c r="J112">
        <v>0</v>
      </c>
      <c r="K112">
        <v>797.13</v>
      </c>
      <c r="L112">
        <v>-109.04</v>
      </c>
      <c r="M112">
        <v>-6941.82</v>
      </c>
    </row>
    <row r="113" spans="1:13">
      <c r="A113">
        <v>1</v>
      </c>
      <c r="B113" t="s">
        <v>247</v>
      </c>
      <c r="C113">
        <v>16</v>
      </c>
      <c r="D113">
        <v>0</v>
      </c>
      <c r="E113">
        <v>1</v>
      </c>
      <c r="F113" t="s">
        <v>245</v>
      </c>
      <c r="G113">
        <v>8.16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-1763.68</v>
      </c>
    </row>
    <row r="114" spans="1:13">
      <c r="A114">
        <v>1</v>
      </c>
      <c r="B114" t="s">
        <v>247</v>
      </c>
      <c r="C114">
        <v>17</v>
      </c>
      <c r="D114">
        <v>0</v>
      </c>
      <c r="E114">
        <v>1</v>
      </c>
      <c r="F114" t="s">
        <v>244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-1763.68</v>
      </c>
    </row>
    <row r="115" spans="1:13">
      <c r="A115">
        <v>1</v>
      </c>
      <c r="B115" t="s">
        <v>247</v>
      </c>
      <c r="C115">
        <v>17</v>
      </c>
      <c r="D115">
        <v>0</v>
      </c>
      <c r="E115">
        <v>1</v>
      </c>
      <c r="F115" t="s">
        <v>245</v>
      </c>
      <c r="G115">
        <v>1.5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-853.76</v>
      </c>
    </row>
    <row r="116" spans="1:13">
      <c r="A116">
        <v>2</v>
      </c>
      <c r="B116" t="s">
        <v>243</v>
      </c>
      <c r="C116">
        <v>1</v>
      </c>
      <c r="D116">
        <v>0</v>
      </c>
      <c r="E116">
        <v>1</v>
      </c>
      <c r="F116" t="s">
        <v>244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>
      <c r="A117">
        <v>2</v>
      </c>
      <c r="B117" t="s">
        <v>243</v>
      </c>
      <c r="C117">
        <v>1</v>
      </c>
      <c r="D117">
        <v>1</v>
      </c>
      <c r="E117">
        <v>1</v>
      </c>
      <c r="F117" t="s">
        <v>245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>
      <c r="A118">
        <v>2</v>
      </c>
      <c r="B118" t="s">
        <v>243</v>
      </c>
      <c r="C118">
        <v>2</v>
      </c>
      <c r="D118">
        <v>1</v>
      </c>
      <c r="E118">
        <v>1</v>
      </c>
      <c r="F118" t="s">
        <v>244</v>
      </c>
      <c r="G118">
        <v>0</v>
      </c>
      <c r="H118">
        <v>2402.63</v>
      </c>
      <c r="I118">
        <v>2802.39</v>
      </c>
      <c r="J118">
        <v>618.94000000000005</v>
      </c>
      <c r="K118">
        <v>-80.209999999999994</v>
      </c>
      <c r="L118">
        <v>5569.02</v>
      </c>
      <c r="M118">
        <v>-76.38</v>
      </c>
    </row>
    <row r="119" spans="1:13">
      <c r="A119">
        <v>2</v>
      </c>
      <c r="B119" t="s">
        <v>243</v>
      </c>
      <c r="C119">
        <v>2</v>
      </c>
      <c r="D119">
        <v>1</v>
      </c>
      <c r="E119">
        <v>0</v>
      </c>
      <c r="F119">
        <v>1</v>
      </c>
      <c r="G119">
        <v>2.2000000000000002</v>
      </c>
      <c r="H119">
        <v>12171.63</v>
      </c>
      <c r="I119">
        <v>5569.02</v>
      </c>
      <c r="J119">
        <v>-76.38</v>
      </c>
      <c r="K119">
        <v>0</v>
      </c>
      <c r="L119">
        <v>0</v>
      </c>
      <c r="M119">
        <v>0</v>
      </c>
    </row>
    <row r="120" spans="1:13">
      <c r="A120">
        <v>2</v>
      </c>
      <c r="B120" t="s">
        <v>243</v>
      </c>
      <c r="C120">
        <v>2</v>
      </c>
      <c r="D120">
        <v>1</v>
      </c>
      <c r="E120">
        <v>0</v>
      </c>
      <c r="F120">
        <v>2</v>
      </c>
      <c r="G120">
        <v>2.2000000000000002</v>
      </c>
      <c r="H120">
        <v>12171.63</v>
      </c>
      <c r="I120">
        <v>5569.02</v>
      </c>
      <c r="J120">
        <v>-76.38</v>
      </c>
      <c r="K120">
        <v>0</v>
      </c>
      <c r="L120">
        <v>0</v>
      </c>
      <c r="M120">
        <v>0</v>
      </c>
    </row>
    <row r="121" spans="1:13">
      <c r="A121">
        <v>2</v>
      </c>
      <c r="B121" t="s">
        <v>243</v>
      </c>
      <c r="C121">
        <v>2</v>
      </c>
      <c r="D121">
        <v>1</v>
      </c>
      <c r="E121">
        <v>0</v>
      </c>
      <c r="F121" t="s">
        <v>245</v>
      </c>
      <c r="G121">
        <v>3</v>
      </c>
      <c r="H121">
        <v>16626.84</v>
      </c>
      <c r="I121">
        <v>5569.02</v>
      </c>
      <c r="J121">
        <v>-76.38</v>
      </c>
      <c r="K121">
        <v>0</v>
      </c>
      <c r="L121">
        <v>0</v>
      </c>
      <c r="M121">
        <v>0</v>
      </c>
    </row>
    <row r="122" spans="1:13">
      <c r="A122">
        <v>2</v>
      </c>
      <c r="B122" t="s">
        <v>243</v>
      </c>
      <c r="C122">
        <v>3</v>
      </c>
      <c r="D122">
        <v>1</v>
      </c>
      <c r="E122">
        <v>0</v>
      </c>
      <c r="F122" t="s">
        <v>244</v>
      </c>
      <c r="G122">
        <v>0</v>
      </c>
      <c r="H122">
        <v>7914.82</v>
      </c>
      <c r="I122">
        <v>-6881.18</v>
      </c>
      <c r="J122">
        <v>-619.5</v>
      </c>
      <c r="K122">
        <v>0</v>
      </c>
      <c r="L122">
        <v>0</v>
      </c>
      <c r="M122">
        <v>0</v>
      </c>
    </row>
    <row r="123" spans="1:13">
      <c r="A123">
        <v>2</v>
      </c>
      <c r="B123" t="s">
        <v>243</v>
      </c>
      <c r="C123">
        <v>3</v>
      </c>
      <c r="D123">
        <v>1</v>
      </c>
      <c r="E123">
        <v>0</v>
      </c>
      <c r="F123">
        <v>1</v>
      </c>
      <c r="G123">
        <v>0.8</v>
      </c>
      <c r="H123">
        <v>2954.88</v>
      </c>
      <c r="I123">
        <v>-4114.55</v>
      </c>
      <c r="J123">
        <v>75.64</v>
      </c>
      <c r="K123">
        <v>0</v>
      </c>
      <c r="L123">
        <v>0</v>
      </c>
      <c r="M123">
        <v>0</v>
      </c>
    </row>
    <row r="124" spans="1:13">
      <c r="A124">
        <v>2</v>
      </c>
      <c r="B124" t="s">
        <v>243</v>
      </c>
      <c r="C124">
        <v>3</v>
      </c>
      <c r="D124">
        <v>1</v>
      </c>
      <c r="E124">
        <v>0</v>
      </c>
      <c r="F124">
        <v>2</v>
      </c>
      <c r="G124">
        <v>0.8</v>
      </c>
      <c r="H124">
        <v>2954.88</v>
      </c>
      <c r="I124">
        <v>-4114.55</v>
      </c>
      <c r="J124">
        <v>75.64</v>
      </c>
      <c r="K124">
        <v>0</v>
      </c>
      <c r="L124">
        <v>0</v>
      </c>
      <c r="M124">
        <v>0</v>
      </c>
    </row>
    <row r="125" spans="1:13">
      <c r="A125">
        <v>2</v>
      </c>
      <c r="B125" t="s">
        <v>243</v>
      </c>
      <c r="C125">
        <v>3</v>
      </c>
      <c r="D125">
        <v>1</v>
      </c>
      <c r="E125">
        <v>1</v>
      </c>
      <c r="F125" t="s">
        <v>245</v>
      </c>
      <c r="G125">
        <v>1.5</v>
      </c>
      <c r="H125">
        <v>74.7</v>
      </c>
      <c r="I125">
        <v>-4114.55</v>
      </c>
      <c r="J125">
        <v>75.64</v>
      </c>
      <c r="K125">
        <v>-2406.94</v>
      </c>
      <c r="L125">
        <v>-6881.18</v>
      </c>
      <c r="M125">
        <v>-619.5</v>
      </c>
    </row>
    <row r="126" spans="1:13">
      <c r="A126">
        <v>2</v>
      </c>
      <c r="B126" t="s">
        <v>243</v>
      </c>
      <c r="C126">
        <v>4</v>
      </c>
      <c r="D126">
        <v>1</v>
      </c>
      <c r="E126">
        <v>1</v>
      </c>
      <c r="F126" t="s">
        <v>244</v>
      </c>
      <c r="G126">
        <v>0</v>
      </c>
      <c r="H126">
        <v>80.209999999999994</v>
      </c>
      <c r="I126">
        <v>-76.38</v>
      </c>
      <c r="J126">
        <v>-5569.02</v>
      </c>
      <c r="K126">
        <v>-2402.63</v>
      </c>
      <c r="L126">
        <v>618.94000000000005</v>
      </c>
      <c r="M126">
        <v>-2802.39</v>
      </c>
    </row>
    <row r="127" spans="1:13">
      <c r="A127">
        <v>2</v>
      </c>
      <c r="B127" t="s">
        <v>243</v>
      </c>
      <c r="C127">
        <v>4</v>
      </c>
      <c r="D127">
        <v>1</v>
      </c>
      <c r="E127">
        <v>1</v>
      </c>
      <c r="F127" t="s">
        <v>245</v>
      </c>
      <c r="G127">
        <v>1</v>
      </c>
      <c r="H127">
        <v>3.82</v>
      </c>
      <c r="I127">
        <v>-76.38</v>
      </c>
      <c r="J127">
        <v>-5569.02</v>
      </c>
      <c r="K127">
        <v>-1783.69</v>
      </c>
      <c r="L127">
        <v>618.94000000000005</v>
      </c>
      <c r="M127">
        <v>-2802.39</v>
      </c>
    </row>
    <row r="128" spans="1:13">
      <c r="A128">
        <v>2</v>
      </c>
      <c r="B128" t="s">
        <v>243</v>
      </c>
      <c r="C128">
        <v>5</v>
      </c>
      <c r="D128">
        <v>1</v>
      </c>
      <c r="E128">
        <v>1</v>
      </c>
      <c r="F128" t="s">
        <v>244</v>
      </c>
      <c r="G128">
        <v>0</v>
      </c>
      <c r="H128">
        <v>3.82</v>
      </c>
      <c r="I128">
        <v>-76.38</v>
      </c>
      <c r="J128">
        <v>-5569.02</v>
      </c>
      <c r="K128">
        <v>-1783.69</v>
      </c>
      <c r="L128">
        <v>618.94000000000005</v>
      </c>
      <c r="M128">
        <v>-2802.39</v>
      </c>
    </row>
    <row r="129" spans="1:13">
      <c r="A129">
        <v>2</v>
      </c>
      <c r="B129" t="s">
        <v>243</v>
      </c>
      <c r="C129">
        <v>5</v>
      </c>
      <c r="D129">
        <v>0</v>
      </c>
      <c r="E129">
        <v>1</v>
      </c>
      <c r="F129" t="s">
        <v>245</v>
      </c>
      <c r="G129">
        <v>2.2400000000000002</v>
      </c>
      <c r="H129">
        <v>0</v>
      </c>
      <c r="I129">
        <v>0</v>
      </c>
      <c r="J129">
        <v>0</v>
      </c>
      <c r="K129">
        <v>-397.28</v>
      </c>
      <c r="L129">
        <v>618.94000000000005</v>
      </c>
      <c r="M129">
        <v>-2802.39</v>
      </c>
    </row>
    <row r="130" spans="1:13">
      <c r="A130">
        <v>2</v>
      </c>
      <c r="B130" t="s">
        <v>243</v>
      </c>
      <c r="C130">
        <v>6</v>
      </c>
      <c r="D130">
        <v>0</v>
      </c>
      <c r="E130">
        <v>1</v>
      </c>
      <c r="F130" t="s">
        <v>244</v>
      </c>
      <c r="G130">
        <v>0</v>
      </c>
      <c r="H130">
        <v>0</v>
      </c>
      <c r="I130">
        <v>0</v>
      </c>
      <c r="J130">
        <v>0</v>
      </c>
      <c r="K130">
        <v>-397.28</v>
      </c>
      <c r="L130">
        <v>618.94000000000005</v>
      </c>
      <c r="M130">
        <v>-2802.39</v>
      </c>
    </row>
    <row r="131" spans="1:13">
      <c r="A131">
        <v>2</v>
      </c>
      <c r="B131" t="s">
        <v>243</v>
      </c>
      <c r="C131">
        <v>6</v>
      </c>
      <c r="D131">
        <v>1</v>
      </c>
      <c r="E131">
        <v>1</v>
      </c>
      <c r="F131" t="s">
        <v>245</v>
      </c>
      <c r="G131">
        <v>3.6</v>
      </c>
      <c r="H131">
        <v>715.48</v>
      </c>
      <c r="I131">
        <v>65.08</v>
      </c>
      <c r="J131">
        <v>-2540.36</v>
      </c>
      <c r="K131">
        <v>-208.07</v>
      </c>
      <c r="L131">
        <v>33.4</v>
      </c>
      <c r="M131">
        <v>-4997.4799999999996</v>
      </c>
    </row>
    <row r="132" spans="1:13">
      <c r="A132">
        <v>2</v>
      </c>
      <c r="B132" t="s">
        <v>243</v>
      </c>
      <c r="C132">
        <v>7</v>
      </c>
      <c r="D132">
        <v>1</v>
      </c>
      <c r="E132">
        <v>1</v>
      </c>
      <c r="F132" t="s">
        <v>244</v>
      </c>
      <c r="G132">
        <v>0</v>
      </c>
      <c r="H132">
        <v>715.48</v>
      </c>
      <c r="I132">
        <v>65.08</v>
      </c>
      <c r="J132">
        <v>-2540.36</v>
      </c>
      <c r="K132">
        <v>-208.07</v>
      </c>
      <c r="L132">
        <v>33.4</v>
      </c>
      <c r="M132">
        <v>-4997.4799999999996</v>
      </c>
    </row>
    <row r="133" spans="1:13">
      <c r="A133">
        <v>2</v>
      </c>
      <c r="B133" t="s">
        <v>243</v>
      </c>
      <c r="C133">
        <v>7</v>
      </c>
      <c r="D133">
        <v>1</v>
      </c>
      <c r="E133">
        <v>1</v>
      </c>
      <c r="F133" t="s">
        <v>245</v>
      </c>
      <c r="G133">
        <v>2.7</v>
      </c>
      <c r="H133">
        <v>813.28</v>
      </c>
      <c r="I133">
        <v>14.3</v>
      </c>
      <c r="J133">
        <v>-2489.8000000000002</v>
      </c>
      <c r="K133">
        <v>-108.6</v>
      </c>
      <c r="L133">
        <v>38.65</v>
      </c>
      <c r="M133">
        <v>-4890.57</v>
      </c>
    </row>
    <row r="134" spans="1:13">
      <c r="A134">
        <v>2</v>
      </c>
      <c r="B134" t="s">
        <v>243</v>
      </c>
      <c r="C134">
        <v>8</v>
      </c>
      <c r="D134">
        <v>1</v>
      </c>
      <c r="E134">
        <v>1</v>
      </c>
      <c r="F134" t="s">
        <v>244</v>
      </c>
      <c r="G134">
        <v>0</v>
      </c>
      <c r="H134">
        <v>813.28</v>
      </c>
      <c r="I134">
        <v>14.3</v>
      </c>
      <c r="J134">
        <v>-2489.8000000000002</v>
      </c>
      <c r="K134">
        <v>-108.6</v>
      </c>
      <c r="L134">
        <v>38.65</v>
      </c>
      <c r="M134">
        <v>-4890.57</v>
      </c>
    </row>
    <row r="135" spans="1:13">
      <c r="A135">
        <v>2</v>
      </c>
      <c r="B135" t="s">
        <v>243</v>
      </c>
      <c r="C135">
        <v>8</v>
      </c>
      <c r="D135">
        <v>1</v>
      </c>
      <c r="E135">
        <v>1</v>
      </c>
      <c r="F135" t="s">
        <v>245</v>
      </c>
      <c r="G135">
        <v>2.8</v>
      </c>
      <c r="H135">
        <v>655.57</v>
      </c>
      <c r="I135">
        <v>-100.54</v>
      </c>
      <c r="J135">
        <v>-2171.23</v>
      </c>
      <c r="K135">
        <v>-6.7</v>
      </c>
      <c r="L135">
        <v>30.43</v>
      </c>
      <c r="M135">
        <v>-4236.47</v>
      </c>
    </row>
    <row r="136" spans="1:13">
      <c r="A136">
        <v>2</v>
      </c>
      <c r="B136" t="s">
        <v>243</v>
      </c>
      <c r="C136">
        <v>9</v>
      </c>
      <c r="D136">
        <v>1</v>
      </c>
      <c r="E136">
        <v>1</v>
      </c>
      <c r="F136" t="s">
        <v>244</v>
      </c>
      <c r="G136">
        <v>0</v>
      </c>
      <c r="H136">
        <v>655.57</v>
      </c>
      <c r="I136">
        <v>-100.54</v>
      </c>
      <c r="J136">
        <v>-2171.23</v>
      </c>
      <c r="K136">
        <v>-6.7</v>
      </c>
      <c r="L136">
        <v>30.43</v>
      </c>
      <c r="M136">
        <v>-4236.47</v>
      </c>
    </row>
    <row r="137" spans="1:13">
      <c r="A137">
        <v>2</v>
      </c>
      <c r="B137" t="s">
        <v>243</v>
      </c>
      <c r="C137">
        <v>9</v>
      </c>
      <c r="D137">
        <v>0</v>
      </c>
      <c r="E137">
        <v>1</v>
      </c>
      <c r="F137" t="s">
        <v>245</v>
      </c>
      <c r="G137">
        <v>8.16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-560.88</v>
      </c>
    </row>
    <row r="138" spans="1:13">
      <c r="A138">
        <v>2</v>
      </c>
      <c r="B138" t="s">
        <v>243</v>
      </c>
      <c r="C138">
        <v>10</v>
      </c>
      <c r="D138">
        <v>0</v>
      </c>
      <c r="E138">
        <v>1</v>
      </c>
      <c r="F138" t="s">
        <v>244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-560.88</v>
      </c>
    </row>
    <row r="139" spans="1:13">
      <c r="A139">
        <v>2</v>
      </c>
      <c r="B139" t="s">
        <v>243</v>
      </c>
      <c r="C139">
        <v>10</v>
      </c>
      <c r="D139">
        <v>1</v>
      </c>
      <c r="E139">
        <v>0</v>
      </c>
      <c r="F139" t="s">
        <v>245</v>
      </c>
      <c r="G139">
        <v>1.5</v>
      </c>
      <c r="H139">
        <v>0</v>
      </c>
      <c r="I139">
        <v>0</v>
      </c>
      <c r="J139">
        <v>-271.69</v>
      </c>
      <c r="K139">
        <v>0</v>
      </c>
      <c r="L139">
        <v>0</v>
      </c>
      <c r="M139">
        <v>0</v>
      </c>
    </row>
    <row r="140" spans="1:13">
      <c r="A140">
        <v>2</v>
      </c>
      <c r="B140" t="s">
        <v>243</v>
      </c>
      <c r="C140">
        <v>11</v>
      </c>
      <c r="D140">
        <v>1</v>
      </c>
      <c r="E140">
        <v>1</v>
      </c>
      <c r="F140" t="s">
        <v>244</v>
      </c>
      <c r="G140">
        <v>0</v>
      </c>
      <c r="H140">
        <v>74.7</v>
      </c>
      <c r="I140">
        <v>-75.64</v>
      </c>
      <c r="J140">
        <v>-4114.55</v>
      </c>
      <c r="K140">
        <v>-2406.94</v>
      </c>
      <c r="L140">
        <v>619.5</v>
      </c>
      <c r="M140">
        <v>-6881.18</v>
      </c>
    </row>
    <row r="141" spans="1:13">
      <c r="A141">
        <v>2</v>
      </c>
      <c r="B141" t="s">
        <v>243</v>
      </c>
      <c r="C141">
        <v>11</v>
      </c>
      <c r="D141">
        <v>0</v>
      </c>
      <c r="E141">
        <v>1</v>
      </c>
      <c r="F141" t="s">
        <v>245</v>
      </c>
      <c r="G141">
        <v>1</v>
      </c>
      <c r="H141">
        <v>0</v>
      </c>
      <c r="I141">
        <v>0</v>
      </c>
      <c r="J141">
        <v>0</v>
      </c>
      <c r="K141">
        <v>-1787.44</v>
      </c>
      <c r="L141">
        <v>619.5</v>
      </c>
      <c r="M141">
        <v>-6881.18</v>
      </c>
    </row>
    <row r="142" spans="1:13">
      <c r="A142">
        <v>2</v>
      </c>
      <c r="B142" t="s">
        <v>243</v>
      </c>
      <c r="C142">
        <v>12</v>
      </c>
      <c r="D142">
        <v>0</v>
      </c>
      <c r="E142">
        <v>1</v>
      </c>
      <c r="F142" t="s">
        <v>244</v>
      </c>
      <c r="G142">
        <v>0</v>
      </c>
      <c r="H142">
        <v>0</v>
      </c>
      <c r="I142">
        <v>0</v>
      </c>
      <c r="J142">
        <v>0</v>
      </c>
      <c r="K142">
        <v>-1787.44</v>
      </c>
      <c r="L142">
        <v>619.5</v>
      </c>
      <c r="M142">
        <v>-6881.18</v>
      </c>
    </row>
    <row r="143" spans="1:13">
      <c r="A143">
        <v>2</v>
      </c>
      <c r="B143" t="s">
        <v>243</v>
      </c>
      <c r="C143">
        <v>12</v>
      </c>
      <c r="D143">
        <v>0</v>
      </c>
      <c r="E143">
        <v>1</v>
      </c>
      <c r="F143" t="s">
        <v>245</v>
      </c>
      <c r="G143">
        <v>2.2400000000000002</v>
      </c>
      <c r="H143">
        <v>0</v>
      </c>
      <c r="I143">
        <v>0</v>
      </c>
      <c r="J143">
        <v>0</v>
      </c>
      <c r="K143">
        <v>-399.75</v>
      </c>
      <c r="L143">
        <v>619.5</v>
      </c>
      <c r="M143">
        <v>-6881.18</v>
      </c>
    </row>
    <row r="144" spans="1:13">
      <c r="A144">
        <v>2</v>
      </c>
      <c r="B144" t="s">
        <v>243</v>
      </c>
      <c r="C144">
        <v>13</v>
      </c>
      <c r="D144">
        <v>0</v>
      </c>
      <c r="E144">
        <v>1</v>
      </c>
      <c r="F144" t="s">
        <v>244</v>
      </c>
      <c r="G144">
        <v>0</v>
      </c>
      <c r="H144">
        <v>0</v>
      </c>
      <c r="I144">
        <v>0</v>
      </c>
      <c r="J144">
        <v>0</v>
      </c>
      <c r="K144">
        <v>-399.75</v>
      </c>
      <c r="L144">
        <v>619.5</v>
      </c>
      <c r="M144">
        <v>-6881.18</v>
      </c>
    </row>
    <row r="145" spans="1:13">
      <c r="A145">
        <v>2</v>
      </c>
      <c r="B145" t="s">
        <v>243</v>
      </c>
      <c r="C145">
        <v>13</v>
      </c>
      <c r="D145">
        <v>1</v>
      </c>
      <c r="E145">
        <v>1</v>
      </c>
      <c r="F145" t="s">
        <v>245</v>
      </c>
      <c r="G145">
        <v>3.6</v>
      </c>
      <c r="H145">
        <v>714.58</v>
      </c>
      <c r="I145">
        <v>65.38</v>
      </c>
      <c r="J145">
        <v>-6172.82</v>
      </c>
      <c r="K145">
        <v>-209.13</v>
      </c>
      <c r="L145">
        <v>33.78</v>
      </c>
      <c r="M145">
        <v>-3715.7</v>
      </c>
    </row>
    <row r="146" spans="1:13">
      <c r="A146">
        <v>2</v>
      </c>
      <c r="B146" t="s">
        <v>243</v>
      </c>
      <c r="C146">
        <v>14</v>
      </c>
      <c r="D146">
        <v>1</v>
      </c>
      <c r="E146">
        <v>1</v>
      </c>
      <c r="F146" t="s">
        <v>244</v>
      </c>
      <c r="G146">
        <v>0</v>
      </c>
      <c r="H146">
        <v>714.58</v>
      </c>
      <c r="I146">
        <v>65.38</v>
      </c>
      <c r="J146">
        <v>-6172.82</v>
      </c>
      <c r="K146">
        <v>-209.13</v>
      </c>
      <c r="L146">
        <v>33.78</v>
      </c>
      <c r="M146">
        <v>-3715.7</v>
      </c>
    </row>
    <row r="147" spans="1:13">
      <c r="A147">
        <v>2</v>
      </c>
      <c r="B147" t="s">
        <v>243</v>
      </c>
      <c r="C147">
        <v>14</v>
      </c>
      <c r="D147">
        <v>1</v>
      </c>
      <c r="E147">
        <v>1</v>
      </c>
      <c r="F147" t="s">
        <v>245</v>
      </c>
      <c r="G147">
        <v>2.7</v>
      </c>
      <c r="H147">
        <v>813.15</v>
      </c>
      <c r="I147">
        <v>14.56</v>
      </c>
      <c r="J147">
        <v>-6040.45</v>
      </c>
      <c r="K147">
        <v>-108.72</v>
      </c>
      <c r="L147">
        <v>38.97</v>
      </c>
      <c r="M147">
        <v>-3639.68</v>
      </c>
    </row>
    <row r="148" spans="1:13">
      <c r="A148">
        <v>2</v>
      </c>
      <c r="B148" t="s">
        <v>243</v>
      </c>
      <c r="C148">
        <v>15</v>
      </c>
      <c r="D148">
        <v>1</v>
      </c>
      <c r="E148">
        <v>1</v>
      </c>
      <c r="F148" t="s">
        <v>244</v>
      </c>
      <c r="G148">
        <v>0</v>
      </c>
      <c r="H148">
        <v>813.15</v>
      </c>
      <c r="I148">
        <v>14.56</v>
      </c>
      <c r="J148">
        <v>-6040.45</v>
      </c>
      <c r="K148">
        <v>-108.72</v>
      </c>
      <c r="L148">
        <v>38.97</v>
      </c>
      <c r="M148">
        <v>-3639.68</v>
      </c>
    </row>
    <row r="149" spans="1:13">
      <c r="A149">
        <v>2</v>
      </c>
      <c r="B149" t="s">
        <v>243</v>
      </c>
      <c r="C149">
        <v>15</v>
      </c>
      <c r="D149">
        <v>1</v>
      </c>
      <c r="E149">
        <v>1</v>
      </c>
      <c r="F149" t="s">
        <v>245</v>
      </c>
      <c r="G149">
        <v>2.8</v>
      </c>
      <c r="H149">
        <v>655.89</v>
      </c>
      <c r="I149">
        <v>-100.46</v>
      </c>
      <c r="J149">
        <v>-5231.34</v>
      </c>
      <c r="K149">
        <v>-6.28</v>
      </c>
      <c r="L149">
        <v>30.52</v>
      </c>
      <c r="M149">
        <v>-3166.1</v>
      </c>
    </row>
    <row r="150" spans="1:13">
      <c r="A150">
        <v>2</v>
      </c>
      <c r="B150" t="s">
        <v>243</v>
      </c>
      <c r="C150">
        <v>16</v>
      </c>
      <c r="D150">
        <v>1</v>
      </c>
      <c r="E150">
        <v>1</v>
      </c>
      <c r="F150" t="s">
        <v>244</v>
      </c>
      <c r="G150">
        <v>0</v>
      </c>
      <c r="H150">
        <v>655.89</v>
      </c>
      <c r="I150">
        <v>-100.46</v>
      </c>
      <c r="J150">
        <v>-5231.34</v>
      </c>
      <c r="K150">
        <v>-6.28</v>
      </c>
      <c r="L150">
        <v>30.52</v>
      </c>
      <c r="M150">
        <v>-3166.1</v>
      </c>
    </row>
    <row r="151" spans="1:13">
      <c r="A151">
        <v>2</v>
      </c>
      <c r="B151" t="s">
        <v>243</v>
      </c>
      <c r="C151">
        <v>16</v>
      </c>
      <c r="D151">
        <v>1</v>
      </c>
      <c r="E151">
        <v>0</v>
      </c>
      <c r="F151" t="s">
        <v>245</v>
      </c>
      <c r="G151">
        <v>8.16</v>
      </c>
      <c r="H151">
        <v>0</v>
      </c>
      <c r="I151">
        <v>0</v>
      </c>
      <c r="J151">
        <v>-1326.43</v>
      </c>
      <c r="K151">
        <v>0</v>
      </c>
      <c r="L151">
        <v>0</v>
      </c>
      <c r="M151">
        <v>0</v>
      </c>
    </row>
    <row r="152" spans="1:13">
      <c r="A152">
        <v>2</v>
      </c>
      <c r="B152" t="s">
        <v>243</v>
      </c>
      <c r="C152">
        <v>17</v>
      </c>
      <c r="D152">
        <v>1</v>
      </c>
      <c r="E152">
        <v>0</v>
      </c>
      <c r="F152" t="s">
        <v>244</v>
      </c>
      <c r="G152">
        <v>0</v>
      </c>
      <c r="H152">
        <v>0</v>
      </c>
      <c r="I152">
        <v>0</v>
      </c>
      <c r="J152">
        <v>-1326.43</v>
      </c>
      <c r="K152">
        <v>0</v>
      </c>
      <c r="L152">
        <v>0</v>
      </c>
      <c r="M152">
        <v>0</v>
      </c>
    </row>
    <row r="153" spans="1:13">
      <c r="A153">
        <v>2</v>
      </c>
      <c r="B153" t="s">
        <v>243</v>
      </c>
      <c r="C153">
        <v>17</v>
      </c>
      <c r="D153">
        <v>0</v>
      </c>
      <c r="E153">
        <v>1</v>
      </c>
      <c r="F153" t="s">
        <v>245</v>
      </c>
      <c r="G153">
        <v>1.5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-393.45</v>
      </c>
    </row>
    <row r="154" spans="1:13">
      <c r="A154">
        <v>2</v>
      </c>
      <c r="B154" t="s">
        <v>246</v>
      </c>
      <c r="C154">
        <v>1</v>
      </c>
      <c r="D154">
        <v>1</v>
      </c>
      <c r="E154">
        <v>0</v>
      </c>
      <c r="F154" t="s">
        <v>244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1:13">
      <c r="A155">
        <v>2</v>
      </c>
      <c r="B155" t="s">
        <v>246</v>
      </c>
      <c r="C155">
        <v>1</v>
      </c>
      <c r="D155">
        <v>1</v>
      </c>
      <c r="E155">
        <v>0</v>
      </c>
      <c r="F155" t="s">
        <v>245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1:13">
      <c r="A156">
        <v>2</v>
      </c>
      <c r="B156" t="s">
        <v>246</v>
      </c>
      <c r="C156">
        <v>2</v>
      </c>
      <c r="D156">
        <v>1</v>
      </c>
      <c r="E156">
        <v>0</v>
      </c>
      <c r="F156" t="s">
        <v>244</v>
      </c>
      <c r="G156">
        <v>0</v>
      </c>
      <c r="H156">
        <v>-80.209999999999994</v>
      </c>
      <c r="I156">
        <v>5569.02</v>
      </c>
      <c r="J156">
        <v>-76.38</v>
      </c>
      <c r="K156">
        <v>0</v>
      </c>
      <c r="L156">
        <v>0</v>
      </c>
      <c r="M156">
        <v>0</v>
      </c>
    </row>
    <row r="157" spans="1:13">
      <c r="A157">
        <v>2</v>
      </c>
      <c r="B157" t="s">
        <v>246</v>
      </c>
      <c r="C157">
        <v>2</v>
      </c>
      <c r="D157">
        <v>1</v>
      </c>
      <c r="E157">
        <v>0</v>
      </c>
      <c r="F157">
        <v>1</v>
      </c>
      <c r="G157">
        <v>2.2000000000000002</v>
      </c>
      <c r="H157">
        <v>12171.63</v>
      </c>
      <c r="I157">
        <v>5569.02</v>
      </c>
      <c r="J157">
        <v>-76.38</v>
      </c>
      <c r="K157">
        <v>0</v>
      </c>
      <c r="L157">
        <v>0</v>
      </c>
      <c r="M157">
        <v>0</v>
      </c>
    </row>
    <row r="158" spans="1:13">
      <c r="A158">
        <v>2</v>
      </c>
      <c r="B158" t="s">
        <v>246</v>
      </c>
      <c r="C158">
        <v>2</v>
      </c>
      <c r="D158">
        <v>1</v>
      </c>
      <c r="E158">
        <v>0</v>
      </c>
      <c r="F158">
        <v>2</v>
      </c>
      <c r="G158">
        <v>2.2000000000000002</v>
      </c>
      <c r="H158">
        <v>12171.63</v>
      </c>
      <c r="I158">
        <v>5569.02</v>
      </c>
      <c r="J158">
        <v>-76.38</v>
      </c>
      <c r="K158">
        <v>0</v>
      </c>
      <c r="L158">
        <v>0</v>
      </c>
      <c r="M158">
        <v>0</v>
      </c>
    </row>
    <row r="159" spans="1:13">
      <c r="A159">
        <v>2</v>
      </c>
      <c r="B159" t="s">
        <v>246</v>
      </c>
      <c r="C159">
        <v>2</v>
      </c>
      <c r="D159">
        <v>1</v>
      </c>
      <c r="E159">
        <v>0</v>
      </c>
      <c r="F159" t="s">
        <v>245</v>
      </c>
      <c r="G159">
        <v>3</v>
      </c>
      <c r="H159">
        <v>16626.84</v>
      </c>
      <c r="I159">
        <v>5569.02</v>
      </c>
      <c r="J159">
        <v>-76.38</v>
      </c>
      <c r="K159">
        <v>0</v>
      </c>
      <c r="L159">
        <v>0</v>
      </c>
      <c r="M159">
        <v>0</v>
      </c>
    </row>
    <row r="160" spans="1:13">
      <c r="A160">
        <v>2</v>
      </c>
      <c r="B160" t="s">
        <v>246</v>
      </c>
      <c r="C160">
        <v>3</v>
      </c>
      <c r="D160">
        <v>0</v>
      </c>
      <c r="E160">
        <v>1</v>
      </c>
      <c r="F160" t="s">
        <v>244</v>
      </c>
      <c r="G160">
        <v>0</v>
      </c>
      <c r="H160">
        <v>0</v>
      </c>
      <c r="I160">
        <v>0</v>
      </c>
      <c r="J160">
        <v>0</v>
      </c>
      <c r="K160">
        <v>7914.82</v>
      </c>
      <c r="L160">
        <v>-6881.18</v>
      </c>
      <c r="M160">
        <v>-619.5</v>
      </c>
    </row>
    <row r="161" spans="1:13">
      <c r="A161">
        <v>2</v>
      </c>
      <c r="B161" t="s">
        <v>246</v>
      </c>
      <c r="C161">
        <v>3</v>
      </c>
      <c r="D161">
        <v>0</v>
      </c>
      <c r="E161">
        <v>1</v>
      </c>
      <c r="F161">
        <v>1</v>
      </c>
      <c r="G161">
        <v>0.8</v>
      </c>
      <c r="H161">
        <v>0</v>
      </c>
      <c r="I161">
        <v>0</v>
      </c>
      <c r="J161">
        <v>0</v>
      </c>
      <c r="K161">
        <v>2409.88</v>
      </c>
      <c r="L161">
        <v>-6881.18</v>
      </c>
      <c r="M161">
        <v>-619.5</v>
      </c>
    </row>
    <row r="162" spans="1:13">
      <c r="A162">
        <v>2</v>
      </c>
      <c r="B162" t="s">
        <v>246</v>
      </c>
      <c r="C162">
        <v>3</v>
      </c>
      <c r="D162">
        <v>0</v>
      </c>
      <c r="E162">
        <v>1</v>
      </c>
      <c r="F162">
        <v>2</v>
      </c>
      <c r="G162">
        <v>0.8</v>
      </c>
      <c r="H162">
        <v>0</v>
      </c>
      <c r="I162">
        <v>0</v>
      </c>
      <c r="J162">
        <v>0</v>
      </c>
      <c r="K162">
        <v>2409.88</v>
      </c>
      <c r="L162">
        <v>-6881.18</v>
      </c>
      <c r="M162">
        <v>-619.5</v>
      </c>
    </row>
    <row r="163" spans="1:13">
      <c r="A163">
        <v>2</v>
      </c>
      <c r="B163" t="s">
        <v>246</v>
      </c>
      <c r="C163">
        <v>3</v>
      </c>
      <c r="D163">
        <v>0</v>
      </c>
      <c r="E163">
        <v>1</v>
      </c>
      <c r="F163" t="s">
        <v>245</v>
      </c>
      <c r="G163">
        <v>1.5</v>
      </c>
      <c r="H163">
        <v>0</v>
      </c>
      <c r="I163">
        <v>0</v>
      </c>
      <c r="J163">
        <v>0</v>
      </c>
      <c r="K163">
        <v>-2406.94</v>
      </c>
      <c r="L163">
        <v>-6881.18</v>
      </c>
      <c r="M163">
        <v>-619.5</v>
      </c>
    </row>
    <row r="164" spans="1:13">
      <c r="A164">
        <v>2</v>
      </c>
      <c r="B164" t="s">
        <v>246</v>
      </c>
      <c r="C164">
        <v>4</v>
      </c>
      <c r="D164">
        <v>1</v>
      </c>
      <c r="E164">
        <v>1</v>
      </c>
      <c r="F164" t="s">
        <v>244</v>
      </c>
      <c r="G164">
        <v>0</v>
      </c>
      <c r="H164">
        <v>-2402.63</v>
      </c>
      <c r="I164">
        <v>618.94000000000005</v>
      </c>
      <c r="J164">
        <v>-2802.39</v>
      </c>
      <c r="K164">
        <v>80.209999999999994</v>
      </c>
      <c r="L164">
        <v>-76.38</v>
      </c>
      <c r="M164">
        <v>-5569.02</v>
      </c>
    </row>
    <row r="165" spans="1:13">
      <c r="A165">
        <v>2</v>
      </c>
      <c r="B165" t="s">
        <v>246</v>
      </c>
      <c r="C165">
        <v>4</v>
      </c>
      <c r="D165">
        <v>1</v>
      </c>
      <c r="E165">
        <v>1</v>
      </c>
      <c r="F165" t="s">
        <v>245</v>
      </c>
      <c r="G165">
        <v>1</v>
      </c>
      <c r="H165">
        <v>-1783.69</v>
      </c>
      <c r="I165">
        <v>618.94000000000005</v>
      </c>
      <c r="J165">
        <v>-2802.39</v>
      </c>
      <c r="K165">
        <v>3.82</v>
      </c>
      <c r="L165">
        <v>-76.38</v>
      </c>
      <c r="M165">
        <v>-5569.02</v>
      </c>
    </row>
    <row r="166" spans="1:13">
      <c r="A166">
        <v>2</v>
      </c>
      <c r="B166" t="s">
        <v>246</v>
      </c>
      <c r="C166">
        <v>5</v>
      </c>
      <c r="D166">
        <v>1</v>
      </c>
      <c r="E166">
        <v>1</v>
      </c>
      <c r="F166" t="s">
        <v>244</v>
      </c>
      <c r="G166">
        <v>0</v>
      </c>
      <c r="H166">
        <v>-1783.69</v>
      </c>
      <c r="I166">
        <v>618.94000000000005</v>
      </c>
      <c r="J166">
        <v>-2802.39</v>
      </c>
      <c r="K166">
        <v>3.82</v>
      </c>
      <c r="L166">
        <v>-76.38</v>
      </c>
      <c r="M166">
        <v>-5569.02</v>
      </c>
    </row>
    <row r="167" spans="1:13">
      <c r="A167">
        <v>2</v>
      </c>
      <c r="B167" t="s">
        <v>246</v>
      </c>
      <c r="C167">
        <v>5</v>
      </c>
      <c r="D167">
        <v>1</v>
      </c>
      <c r="E167">
        <v>1</v>
      </c>
      <c r="F167" t="s">
        <v>245</v>
      </c>
      <c r="G167">
        <v>2.2400000000000002</v>
      </c>
      <c r="H167">
        <v>-397.28</v>
      </c>
      <c r="I167">
        <v>618.94000000000005</v>
      </c>
      <c r="J167">
        <v>-2802.39</v>
      </c>
      <c r="K167">
        <v>-167.28</v>
      </c>
      <c r="L167">
        <v>-76.38</v>
      </c>
      <c r="M167">
        <v>-5569.02</v>
      </c>
    </row>
    <row r="168" spans="1:13">
      <c r="A168">
        <v>2</v>
      </c>
      <c r="B168" t="s">
        <v>246</v>
      </c>
      <c r="C168">
        <v>6</v>
      </c>
      <c r="D168">
        <v>1</v>
      </c>
      <c r="E168">
        <v>1</v>
      </c>
      <c r="F168" t="s">
        <v>244</v>
      </c>
      <c r="G168">
        <v>0</v>
      </c>
      <c r="H168">
        <v>-397.28</v>
      </c>
      <c r="I168">
        <v>618.94000000000005</v>
      </c>
      <c r="J168">
        <v>-2802.39</v>
      </c>
      <c r="K168">
        <v>-167.28</v>
      </c>
      <c r="L168">
        <v>-76.38</v>
      </c>
      <c r="M168">
        <v>-5569.02</v>
      </c>
    </row>
    <row r="169" spans="1:13">
      <c r="A169">
        <v>2</v>
      </c>
      <c r="B169" t="s">
        <v>246</v>
      </c>
      <c r="C169">
        <v>6</v>
      </c>
      <c r="D169">
        <v>1</v>
      </c>
      <c r="E169">
        <v>0</v>
      </c>
      <c r="F169" t="s">
        <v>245</v>
      </c>
      <c r="G169">
        <v>3.6</v>
      </c>
      <c r="H169">
        <v>715.48</v>
      </c>
      <c r="I169">
        <v>65.08</v>
      </c>
      <c r="J169">
        <v>-2540.36</v>
      </c>
      <c r="K169">
        <v>0</v>
      </c>
      <c r="L169">
        <v>0</v>
      </c>
      <c r="M169">
        <v>0</v>
      </c>
    </row>
    <row r="170" spans="1:13">
      <c r="A170">
        <v>2</v>
      </c>
      <c r="B170" t="s">
        <v>246</v>
      </c>
      <c r="C170">
        <v>7</v>
      </c>
      <c r="D170">
        <v>1</v>
      </c>
      <c r="E170">
        <v>0</v>
      </c>
      <c r="F170" t="s">
        <v>244</v>
      </c>
      <c r="G170">
        <v>0</v>
      </c>
      <c r="H170">
        <v>715.48</v>
      </c>
      <c r="I170">
        <v>65.08</v>
      </c>
      <c r="J170">
        <v>-2540.36</v>
      </c>
      <c r="K170">
        <v>0</v>
      </c>
      <c r="L170">
        <v>0</v>
      </c>
      <c r="M170">
        <v>0</v>
      </c>
    </row>
    <row r="171" spans="1:13">
      <c r="A171">
        <v>2</v>
      </c>
      <c r="B171" t="s">
        <v>246</v>
      </c>
      <c r="C171">
        <v>7</v>
      </c>
      <c r="D171">
        <v>1</v>
      </c>
      <c r="E171">
        <v>0</v>
      </c>
      <c r="F171" t="s">
        <v>245</v>
      </c>
      <c r="G171">
        <v>2.7</v>
      </c>
      <c r="H171">
        <v>-108.6</v>
      </c>
      <c r="I171">
        <v>38.65</v>
      </c>
      <c r="J171">
        <v>-4890.57</v>
      </c>
      <c r="K171">
        <v>0</v>
      </c>
      <c r="L171">
        <v>0</v>
      </c>
      <c r="M171">
        <v>0</v>
      </c>
    </row>
    <row r="172" spans="1:13">
      <c r="A172">
        <v>2</v>
      </c>
      <c r="B172" t="s">
        <v>246</v>
      </c>
      <c r="C172">
        <v>8</v>
      </c>
      <c r="D172">
        <v>1</v>
      </c>
      <c r="E172">
        <v>0</v>
      </c>
      <c r="F172" t="s">
        <v>244</v>
      </c>
      <c r="G172">
        <v>0</v>
      </c>
      <c r="H172">
        <v>-108.6</v>
      </c>
      <c r="I172">
        <v>38.65</v>
      </c>
      <c r="J172">
        <v>-4890.57</v>
      </c>
      <c r="K172">
        <v>0</v>
      </c>
      <c r="L172">
        <v>0</v>
      </c>
      <c r="M172">
        <v>0</v>
      </c>
    </row>
    <row r="173" spans="1:13">
      <c r="A173">
        <v>2</v>
      </c>
      <c r="B173" t="s">
        <v>246</v>
      </c>
      <c r="C173">
        <v>8</v>
      </c>
      <c r="D173">
        <v>1</v>
      </c>
      <c r="E173">
        <v>1</v>
      </c>
      <c r="F173" t="s">
        <v>245</v>
      </c>
      <c r="G173">
        <v>2.8</v>
      </c>
      <c r="H173">
        <v>-6.7</v>
      </c>
      <c r="I173">
        <v>30.43</v>
      </c>
      <c r="J173">
        <v>-4236.47</v>
      </c>
      <c r="K173">
        <v>655.57</v>
      </c>
      <c r="L173">
        <v>-100.54</v>
      </c>
      <c r="M173">
        <v>-2171.23</v>
      </c>
    </row>
    <row r="174" spans="1:13">
      <c r="A174">
        <v>2</v>
      </c>
      <c r="B174" t="s">
        <v>246</v>
      </c>
      <c r="C174">
        <v>9</v>
      </c>
      <c r="D174">
        <v>1</v>
      </c>
      <c r="E174">
        <v>1</v>
      </c>
      <c r="F174" t="s">
        <v>244</v>
      </c>
      <c r="G174">
        <v>0</v>
      </c>
      <c r="H174">
        <v>-6.7</v>
      </c>
      <c r="I174">
        <v>30.43</v>
      </c>
      <c r="J174">
        <v>-4236.47</v>
      </c>
      <c r="K174">
        <v>655.57</v>
      </c>
      <c r="L174">
        <v>-100.54</v>
      </c>
      <c r="M174">
        <v>-2171.23</v>
      </c>
    </row>
    <row r="175" spans="1:13">
      <c r="A175">
        <v>2</v>
      </c>
      <c r="B175" t="s">
        <v>246</v>
      </c>
      <c r="C175">
        <v>9</v>
      </c>
      <c r="D175">
        <v>1</v>
      </c>
      <c r="E175">
        <v>0</v>
      </c>
      <c r="F175" t="s">
        <v>245</v>
      </c>
      <c r="G175">
        <v>8.16</v>
      </c>
      <c r="H175">
        <v>0</v>
      </c>
      <c r="I175">
        <v>0</v>
      </c>
      <c r="J175">
        <v>-560.88</v>
      </c>
      <c r="K175">
        <v>0</v>
      </c>
      <c r="L175">
        <v>0</v>
      </c>
      <c r="M175">
        <v>0</v>
      </c>
    </row>
    <row r="176" spans="1:13">
      <c r="A176">
        <v>2</v>
      </c>
      <c r="B176" t="s">
        <v>246</v>
      </c>
      <c r="C176">
        <v>10</v>
      </c>
      <c r="D176">
        <v>1</v>
      </c>
      <c r="E176">
        <v>0</v>
      </c>
      <c r="F176" t="s">
        <v>244</v>
      </c>
      <c r="G176">
        <v>0</v>
      </c>
      <c r="H176">
        <v>0</v>
      </c>
      <c r="I176">
        <v>0</v>
      </c>
      <c r="J176">
        <v>-560.88</v>
      </c>
      <c r="K176">
        <v>0</v>
      </c>
      <c r="L176">
        <v>0</v>
      </c>
      <c r="M176">
        <v>0</v>
      </c>
    </row>
    <row r="177" spans="1:13">
      <c r="A177">
        <v>2</v>
      </c>
      <c r="B177" t="s">
        <v>246</v>
      </c>
      <c r="C177">
        <v>10</v>
      </c>
      <c r="D177">
        <v>1</v>
      </c>
      <c r="E177">
        <v>0</v>
      </c>
      <c r="F177" t="s">
        <v>245</v>
      </c>
      <c r="G177">
        <v>1.5</v>
      </c>
      <c r="H177">
        <v>0</v>
      </c>
      <c r="I177">
        <v>0</v>
      </c>
      <c r="J177">
        <v>-271.69</v>
      </c>
      <c r="K177">
        <v>0</v>
      </c>
      <c r="L177">
        <v>0</v>
      </c>
      <c r="M177">
        <v>0</v>
      </c>
    </row>
    <row r="178" spans="1:13">
      <c r="A178">
        <v>2</v>
      </c>
      <c r="B178" t="s">
        <v>246</v>
      </c>
      <c r="C178">
        <v>11</v>
      </c>
      <c r="D178">
        <v>1</v>
      </c>
      <c r="E178">
        <v>1</v>
      </c>
      <c r="F178" t="s">
        <v>244</v>
      </c>
      <c r="G178">
        <v>0</v>
      </c>
      <c r="H178">
        <v>-2406.94</v>
      </c>
      <c r="I178">
        <v>619.5</v>
      </c>
      <c r="J178">
        <v>-6881.18</v>
      </c>
      <c r="K178">
        <v>74.7</v>
      </c>
      <c r="L178">
        <v>-75.64</v>
      </c>
      <c r="M178">
        <v>-4114.55</v>
      </c>
    </row>
    <row r="179" spans="1:13">
      <c r="A179">
        <v>2</v>
      </c>
      <c r="B179" t="s">
        <v>246</v>
      </c>
      <c r="C179">
        <v>11</v>
      </c>
      <c r="D179">
        <v>1</v>
      </c>
      <c r="E179">
        <v>1</v>
      </c>
      <c r="F179" t="s">
        <v>245</v>
      </c>
      <c r="G179">
        <v>1</v>
      </c>
      <c r="H179">
        <v>-1787.44</v>
      </c>
      <c r="I179">
        <v>619.5</v>
      </c>
      <c r="J179">
        <v>-6881.18</v>
      </c>
      <c r="K179">
        <v>-0.94</v>
      </c>
      <c r="L179">
        <v>-75.64</v>
      </c>
      <c r="M179">
        <v>-4114.55</v>
      </c>
    </row>
    <row r="180" spans="1:13">
      <c r="A180">
        <v>2</v>
      </c>
      <c r="B180" t="s">
        <v>246</v>
      </c>
      <c r="C180">
        <v>12</v>
      </c>
      <c r="D180">
        <v>1</v>
      </c>
      <c r="E180">
        <v>1</v>
      </c>
      <c r="F180" t="s">
        <v>244</v>
      </c>
      <c r="G180">
        <v>0</v>
      </c>
      <c r="H180">
        <v>-1787.44</v>
      </c>
      <c r="I180">
        <v>619.5</v>
      </c>
      <c r="J180">
        <v>-6881.18</v>
      </c>
      <c r="K180">
        <v>-0.94</v>
      </c>
      <c r="L180">
        <v>-75.64</v>
      </c>
      <c r="M180">
        <v>-4114.55</v>
      </c>
    </row>
    <row r="181" spans="1:13">
      <c r="A181">
        <v>2</v>
      </c>
      <c r="B181" t="s">
        <v>246</v>
      </c>
      <c r="C181">
        <v>12</v>
      </c>
      <c r="D181">
        <v>1</v>
      </c>
      <c r="E181">
        <v>1</v>
      </c>
      <c r="F181" t="s">
        <v>245</v>
      </c>
      <c r="G181">
        <v>2.2400000000000002</v>
      </c>
      <c r="H181">
        <v>-399.75</v>
      </c>
      <c r="I181">
        <v>619.5</v>
      </c>
      <c r="J181">
        <v>-6881.18</v>
      </c>
      <c r="K181">
        <v>-170.36</v>
      </c>
      <c r="L181">
        <v>-75.64</v>
      </c>
      <c r="M181">
        <v>-4114.55</v>
      </c>
    </row>
    <row r="182" spans="1:13">
      <c r="A182">
        <v>2</v>
      </c>
      <c r="B182" t="s">
        <v>246</v>
      </c>
      <c r="C182">
        <v>13</v>
      </c>
      <c r="D182">
        <v>1</v>
      </c>
      <c r="E182">
        <v>1</v>
      </c>
      <c r="F182" t="s">
        <v>244</v>
      </c>
      <c r="G182">
        <v>0</v>
      </c>
      <c r="H182">
        <v>-399.75</v>
      </c>
      <c r="I182">
        <v>619.5</v>
      </c>
      <c r="J182">
        <v>-6881.18</v>
      </c>
      <c r="K182">
        <v>-170.36</v>
      </c>
      <c r="L182">
        <v>-75.64</v>
      </c>
      <c r="M182">
        <v>-4114.55</v>
      </c>
    </row>
    <row r="183" spans="1:13">
      <c r="A183">
        <v>2</v>
      </c>
      <c r="B183" t="s">
        <v>246</v>
      </c>
      <c r="C183">
        <v>13</v>
      </c>
      <c r="D183">
        <v>1</v>
      </c>
      <c r="E183">
        <v>0</v>
      </c>
      <c r="F183" t="s">
        <v>245</v>
      </c>
      <c r="G183">
        <v>3.6</v>
      </c>
      <c r="H183">
        <v>714.58</v>
      </c>
      <c r="I183">
        <v>65.38</v>
      </c>
      <c r="J183">
        <v>-6172.82</v>
      </c>
      <c r="K183">
        <v>0</v>
      </c>
      <c r="L183">
        <v>0</v>
      </c>
      <c r="M183">
        <v>0</v>
      </c>
    </row>
    <row r="184" spans="1:13">
      <c r="A184">
        <v>2</v>
      </c>
      <c r="B184" t="s">
        <v>246</v>
      </c>
      <c r="C184">
        <v>14</v>
      </c>
      <c r="D184">
        <v>1</v>
      </c>
      <c r="E184">
        <v>0</v>
      </c>
      <c r="F184" t="s">
        <v>244</v>
      </c>
      <c r="G184">
        <v>0</v>
      </c>
      <c r="H184">
        <v>714.58</v>
      </c>
      <c r="I184">
        <v>65.38</v>
      </c>
      <c r="J184">
        <v>-6172.82</v>
      </c>
      <c r="K184">
        <v>0</v>
      </c>
      <c r="L184">
        <v>0</v>
      </c>
      <c r="M184">
        <v>0</v>
      </c>
    </row>
    <row r="185" spans="1:13">
      <c r="A185">
        <v>2</v>
      </c>
      <c r="B185" t="s">
        <v>246</v>
      </c>
      <c r="C185">
        <v>14</v>
      </c>
      <c r="D185">
        <v>1</v>
      </c>
      <c r="E185">
        <v>0</v>
      </c>
      <c r="F185" t="s">
        <v>245</v>
      </c>
      <c r="G185">
        <v>2.7</v>
      </c>
      <c r="H185">
        <v>-108.72</v>
      </c>
      <c r="I185">
        <v>38.97</v>
      </c>
      <c r="J185">
        <v>-3639.68</v>
      </c>
      <c r="K185">
        <v>0</v>
      </c>
      <c r="L185">
        <v>0</v>
      </c>
      <c r="M185">
        <v>0</v>
      </c>
    </row>
    <row r="186" spans="1:13">
      <c r="A186">
        <v>2</v>
      </c>
      <c r="B186" t="s">
        <v>246</v>
      </c>
      <c r="C186">
        <v>15</v>
      </c>
      <c r="D186">
        <v>1</v>
      </c>
      <c r="E186">
        <v>0</v>
      </c>
      <c r="F186" t="s">
        <v>244</v>
      </c>
      <c r="G186">
        <v>0</v>
      </c>
      <c r="H186">
        <v>-108.72</v>
      </c>
      <c r="I186">
        <v>38.97</v>
      </c>
      <c r="J186">
        <v>-3639.68</v>
      </c>
      <c r="K186">
        <v>0</v>
      </c>
      <c r="L186">
        <v>0</v>
      </c>
      <c r="M186">
        <v>0</v>
      </c>
    </row>
    <row r="187" spans="1:13">
      <c r="A187">
        <v>2</v>
      </c>
      <c r="B187" t="s">
        <v>246</v>
      </c>
      <c r="C187">
        <v>15</v>
      </c>
      <c r="D187">
        <v>1</v>
      </c>
      <c r="E187">
        <v>1</v>
      </c>
      <c r="F187" t="s">
        <v>245</v>
      </c>
      <c r="G187">
        <v>2.8</v>
      </c>
      <c r="H187">
        <v>-6.28</v>
      </c>
      <c r="I187">
        <v>30.52</v>
      </c>
      <c r="J187">
        <v>-3166.1</v>
      </c>
      <c r="K187">
        <v>655.89</v>
      </c>
      <c r="L187">
        <v>-100.46</v>
      </c>
      <c r="M187">
        <v>-5231.34</v>
      </c>
    </row>
    <row r="188" spans="1:13">
      <c r="A188">
        <v>2</v>
      </c>
      <c r="B188" t="s">
        <v>246</v>
      </c>
      <c r="C188">
        <v>16</v>
      </c>
      <c r="D188">
        <v>1</v>
      </c>
      <c r="E188">
        <v>1</v>
      </c>
      <c r="F188" t="s">
        <v>244</v>
      </c>
      <c r="G188">
        <v>0</v>
      </c>
      <c r="H188">
        <v>-6.28</v>
      </c>
      <c r="I188">
        <v>30.52</v>
      </c>
      <c r="J188">
        <v>-3166.1</v>
      </c>
      <c r="K188">
        <v>655.89</v>
      </c>
      <c r="L188">
        <v>-100.46</v>
      </c>
      <c r="M188">
        <v>-5231.34</v>
      </c>
    </row>
    <row r="189" spans="1:13">
      <c r="A189">
        <v>2</v>
      </c>
      <c r="B189" t="s">
        <v>246</v>
      </c>
      <c r="C189">
        <v>16</v>
      </c>
      <c r="D189">
        <v>0</v>
      </c>
      <c r="E189">
        <v>1</v>
      </c>
      <c r="F189" t="s">
        <v>245</v>
      </c>
      <c r="G189">
        <v>8.16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-812.45</v>
      </c>
    </row>
    <row r="190" spans="1:13">
      <c r="A190">
        <v>2</v>
      </c>
      <c r="B190" t="s">
        <v>246</v>
      </c>
      <c r="C190">
        <v>17</v>
      </c>
      <c r="D190">
        <v>0</v>
      </c>
      <c r="E190">
        <v>1</v>
      </c>
      <c r="F190" t="s">
        <v>244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-812.45</v>
      </c>
    </row>
    <row r="191" spans="1:13">
      <c r="A191">
        <v>2</v>
      </c>
      <c r="B191" t="s">
        <v>246</v>
      </c>
      <c r="C191">
        <v>17</v>
      </c>
      <c r="D191">
        <v>0</v>
      </c>
      <c r="E191">
        <v>1</v>
      </c>
      <c r="F191" t="s">
        <v>245</v>
      </c>
      <c r="G191">
        <v>1.5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-393.45</v>
      </c>
    </row>
    <row r="192" spans="1:13">
      <c r="A192">
        <v>2</v>
      </c>
      <c r="B192" t="s">
        <v>247</v>
      </c>
      <c r="C192">
        <v>1</v>
      </c>
      <c r="D192">
        <v>0</v>
      </c>
      <c r="E192">
        <v>0</v>
      </c>
      <c r="F192" t="s">
        <v>244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1:13">
      <c r="A193">
        <v>2</v>
      </c>
      <c r="B193" t="s">
        <v>247</v>
      </c>
      <c r="C193">
        <v>1</v>
      </c>
      <c r="D193">
        <v>0</v>
      </c>
      <c r="E193">
        <v>0</v>
      </c>
      <c r="F193" t="s">
        <v>245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1:13">
      <c r="A194">
        <v>2</v>
      </c>
      <c r="B194" t="s">
        <v>247</v>
      </c>
      <c r="C194">
        <v>2</v>
      </c>
      <c r="D194">
        <v>1</v>
      </c>
      <c r="E194">
        <v>1</v>
      </c>
      <c r="F194" t="s">
        <v>244</v>
      </c>
      <c r="G194">
        <v>0</v>
      </c>
      <c r="H194">
        <v>2402.63</v>
      </c>
      <c r="I194">
        <v>2802.39</v>
      </c>
      <c r="J194">
        <v>618.94000000000005</v>
      </c>
      <c r="K194">
        <v>-80.209999999999994</v>
      </c>
      <c r="L194">
        <v>5569.02</v>
      </c>
      <c r="M194">
        <v>-76.38</v>
      </c>
    </row>
    <row r="195" spans="1:13">
      <c r="A195">
        <v>2</v>
      </c>
      <c r="B195" t="s">
        <v>247</v>
      </c>
      <c r="C195">
        <v>2</v>
      </c>
      <c r="D195">
        <v>1</v>
      </c>
      <c r="E195">
        <v>1</v>
      </c>
      <c r="F195">
        <v>1</v>
      </c>
      <c r="G195">
        <v>2.2000000000000002</v>
      </c>
      <c r="H195">
        <v>8567.8700000000008</v>
      </c>
      <c r="I195">
        <v>2802.39</v>
      </c>
      <c r="J195">
        <v>618.94000000000005</v>
      </c>
      <c r="K195">
        <v>12171.63</v>
      </c>
      <c r="L195">
        <v>5569.02</v>
      </c>
      <c r="M195">
        <v>-76.38</v>
      </c>
    </row>
    <row r="196" spans="1:13">
      <c r="A196">
        <v>2</v>
      </c>
      <c r="B196" t="s">
        <v>247</v>
      </c>
      <c r="C196">
        <v>2</v>
      </c>
      <c r="D196">
        <v>1</v>
      </c>
      <c r="E196">
        <v>1</v>
      </c>
      <c r="F196">
        <v>2</v>
      </c>
      <c r="G196">
        <v>2.2000000000000002</v>
      </c>
      <c r="H196">
        <v>8567.8700000000008</v>
      </c>
      <c r="I196">
        <v>2802.39</v>
      </c>
      <c r="J196">
        <v>618.94000000000005</v>
      </c>
      <c r="K196">
        <v>12171.63</v>
      </c>
      <c r="L196">
        <v>5569.02</v>
      </c>
      <c r="M196">
        <v>-76.38</v>
      </c>
    </row>
    <row r="197" spans="1:13">
      <c r="A197">
        <v>2</v>
      </c>
      <c r="B197" t="s">
        <v>247</v>
      </c>
      <c r="C197">
        <v>2</v>
      </c>
      <c r="D197">
        <v>1</v>
      </c>
      <c r="E197">
        <v>1</v>
      </c>
      <c r="F197" t="s">
        <v>245</v>
      </c>
      <c r="G197">
        <v>3</v>
      </c>
      <c r="H197">
        <v>10809.78</v>
      </c>
      <c r="I197">
        <v>2802.39</v>
      </c>
      <c r="J197">
        <v>618.94000000000005</v>
      </c>
      <c r="K197">
        <v>16626.84</v>
      </c>
      <c r="L197">
        <v>5569.02</v>
      </c>
      <c r="M197">
        <v>-76.38</v>
      </c>
    </row>
    <row r="198" spans="1:13">
      <c r="A198">
        <v>2</v>
      </c>
      <c r="B198" t="s">
        <v>247</v>
      </c>
      <c r="C198">
        <v>3</v>
      </c>
      <c r="D198">
        <v>1</v>
      </c>
      <c r="E198">
        <v>1</v>
      </c>
      <c r="F198" t="s">
        <v>244</v>
      </c>
      <c r="G198">
        <v>0</v>
      </c>
      <c r="H198">
        <v>6246.52</v>
      </c>
      <c r="I198">
        <v>-4114.55</v>
      </c>
      <c r="J198">
        <v>75.64</v>
      </c>
      <c r="K198">
        <v>7914.82</v>
      </c>
      <c r="L198">
        <v>-6881.18</v>
      </c>
      <c r="M198">
        <v>-619.5</v>
      </c>
    </row>
    <row r="199" spans="1:13">
      <c r="A199">
        <v>2</v>
      </c>
      <c r="B199" t="s">
        <v>247</v>
      </c>
      <c r="C199">
        <v>3</v>
      </c>
      <c r="D199">
        <v>1</v>
      </c>
      <c r="E199">
        <v>1</v>
      </c>
      <c r="F199">
        <v>1</v>
      </c>
      <c r="G199">
        <v>0.8</v>
      </c>
      <c r="H199">
        <v>2954.88</v>
      </c>
      <c r="I199">
        <v>-4114.55</v>
      </c>
      <c r="J199">
        <v>75.64</v>
      </c>
      <c r="K199">
        <v>2409.88</v>
      </c>
      <c r="L199">
        <v>-6881.18</v>
      </c>
      <c r="M199">
        <v>-619.5</v>
      </c>
    </row>
    <row r="200" spans="1:13">
      <c r="A200">
        <v>2</v>
      </c>
      <c r="B200" t="s">
        <v>247</v>
      </c>
      <c r="C200">
        <v>3</v>
      </c>
      <c r="D200">
        <v>1</v>
      </c>
      <c r="E200">
        <v>1</v>
      </c>
      <c r="F200">
        <v>2</v>
      </c>
      <c r="G200">
        <v>0.8</v>
      </c>
      <c r="H200">
        <v>2954.88</v>
      </c>
      <c r="I200">
        <v>-4114.55</v>
      </c>
      <c r="J200">
        <v>75.64</v>
      </c>
      <c r="K200">
        <v>2409.88</v>
      </c>
      <c r="L200">
        <v>-6881.18</v>
      </c>
      <c r="M200">
        <v>-619.5</v>
      </c>
    </row>
    <row r="201" spans="1:13">
      <c r="A201">
        <v>2</v>
      </c>
      <c r="B201" t="s">
        <v>247</v>
      </c>
      <c r="C201">
        <v>3</v>
      </c>
      <c r="D201">
        <v>1</v>
      </c>
      <c r="E201">
        <v>1</v>
      </c>
      <c r="F201" t="s">
        <v>245</v>
      </c>
      <c r="G201">
        <v>1.5</v>
      </c>
      <c r="H201">
        <v>74.7</v>
      </c>
      <c r="I201">
        <v>-4114.55</v>
      </c>
      <c r="J201">
        <v>75.64</v>
      </c>
      <c r="K201">
        <v>-2406.94</v>
      </c>
      <c r="L201">
        <v>-6881.18</v>
      </c>
      <c r="M201">
        <v>-619.5</v>
      </c>
    </row>
    <row r="202" spans="1:13">
      <c r="A202">
        <v>2</v>
      </c>
      <c r="B202" t="s">
        <v>247</v>
      </c>
      <c r="C202">
        <v>4</v>
      </c>
      <c r="D202">
        <v>0</v>
      </c>
      <c r="E202">
        <v>1</v>
      </c>
      <c r="F202" t="s">
        <v>244</v>
      </c>
      <c r="G202">
        <v>0</v>
      </c>
      <c r="H202">
        <v>0</v>
      </c>
      <c r="I202">
        <v>0</v>
      </c>
      <c r="J202">
        <v>0</v>
      </c>
      <c r="K202">
        <v>80.209999999999994</v>
      </c>
      <c r="L202">
        <v>-76.38</v>
      </c>
      <c r="M202">
        <v>-5569.02</v>
      </c>
    </row>
    <row r="203" spans="1:13">
      <c r="A203">
        <v>2</v>
      </c>
      <c r="B203" t="s">
        <v>247</v>
      </c>
      <c r="C203">
        <v>4</v>
      </c>
      <c r="D203">
        <v>0</v>
      </c>
      <c r="E203">
        <v>1</v>
      </c>
      <c r="F203" t="s">
        <v>245</v>
      </c>
      <c r="G203">
        <v>1</v>
      </c>
      <c r="H203">
        <v>0</v>
      </c>
      <c r="I203">
        <v>0</v>
      </c>
      <c r="J203">
        <v>0</v>
      </c>
      <c r="K203">
        <v>3.82</v>
      </c>
      <c r="L203">
        <v>-76.38</v>
      </c>
      <c r="M203">
        <v>-5569.02</v>
      </c>
    </row>
    <row r="204" spans="1:13">
      <c r="A204">
        <v>2</v>
      </c>
      <c r="B204" t="s">
        <v>247</v>
      </c>
      <c r="C204">
        <v>5</v>
      </c>
      <c r="D204">
        <v>0</v>
      </c>
      <c r="E204">
        <v>1</v>
      </c>
      <c r="F204" t="s">
        <v>244</v>
      </c>
      <c r="G204">
        <v>0</v>
      </c>
      <c r="H204">
        <v>0</v>
      </c>
      <c r="I204">
        <v>0</v>
      </c>
      <c r="J204">
        <v>0</v>
      </c>
      <c r="K204">
        <v>3.82</v>
      </c>
      <c r="L204">
        <v>-76.38</v>
      </c>
      <c r="M204">
        <v>-5569.02</v>
      </c>
    </row>
    <row r="205" spans="1:13">
      <c r="A205">
        <v>2</v>
      </c>
      <c r="B205" t="s">
        <v>247</v>
      </c>
      <c r="C205">
        <v>5</v>
      </c>
      <c r="D205">
        <v>0</v>
      </c>
      <c r="E205">
        <v>1</v>
      </c>
      <c r="F205" t="s">
        <v>245</v>
      </c>
      <c r="G205">
        <v>2.2400000000000002</v>
      </c>
      <c r="H205">
        <v>0</v>
      </c>
      <c r="I205">
        <v>0</v>
      </c>
      <c r="J205">
        <v>0</v>
      </c>
      <c r="K205">
        <v>-167.28</v>
      </c>
      <c r="L205">
        <v>-76.38</v>
      </c>
      <c r="M205">
        <v>-5569.02</v>
      </c>
    </row>
    <row r="206" spans="1:13">
      <c r="A206">
        <v>2</v>
      </c>
      <c r="B206" t="s">
        <v>247</v>
      </c>
      <c r="C206">
        <v>6</v>
      </c>
      <c r="D206">
        <v>0</v>
      </c>
      <c r="E206">
        <v>1</v>
      </c>
      <c r="F206" t="s">
        <v>244</v>
      </c>
      <c r="G206">
        <v>0</v>
      </c>
      <c r="H206">
        <v>0</v>
      </c>
      <c r="I206">
        <v>0</v>
      </c>
      <c r="J206">
        <v>0</v>
      </c>
      <c r="K206">
        <v>-167.28</v>
      </c>
      <c r="L206">
        <v>-76.38</v>
      </c>
      <c r="M206">
        <v>-5569.02</v>
      </c>
    </row>
    <row r="207" spans="1:13">
      <c r="A207">
        <v>2</v>
      </c>
      <c r="B207" t="s">
        <v>247</v>
      </c>
      <c r="C207">
        <v>6</v>
      </c>
      <c r="D207">
        <v>0</v>
      </c>
      <c r="E207">
        <v>1</v>
      </c>
      <c r="F207" t="s">
        <v>245</v>
      </c>
      <c r="G207">
        <v>3.6</v>
      </c>
      <c r="H207">
        <v>0</v>
      </c>
      <c r="I207">
        <v>0</v>
      </c>
      <c r="J207">
        <v>0</v>
      </c>
      <c r="K207">
        <v>-208.07</v>
      </c>
      <c r="L207">
        <v>33.4</v>
      </c>
      <c r="M207">
        <v>-4997.4799999999996</v>
      </c>
    </row>
    <row r="208" spans="1:13">
      <c r="A208">
        <v>2</v>
      </c>
      <c r="B208" t="s">
        <v>247</v>
      </c>
      <c r="C208">
        <v>7</v>
      </c>
      <c r="D208">
        <v>0</v>
      </c>
      <c r="E208">
        <v>1</v>
      </c>
      <c r="F208" t="s">
        <v>244</v>
      </c>
      <c r="G208">
        <v>0</v>
      </c>
      <c r="H208">
        <v>0</v>
      </c>
      <c r="I208">
        <v>0</v>
      </c>
      <c r="J208">
        <v>0</v>
      </c>
      <c r="K208">
        <v>-208.07</v>
      </c>
      <c r="L208">
        <v>33.4</v>
      </c>
      <c r="M208">
        <v>-4997.4799999999996</v>
      </c>
    </row>
    <row r="209" spans="1:13">
      <c r="A209">
        <v>2</v>
      </c>
      <c r="B209" t="s">
        <v>247</v>
      </c>
      <c r="C209">
        <v>7</v>
      </c>
      <c r="D209">
        <v>0</v>
      </c>
      <c r="E209">
        <v>1</v>
      </c>
      <c r="F209" t="s">
        <v>245</v>
      </c>
      <c r="G209">
        <v>2.7</v>
      </c>
      <c r="H209">
        <v>0</v>
      </c>
      <c r="I209">
        <v>0</v>
      </c>
      <c r="J209">
        <v>0</v>
      </c>
      <c r="K209">
        <v>-108.6</v>
      </c>
      <c r="L209">
        <v>38.65</v>
      </c>
      <c r="M209">
        <v>-4890.57</v>
      </c>
    </row>
    <row r="210" spans="1:13">
      <c r="A210">
        <v>2</v>
      </c>
      <c r="B210" t="s">
        <v>247</v>
      </c>
      <c r="C210">
        <v>8</v>
      </c>
      <c r="D210">
        <v>0</v>
      </c>
      <c r="E210">
        <v>1</v>
      </c>
      <c r="F210" t="s">
        <v>244</v>
      </c>
      <c r="G210">
        <v>0</v>
      </c>
      <c r="H210">
        <v>0</v>
      </c>
      <c r="I210">
        <v>0</v>
      </c>
      <c r="J210">
        <v>0</v>
      </c>
      <c r="K210">
        <v>-108.6</v>
      </c>
      <c r="L210">
        <v>38.65</v>
      </c>
      <c r="M210">
        <v>-4890.57</v>
      </c>
    </row>
    <row r="211" spans="1:13">
      <c r="A211">
        <v>2</v>
      </c>
      <c r="B211" t="s">
        <v>247</v>
      </c>
      <c r="C211">
        <v>8</v>
      </c>
      <c r="D211">
        <v>0</v>
      </c>
      <c r="E211">
        <v>1</v>
      </c>
      <c r="F211" t="s">
        <v>245</v>
      </c>
      <c r="G211">
        <v>2.8</v>
      </c>
      <c r="H211">
        <v>0</v>
      </c>
      <c r="I211">
        <v>0</v>
      </c>
      <c r="J211">
        <v>0</v>
      </c>
      <c r="K211">
        <v>-6.7</v>
      </c>
      <c r="L211">
        <v>30.43</v>
      </c>
      <c r="M211">
        <v>-4236.47</v>
      </c>
    </row>
    <row r="212" spans="1:13">
      <c r="A212">
        <v>2</v>
      </c>
      <c r="B212" t="s">
        <v>247</v>
      </c>
      <c r="C212">
        <v>9</v>
      </c>
      <c r="D212">
        <v>0</v>
      </c>
      <c r="E212">
        <v>1</v>
      </c>
      <c r="F212" t="s">
        <v>244</v>
      </c>
      <c r="G212">
        <v>0</v>
      </c>
      <c r="H212">
        <v>0</v>
      </c>
      <c r="I212">
        <v>0</v>
      </c>
      <c r="J212">
        <v>0</v>
      </c>
      <c r="K212">
        <v>-6.7</v>
      </c>
      <c r="L212">
        <v>30.43</v>
      </c>
      <c r="M212">
        <v>-4236.47</v>
      </c>
    </row>
    <row r="213" spans="1:13">
      <c r="A213">
        <v>2</v>
      </c>
      <c r="B213" t="s">
        <v>247</v>
      </c>
      <c r="C213">
        <v>9</v>
      </c>
      <c r="D213">
        <v>0</v>
      </c>
      <c r="E213">
        <v>1</v>
      </c>
      <c r="F213" t="s">
        <v>245</v>
      </c>
      <c r="G213">
        <v>8.16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-1074.8599999999999</v>
      </c>
    </row>
    <row r="214" spans="1:13">
      <c r="A214">
        <v>2</v>
      </c>
      <c r="B214" t="s">
        <v>247</v>
      </c>
      <c r="C214">
        <v>10</v>
      </c>
      <c r="D214">
        <v>0</v>
      </c>
      <c r="E214">
        <v>1</v>
      </c>
      <c r="F214" t="s">
        <v>244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-1074.8599999999999</v>
      </c>
    </row>
    <row r="215" spans="1:13">
      <c r="A215">
        <v>2</v>
      </c>
      <c r="B215" t="s">
        <v>247</v>
      </c>
      <c r="C215">
        <v>10</v>
      </c>
      <c r="D215">
        <v>0</v>
      </c>
      <c r="E215">
        <v>1</v>
      </c>
      <c r="F215" t="s">
        <v>245</v>
      </c>
      <c r="G215">
        <v>1.5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-520.29</v>
      </c>
    </row>
    <row r="216" spans="1:13">
      <c r="A216">
        <v>2</v>
      </c>
      <c r="B216" t="s">
        <v>247</v>
      </c>
      <c r="C216">
        <v>11</v>
      </c>
      <c r="D216">
        <v>0</v>
      </c>
      <c r="E216">
        <v>1</v>
      </c>
      <c r="F216" t="s">
        <v>244</v>
      </c>
      <c r="G216">
        <v>0</v>
      </c>
      <c r="H216">
        <v>0</v>
      </c>
      <c r="I216">
        <v>0</v>
      </c>
      <c r="J216">
        <v>0</v>
      </c>
      <c r="K216">
        <v>-2406.94</v>
      </c>
      <c r="L216">
        <v>619.5</v>
      </c>
      <c r="M216">
        <v>-6881.18</v>
      </c>
    </row>
    <row r="217" spans="1:13">
      <c r="A217">
        <v>2</v>
      </c>
      <c r="B217" t="s">
        <v>247</v>
      </c>
      <c r="C217">
        <v>11</v>
      </c>
      <c r="D217">
        <v>0</v>
      </c>
      <c r="E217">
        <v>1</v>
      </c>
      <c r="F217" t="s">
        <v>245</v>
      </c>
      <c r="G217">
        <v>1</v>
      </c>
      <c r="H217">
        <v>0</v>
      </c>
      <c r="I217">
        <v>0</v>
      </c>
      <c r="J217">
        <v>0</v>
      </c>
      <c r="K217">
        <v>-1787.44</v>
      </c>
      <c r="L217">
        <v>619.5</v>
      </c>
      <c r="M217">
        <v>-6881.18</v>
      </c>
    </row>
    <row r="218" spans="1:13">
      <c r="A218">
        <v>2</v>
      </c>
      <c r="B218" t="s">
        <v>247</v>
      </c>
      <c r="C218">
        <v>12</v>
      </c>
      <c r="D218">
        <v>0</v>
      </c>
      <c r="E218">
        <v>1</v>
      </c>
      <c r="F218" t="s">
        <v>244</v>
      </c>
      <c r="G218">
        <v>0</v>
      </c>
      <c r="H218">
        <v>0</v>
      </c>
      <c r="I218">
        <v>0</v>
      </c>
      <c r="J218">
        <v>0</v>
      </c>
      <c r="K218">
        <v>-1787.44</v>
      </c>
      <c r="L218">
        <v>619.5</v>
      </c>
      <c r="M218">
        <v>-6881.18</v>
      </c>
    </row>
    <row r="219" spans="1:13">
      <c r="A219">
        <v>2</v>
      </c>
      <c r="B219" t="s">
        <v>247</v>
      </c>
      <c r="C219">
        <v>12</v>
      </c>
      <c r="D219">
        <v>0</v>
      </c>
      <c r="E219">
        <v>1</v>
      </c>
      <c r="F219" t="s">
        <v>245</v>
      </c>
      <c r="G219">
        <v>2.2400000000000002</v>
      </c>
      <c r="H219">
        <v>0</v>
      </c>
      <c r="I219">
        <v>0</v>
      </c>
      <c r="J219">
        <v>0</v>
      </c>
      <c r="K219">
        <v>-399.75</v>
      </c>
      <c r="L219">
        <v>619.5</v>
      </c>
      <c r="M219">
        <v>-6881.18</v>
      </c>
    </row>
    <row r="220" spans="1:13">
      <c r="A220">
        <v>2</v>
      </c>
      <c r="B220" t="s">
        <v>247</v>
      </c>
      <c r="C220">
        <v>13</v>
      </c>
      <c r="D220">
        <v>0</v>
      </c>
      <c r="E220">
        <v>1</v>
      </c>
      <c r="F220" t="s">
        <v>244</v>
      </c>
      <c r="G220">
        <v>0</v>
      </c>
      <c r="H220">
        <v>0</v>
      </c>
      <c r="I220">
        <v>0</v>
      </c>
      <c r="J220">
        <v>0</v>
      </c>
      <c r="K220">
        <v>-399.75</v>
      </c>
      <c r="L220">
        <v>619.5</v>
      </c>
      <c r="M220">
        <v>-6881.18</v>
      </c>
    </row>
    <row r="221" spans="1:13">
      <c r="A221">
        <v>2</v>
      </c>
      <c r="B221" t="s">
        <v>247</v>
      </c>
      <c r="C221">
        <v>13</v>
      </c>
      <c r="D221">
        <v>0</v>
      </c>
      <c r="E221">
        <v>1</v>
      </c>
      <c r="F221" t="s">
        <v>245</v>
      </c>
      <c r="G221">
        <v>3.6</v>
      </c>
      <c r="H221">
        <v>0</v>
      </c>
      <c r="I221">
        <v>0</v>
      </c>
      <c r="J221">
        <v>0</v>
      </c>
      <c r="K221">
        <v>714.58</v>
      </c>
      <c r="L221">
        <v>65.38</v>
      </c>
      <c r="M221">
        <v>-6172.82</v>
      </c>
    </row>
    <row r="222" spans="1:13">
      <c r="A222">
        <v>2</v>
      </c>
      <c r="B222" t="s">
        <v>247</v>
      </c>
      <c r="C222">
        <v>14</v>
      </c>
      <c r="D222">
        <v>0</v>
      </c>
      <c r="E222">
        <v>1</v>
      </c>
      <c r="F222" t="s">
        <v>244</v>
      </c>
      <c r="G222">
        <v>0</v>
      </c>
      <c r="H222">
        <v>0</v>
      </c>
      <c r="I222">
        <v>0</v>
      </c>
      <c r="J222">
        <v>0</v>
      </c>
      <c r="K222">
        <v>714.58</v>
      </c>
      <c r="L222">
        <v>65.38</v>
      </c>
      <c r="M222">
        <v>-6172.82</v>
      </c>
    </row>
    <row r="223" spans="1:13">
      <c r="A223">
        <v>2</v>
      </c>
      <c r="B223" t="s">
        <v>247</v>
      </c>
      <c r="C223">
        <v>14</v>
      </c>
      <c r="D223">
        <v>0</v>
      </c>
      <c r="E223">
        <v>1</v>
      </c>
      <c r="F223" t="s">
        <v>245</v>
      </c>
      <c r="G223">
        <v>2.7</v>
      </c>
      <c r="H223">
        <v>0</v>
      </c>
      <c r="I223">
        <v>0</v>
      </c>
      <c r="J223">
        <v>0</v>
      </c>
      <c r="K223">
        <v>813.15</v>
      </c>
      <c r="L223">
        <v>14.56</v>
      </c>
      <c r="M223">
        <v>-6040.45</v>
      </c>
    </row>
    <row r="224" spans="1:13">
      <c r="A224">
        <v>2</v>
      </c>
      <c r="B224" t="s">
        <v>247</v>
      </c>
      <c r="C224">
        <v>15</v>
      </c>
      <c r="D224">
        <v>0</v>
      </c>
      <c r="E224">
        <v>1</v>
      </c>
      <c r="F224" t="s">
        <v>244</v>
      </c>
      <c r="G224">
        <v>0</v>
      </c>
      <c r="H224">
        <v>0</v>
      </c>
      <c r="I224">
        <v>0</v>
      </c>
      <c r="J224">
        <v>0</v>
      </c>
      <c r="K224">
        <v>813.15</v>
      </c>
      <c r="L224">
        <v>14.56</v>
      </c>
      <c r="M224">
        <v>-6040.45</v>
      </c>
    </row>
    <row r="225" spans="1:13">
      <c r="A225">
        <v>2</v>
      </c>
      <c r="B225" t="s">
        <v>247</v>
      </c>
      <c r="C225">
        <v>15</v>
      </c>
      <c r="D225">
        <v>0</v>
      </c>
      <c r="E225">
        <v>1</v>
      </c>
      <c r="F225" t="s">
        <v>245</v>
      </c>
      <c r="G225">
        <v>2.8</v>
      </c>
      <c r="H225">
        <v>0</v>
      </c>
      <c r="I225">
        <v>0</v>
      </c>
      <c r="J225">
        <v>0</v>
      </c>
      <c r="K225">
        <v>655.89</v>
      </c>
      <c r="L225">
        <v>-100.46</v>
      </c>
      <c r="M225">
        <v>-5231.34</v>
      </c>
    </row>
    <row r="226" spans="1:13">
      <c r="A226">
        <v>2</v>
      </c>
      <c r="B226" t="s">
        <v>247</v>
      </c>
      <c r="C226">
        <v>16</v>
      </c>
      <c r="D226">
        <v>0</v>
      </c>
      <c r="E226">
        <v>1</v>
      </c>
      <c r="F226" t="s">
        <v>244</v>
      </c>
      <c r="G226">
        <v>0</v>
      </c>
      <c r="H226">
        <v>0</v>
      </c>
      <c r="I226">
        <v>0</v>
      </c>
      <c r="J226">
        <v>0</v>
      </c>
      <c r="K226">
        <v>655.89</v>
      </c>
      <c r="L226">
        <v>-100.46</v>
      </c>
      <c r="M226">
        <v>-5231.34</v>
      </c>
    </row>
    <row r="227" spans="1:13">
      <c r="A227">
        <v>2</v>
      </c>
      <c r="B227" t="s">
        <v>247</v>
      </c>
      <c r="C227">
        <v>16</v>
      </c>
      <c r="D227">
        <v>0</v>
      </c>
      <c r="E227">
        <v>1</v>
      </c>
      <c r="F227" t="s">
        <v>245</v>
      </c>
      <c r="G227">
        <v>8.16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-1326.43</v>
      </c>
    </row>
    <row r="228" spans="1:13">
      <c r="A228">
        <v>2</v>
      </c>
      <c r="B228" t="s">
        <v>247</v>
      </c>
      <c r="C228">
        <v>17</v>
      </c>
      <c r="D228">
        <v>0</v>
      </c>
      <c r="E228">
        <v>1</v>
      </c>
      <c r="F228" t="s">
        <v>244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-1326.43</v>
      </c>
    </row>
    <row r="229" spans="1:13">
      <c r="A229">
        <v>2</v>
      </c>
      <c r="B229" t="s">
        <v>247</v>
      </c>
      <c r="C229">
        <v>17</v>
      </c>
      <c r="D229">
        <v>0</v>
      </c>
      <c r="E229">
        <v>1</v>
      </c>
      <c r="F229" t="s">
        <v>245</v>
      </c>
      <c r="G229">
        <v>1.5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-642.04</v>
      </c>
    </row>
    <row r="230" spans="1:13">
      <c r="A230">
        <v>3</v>
      </c>
      <c r="B230" t="s">
        <v>243</v>
      </c>
      <c r="C230">
        <v>1</v>
      </c>
      <c r="D230">
        <v>0</v>
      </c>
      <c r="E230">
        <v>1</v>
      </c>
      <c r="F230" t="s">
        <v>244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1:13">
      <c r="A231">
        <v>3</v>
      </c>
      <c r="B231" t="s">
        <v>243</v>
      </c>
      <c r="C231">
        <v>1</v>
      </c>
      <c r="D231">
        <v>0</v>
      </c>
      <c r="E231">
        <v>1</v>
      </c>
      <c r="F231" t="s">
        <v>245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1:13">
      <c r="A232">
        <v>3</v>
      </c>
      <c r="B232" t="s">
        <v>243</v>
      </c>
      <c r="C232">
        <v>2</v>
      </c>
      <c r="D232">
        <v>1</v>
      </c>
      <c r="E232">
        <v>0</v>
      </c>
      <c r="F232" t="s">
        <v>244</v>
      </c>
      <c r="G232">
        <v>0</v>
      </c>
      <c r="H232">
        <v>1388.26</v>
      </c>
      <c r="I232">
        <v>3929.61</v>
      </c>
      <c r="J232">
        <v>333.78</v>
      </c>
      <c r="K232">
        <v>0</v>
      </c>
      <c r="L232">
        <v>0</v>
      </c>
      <c r="M232">
        <v>0</v>
      </c>
    </row>
    <row r="233" spans="1:13">
      <c r="A233">
        <v>3</v>
      </c>
      <c r="B233" t="s">
        <v>243</v>
      </c>
      <c r="C233">
        <v>2</v>
      </c>
      <c r="D233">
        <v>1</v>
      </c>
      <c r="E233">
        <v>0</v>
      </c>
      <c r="F233">
        <v>1</v>
      </c>
      <c r="G233">
        <v>2.2000000000000002</v>
      </c>
      <c r="H233">
        <v>10652.74</v>
      </c>
      <c r="I233">
        <v>4415.6099999999997</v>
      </c>
      <c r="J233">
        <v>208.77</v>
      </c>
      <c r="K233">
        <v>0</v>
      </c>
      <c r="L233">
        <v>0</v>
      </c>
      <c r="M233">
        <v>0</v>
      </c>
    </row>
    <row r="234" spans="1:13">
      <c r="A234">
        <v>3</v>
      </c>
      <c r="B234" t="s">
        <v>243</v>
      </c>
      <c r="C234">
        <v>2</v>
      </c>
      <c r="D234">
        <v>1</v>
      </c>
      <c r="E234">
        <v>0</v>
      </c>
      <c r="F234">
        <v>2</v>
      </c>
      <c r="G234">
        <v>2.2000000000000002</v>
      </c>
      <c r="H234">
        <v>10652.74</v>
      </c>
      <c r="I234">
        <v>4415.6099999999997</v>
      </c>
      <c r="J234">
        <v>208.77</v>
      </c>
      <c r="K234">
        <v>0</v>
      </c>
      <c r="L234">
        <v>0</v>
      </c>
      <c r="M234">
        <v>0</v>
      </c>
    </row>
    <row r="235" spans="1:13">
      <c r="A235">
        <v>3</v>
      </c>
      <c r="B235" t="s">
        <v>243</v>
      </c>
      <c r="C235">
        <v>2</v>
      </c>
      <c r="D235">
        <v>1</v>
      </c>
      <c r="E235">
        <v>0</v>
      </c>
      <c r="F235" t="s">
        <v>245</v>
      </c>
      <c r="G235">
        <v>3</v>
      </c>
      <c r="H235">
        <v>14185.23</v>
      </c>
      <c r="I235">
        <v>4415.6099999999997</v>
      </c>
      <c r="J235">
        <v>208.77</v>
      </c>
      <c r="K235">
        <v>0</v>
      </c>
      <c r="L235">
        <v>0</v>
      </c>
      <c r="M235">
        <v>0</v>
      </c>
    </row>
    <row r="236" spans="1:13">
      <c r="A236">
        <v>3</v>
      </c>
      <c r="B236" t="s">
        <v>243</v>
      </c>
      <c r="C236">
        <v>3</v>
      </c>
      <c r="D236">
        <v>1</v>
      </c>
      <c r="E236">
        <v>0</v>
      </c>
      <c r="F236" t="s">
        <v>244</v>
      </c>
      <c r="G236">
        <v>0</v>
      </c>
      <c r="H236">
        <v>7177.56</v>
      </c>
      <c r="I236">
        <v>-5713.74</v>
      </c>
      <c r="J236">
        <v>-334.43</v>
      </c>
      <c r="K236">
        <v>0</v>
      </c>
      <c r="L236">
        <v>0</v>
      </c>
      <c r="M236">
        <v>0</v>
      </c>
    </row>
    <row r="237" spans="1:13">
      <c r="A237">
        <v>3</v>
      </c>
      <c r="B237" t="s">
        <v>243</v>
      </c>
      <c r="C237">
        <v>3</v>
      </c>
      <c r="D237">
        <v>1</v>
      </c>
      <c r="E237">
        <v>0</v>
      </c>
      <c r="F237">
        <v>1</v>
      </c>
      <c r="G237">
        <v>0.8</v>
      </c>
      <c r="H237">
        <v>2716.01</v>
      </c>
      <c r="I237">
        <v>-5227.74</v>
      </c>
      <c r="J237">
        <v>-209.44</v>
      </c>
      <c r="K237">
        <v>0</v>
      </c>
      <c r="L237">
        <v>0</v>
      </c>
      <c r="M237">
        <v>0</v>
      </c>
    </row>
    <row r="238" spans="1:13">
      <c r="A238">
        <v>3</v>
      </c>
      <c r="B238" t="s">
        <v>243</v>
      </c>
      <c r="C238">
        <v>3</v>
      </c>
      <c r="D238">
        <v>1</v>
      </c>
      <c r="E238">
        <v>0</v>
      </c>
      <c r="F238">
        <v>2</v>
      </c>
      <c r="G238">
        <v>0.8</v>
      </c>
      <c r="H238">
        <v>2716.01</v>
      </c>
      <c r="I238">
        <v>-5227.74</v>
      </c>
      <c r="J238">
        <v>-209.44</v>
      </c>
      <c r="K238">
        <v>0</v>
      </c>
      <c r="L238">
        <v>0</v>
      </c>
      <c r="M238">
        <v>0</v>
      </c>
    </row>
    <row r="239" spans="1:13">
      <c r="A239">
        <v>3</v>
      </c>
      <c r="B239" t="s">
        <v>243</v>
      </c>
      <c r="C239">
        <v>3</v>
      </c>
      <c r="D239">
        <v>0</v>
      </c>
      <c r="E239">
        <v>1</v>
      </c>
      <c r="F239" t="s">
        <v>245</v>
      </c>
      <c r="G239">
        <v>1.5</v>
      </c>
      <c r="H239">
        <v>0</v>
      </c>
      <c r="I239">
        <v>0</v>
      </c>
      <c r="J239">
        <v>0</v>
      </c>
      <c r="K239">
        <v>-1393.05</v>
      </c>
      <c r="L239">
        <v>-5713.74</v>
      </c>
      <c r="M239">
        <v>-334.43</v>
      </c>
    </row>
    <row r="240" spans="1:13">
      <c r="A240">
        <v>3</v>
      </c>
      <c r="B240" t="s">
        <v>243</v>
      </c>
      <c r="C240">
        <v>4</v>
      </c>
      <c r="D240">
        <v>0</v>
      </c>
      <c r="E240">
        <v>1</v>
      </c>
      <c r="F240" t="s">
        <v>244</v>
      </c>
      <c r="G240">
        <v>0</v>
      </c>
      <c r="H240">
        <v>0</v>
      </c>
      <c r="I240">
        <v>0</v>
      </c>
      <c r="J240">
        <v>0</v>
      </c>
      <c r="K240">
        <v>-1388.26</v>
      </c>
      <c r="L240">
        <v>333.78</v>
      </c>
      <c r="M240">
        <v>-3929.61</v>
      </c>
    </row>
    <row r="241" spans="1:13">
      <c r="A241">
        <v>3</v>
      </c>
      <c r="B241" t="s">
        <v>243</v>
      </c>
      <c r="C241">
        <v>4</v>
      </c>
      <c r="D241">
        <v>0</v>
      </c>
      <c r="E241">
        <v>1</v>
      </c>
      <c r="F241" t="s">
        <v>245</v>
      </c>
      <c r="G241">
        <v>1</v>
      </c>
      <c r="H241">
        <v>0</v>
      </c>
      <c r="I241">
        <v>0</v>
      </c>
      <c r="J241">
        <v>0</v>
      </c>
      <c r="K241">
        <v>-1054.48</v>
      </c>
      <c r="L241">
        <v>333.78</v>
      </c>
      <c r="M241">
        <v>-3929.61</v>
      </c>
    </row>
    <row r="242" spans="1:13">
      <c r="A242">
        <v>3</v>
      </c>
      <c r="B242" t="s">
        <v>243</v>
      </c>
      <c r="C242">
        <v>5</v>
      </c>
      <c r="D242">
        <v>0</v>
      </c>
      <c r="E242">
        <v>1</v>
      </c>
      <c r="F242" t="s">
        <v>244</v>
      </c>
      <c r="G242">
        <v>0</v>
      </c>
      <c r="H242">
        <v>0</v>
      </c>
      <c r="I242">
        <v>0</v>
      </c>
      <c r="J242">
        <v>0</v>
      </c>
      <c r="K242">
        <v>-1054.48</v>
      </c>
      <c r="L242">
        <v>333.78</v>
      </c>
      <c r="M242">
        <v>-3929.61</v>
      </c>
    </row>
    <row r="243" spans="1:13">
      <c r="A243">
        <v>3</v>
      </c>
      <c r="B243" t="s">
        <v>243</v>
      </c>
      <c r="C243">
        <v>5</v>
      </c>
      <c r="D243">
        <v>0</v>
      </c>
      <c r="E243">
        <v>1</v>
      </c>
      <c r="F243" t="s">
        <v>245</v>
      </c>
      <c r="G243">
        <v>2.2400000000000002</v>
      </c>
      <c r="H243">
        <v>0</v>
      </c>
      <c r="I243">
        <v>0</v>
      </c>
      <c r="J243">
        <v>0</v>
      </c>
      <c r="K243">
        <v>-306.8</v>
      </c>
      <c r="L243">
        <v>333.78</v>
      </c>
      <c r="M243">
        <v>-3929.61</v>
      </c>
    </row>
    <row r="244" spans="1:13">
      <c r="A244">
        <v>3</v>
      </c>
      <c r="B244" t="s">
        <v>243</v>
      </c>
      <c r="C244">
        <v>6</v>
      </c>
      <c r="D244">
        <v>0</v>
      </c>
      <c r="E244">
        <v>1</v>
      </c>
      <c r="F244" t="s">
        <v>244</v>
      </c>
      <c r="G244">
        <v>0</v>
      </c>
      <c r="H244">
        <v>0</v>
      </c>
      <c r="I244">
        <v>0</v>
      </c>
      <c r="J244">
        <v>0</v>
      </c>
      <c r="K244">
        <v>-306.8</v>
      </c>
      <c r="L244">
        <v>333.78</v>
      </c>
      <c r="M244">
        <v>-3929.61</v>
      </c>
    </row>
    <row r="245" spans="1:13">
      <c r="A245">
        <v>3</v>
      </c>
      <c r="B245" t="s">
        <v>243</v>
      </c>
      <c r="C245">
        <v>6</v>
      </c>
      <c r="D245">
        <v>1</v>
      </c>
      <c r="E245">
        <v>0</v>
      </c>
      <c r="F245" t="s">
        <v>245</v>
      </c>
      <c r="G245">
        <v>3.6</v>
      </c>
      <c r="H245">
        <v>333.99</v>
      </c>
      <c r="I245">
        <v>52.55</v>
      </c>
      <c r="J245">
        <v>-3541.48</v>
      </c>
      <c r="K245">
        <v>0</v>
      </c>
      <c r="L245">
        <v>0</v>
      </c>
      <c r="M245">
        <v>0</v>
      </c>
    </row>
    <row r="246" spans="1:13">
      <c r="A246">
        <v>3</v>
      </c>
      <c r="B246" t="s">
        <v>243</v>
      </c>
      <c r="C246">
        <v>7</v>
      </c>
      <c r="D246">
        <v>1</v>
      </c>
      <c r="E246">
        <v>0</v>
      </c>
      <c r="F246" t="s">
        <v>244</v>
      </c>
      <c r="G246">
        <v>0</v>
      </c>
      <c r="H246">
        <v>333.99</v>
      </c>
      <c r="I246">
        <v>52.55</v>
      </c>
      <c r="J246">
        <v>-3541.48</v>
      </c>
      <c r="K246">
        <v>0</v>
      </c>
      <c r="L246">
        <v>0</v>
      </c>
      <c r="M246">
        <v>0</v>
      </c>
    </row>
    <row r="247" spans="1:13">
      <c r="A247">
        <v>3</v>
      </c>
      <c r="B247" t="s">
        <v>243</v>
      </c>
      <c r="C247">
        <v>7</v>
      </c>
      <c r="D247">
        <v>1</v>
      </c>
      <c r="E247">
        <v>0</v>
      </c>
      <c r="F247" t="s">
        <v>245</v>
      </c>
      <c r="G247">
        <v>2.7</v>
      </c>
      <c r="H247">
        <v>433.74</v>
      </c>
      <c r="I247">
        <v>24.75</v>
      </c>
      <c r="J247">
        <v>-3467.95</v>
      </c>
      <c r="K247">
        <v>0</v>
      </c>
      <c r="L247">
        <v>0</v>
      </c>
      <c r="M247">
        <v>0</v>
      </c>
    </row>
    <row r="248" spans="1:13">
      <c r="A248">
        <v>3</v>
      </c>
      <c r="B248" t="s">
        <v>243</v>
      </c>
      <c r="C248">
        <v>8</v>
      </c>
      <c r="D248">
        <v>1</v>
      </c>
      <c r="E248">
        <v>0</v>
      </c>
      <c r="F248" t="s">
        <v>244</v>
      </c>
      <c r="G248">
        <v>0</v>
      </c>
      <c r="H248">
        <v>433.74</v>
      </c>
      <c r="I248">
        <v>24.75</v>
      </c>
      <c r="J248">
        <v>-3467.95</v>
      </c>
      <c r="K248">
        <v>0</v>
      </c>
      <c r="L248">
        <v>0</v>
      </c>
      <c r="M248">
        <v>0</v>
      </c>
    </row>
    <row r="249" spans="1:13">
      <c r="A249">
        <v>3</v>
      </c>
      <c r="B249" t="s">
        <v>243</v>
      </c>
      <c r="C249">
        <v>8</v>
      </c>
      <c r="D249">
        <v>1</v>
      </c>
      <c r="E249">
        <v>0</v>
      </c>
      <c r="F249" t="s">
        <v>245</v>
      </c>
      <c r="G249">
        <v>2.8</v>
      </c>
      <c r="H249">
        <v>383.55</v>
      </c>
      <c r="I249">
        <v>-46.54</v>
      </c>
      <c r="J249">
        <v>-3012.68</v>
      </c>
      <c r="K249">
        <v>0</v>
      </c>
      <c r="L249">
        <v>0</v>
      </c>
      <c r="M249">
        <v>0</v>
      </c>
    </row>
    <row r="250" spans="1:13">
      <c r="A250">
        <v>3</v>
      </c>
      <c r="B250" t="s">
        <v>243</v>
      </c>
      <c r="C250">
        <v>9</v>
      </c>
      <c r="D250">
        <v>1</v>
      </c>
      <c r="E250">
        <v>0</v>
      </c>
      <c r="F250" t="s">
        <v>244</v>
      </c>
      <c r="G250">
        <v>0</v>
      </c>
      <c r="H250">
        <v>383.55</v>
      </c>
      <c r="I250">
        <v>-46.54</v>
      </c>
      <c r="J250">
        <v>-3012.68</v>
      </c>
      <c r="K250">
        <v>0</v>
      </c>
      <c r="L250">
        <v>0</v>
      </c>
      <c r="M250">
        <v>0</v>
      </c>
    </row>
    <row r="251" spans="1:13">
      <c r="A251">
        <v>3</v>
      </c>
      <c r="B251" t="s">
        <v>243</v>
      </c>
      <c r="C251">
        <v>9</v>
      </c>
      <c r="D251">
        <v>0</v>
      </c>
      <c r="E251">
        <v>1</v>
      </c>
      <c r="F251" t="s">
        <v>245</v>
      </c>
      <c r="G251">
        <v>8.16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-770.3</v>
      </c>
    </row>
    <row r="252" spans="1:13">
      <c r="A252">
        <v>3</v>
      </c>
      <c r="B252" t="s">
        <v>243</v>
      </c>
      <c r="C252">
        <v>10</v>
      </c>
      <c r="D252">
        <v>0</v>
      </c>
      <c r="E252">
        <v>1</v>
      </c>
      <c r="F252" t="s">
        <v>244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-770.3</v>
      </c>
    </row>
    <row r="253" spans="1:13">
      <c r="A253">
        <v>3</v>
      </c>
      <c r="B253" t="s">
        <v>243</v>
      </c>
      <c r="C253">
        <v>10</v>
      </c>
      <c r="D253">
        <v>1</v>
      </c>
      <c r="E253">
        <v>0</v>
      </c>
      <c r="F253" t="s">
        <v>245</v>
      </c>
      <c r="G253">
        <v>1.5</v>
      </c>
      <c r="H253">
        <v>0</v>
      </c>
      <c r="I253">
        <v>0</v>
      </c>
      <c r="J253">
        <v>-416.65</v>
      </c>
      <c r="K253">
        <v>0</v>
      </c>
      <c r="L253">
        <v>0</v>
      </c>
      <c r="M253">
        <v>0</v>
      </c>
    </row>
    <row r="254" spans="1:13">
      <c r="A254">
        <v>3</v>
      </c>
      <c r="B254" t="s">
        <v>243</v>
      </c>
      <c r="C254">
        <v>11</v>
      </c>
      <c r="D254">
        <v>0</v>
      </c>
      <c r="E254">
        <v>1</v>
      </c>
      <c r="F254" t="s">
        <v>244</v>
      </c>
      <c r="G254">
        <v>0</v>
      </c>
      <c r="H254">
        <v>0</v>
      </c>
      <c r="I254">
        <v>0</v>
      </c>
      <c r="J254">
        <v>0</v>
      </c>
      <c r="K254">
        <v>-1393.05</v>
      </c>
      <c r="L254">
        <v>334.43</v>
      </c>
      <c r="M254">
        <v>-5713.74</v>
      </c>
    </row>
    <row r="255" spans="1:13">
      <c r="A255">
        <v>3</v>
      </c>
      <c r="B255" t="s">
        <v>243</v>
      </c>
      <c r="C255">
        <v>11</v>
      </c>
      <c r="D255">
        <v>0</v>
      </c>
      <c r="E255">
        <v>1</v>
      </c>
      <c r="F255" t="s">
        <v>245</v>
      </c>
      <c r="G255">
        <v>1</v>
      </c>
      <c r="H255">
        <v>0</v>
      </c>
      <c r="I255">
        <v>0</v>
      </c>
      <c r="J255">
        <v>0</v>
      </c>
      <c r="K255">
        <v>-1058.6300000000001</v>
      </c>
      <c r="L255">
        <v>334.43</v>
      </c>
      <c r="M255">
        <v>-5713.74</v>
      </c>
    </row>
    <row r="256" spans="1:13">
      <c r="A256">
        <v>3</v>
      </c>
      <c r="B256" t="s">
        <v>243</v>
      </c>
      <c r="C256">
        <v>12</v>
      </c>
      <c r="D256">
        <v>0</v>
      </c>
      <c r="E256">
        <v>1</v>
      </c>
      <c r="F256" t="s">
        <v>244</v>
      </c>
      <c r="G256">
        <v>0</v>
      </c>
      <c r="H256">
        <v>0</v>
      </c>
      <c r="I256">
        <v>0</v>
      </c>
      <c r="J256">
        <v>0</v>
      </c>
      <c r="K256">
        <v>-1058.6300000000001</v>
      </c>
      <c r="L256">
        <v>334.43</v>
      </c>
      <c r="M256">
        <v>-5713.74</v>
      </c>
    </row>
    <row r="257" spans="1:13">
      <c r="A257">
        <v>3</v>
      </c>
      <c r="B257" t="s">
        <v>243</v>
      </c>
      <c r="C257">
        <v>12</v>
      </c>
      <c r="D257">
        <v>0</v>
      </c>
      <c r="E257">
        <v>1</v>
      </c>
      <c r="F257" t="s">
        <v>245</v>
      </c>
      <c r="G257">
        <v>2.2400000000000002</v>
      </c>
      <c r="H257">
        <v>0</v>
      </c>
      <c r="I257">
        <v>0</v>
      </c>
      <c r="J257">
        <v>0</v>
      </c>
      <c r="K257">
        <v>-309.51</v>
      </c>
      <c r="L257">
        <v>334.43</v>
      </c>
      <c r="M257">
        <v>-5713.74</v>
      </c>
    </row>
    <row r="258" spans="1:13">
      <c r="A258">
        <v>3</v>
      </c>
      <c r="B258" t="s">
        <v>243</v>
      </c>
      <c r="C258">
        <v>13</v>
      </c>
      <c r="D258">
        <v>0</v>
      </c>
      <c r="E258">
        <v>1</v>
      </c>
      <c r="F258" t="s">
        <v>244</v>
      </c>
      <c r="G258">
        <v>0</v>
      </c>
      <c r="H258">
        <v>0</v>
      </c>
      <c r="I258">
        <v>0</v>
      </c>
      <c r="J258">
        <v>0</v>
      </c>
      <c r="K258">
        <v>-309.51</v>
      </c>
      <c r="L258">
        <v>334.43</v>
      </c>
      <c r="M258">
        <v>-5713.74</v>
      </c>
    </row>
    <row r="259" spans="1:13">
      <c r="A259">
        <v>3</v>
      </c>
      <c r="B259" t="s">
        <v>243</v>
      </c>
      <c r="C259">
        <v>13</v>
      </c>
      <c r="D259">
        <v>1</v>
      </c>
      <c r="E259">
        <v>0</v>
      </c>
      <c r="F259" t="s">
        <v>245</v>
      </c>
      <c r="G259">
        <v>3.6</v>
      </c>
      <c r="H259">
        <v>333.03</v>
      </c>
      <c r="I259">
        <v>52.89</v>
      </c>
      <c r="J259">
        <v>-5135.99</v>
      </c>
      <c r="K259">
        <v>0</v>
      </c>
      <c r="L259">
        <v>0</v>
      </c>
      <c r="M259">
        <v>0</v>
      </c>
    </row>
    <row r="260" spans="1:13">
      <c r="A260">
        <v>3</v>
      </c>
      <c r="B260" t="s">
        <v>243</v>
      </c>
      <c r="C260">
        <v>14</v>
      </c>
      <c r="D260">
        <v>1</v>
      </c>
      <c r="E260">
        <v>0</v>
      </c>
      <c r="F260" t="s">
        <v>244</v>
      </c>
      <c r="G260">
        <v>0</v>
      </c>
      <c r="H260">
        <v>333.03</v>
      </c>
      <c r="I260">
        <v>52.89</v>
      </c>
      <c r="J260">
        <v>-5135.99</v>
      </c>
      <c r="K260">
        <v>0</v>
      </c>
      <c r="L260">
        <v>0</v>
      </c>
      <c r="M260">
        <v>0</v>
      </c>
    </row>
    <row r="261" spans="1:13">
      <c r="A261">
        <v>3</v>
      </c>
      <c r="B261" t="s">
        <v>243</v>
      </c>
      <c r="C261">
        <v>14</v>
      </c>
      <c r="D261">
        <v>1</v>
      </c>
      <c r="E261">
        <v>0</v>
      </c>
      <c r="F261" t="s">
        <v>245</v>
      </c>
      <c r="G261">
        <v>2.7</v>
      </c>
      <c r="H261">
        <v>433.61</v>
      </c>
      <c r="I261">
        <v>25.03</v>
      </c>
      <c r="J261">
        <v>-5027.3900000000003</v>
      </c>
      <c r="K261">
        <v>0</v>
      </c>
      <c r="L261">
        <v>0</v>
      </c>
      <c r="M261">
        <v>0</v>
      </c>
    </row>
    <row r="262" spans="1:13">
      <c r="A262">
        <v>3</v>
      </c>
      <c r="B262" t="s">
        <v>243</v>
      </c>
      <c r="C262">
        <v>15</v>
      </c>
      <c r="D262">
        <v>1</v>
      </c>
      <c r="E262">
        <v>0</v>
      </c>
      <c r="F262" t="s">
        <v>244</v>
      </c>
      <c r="G262">
        <v>0</v>
      </c>
      <c r="H262">
        <v>433.61</v>
      </c>
      <c r="I262">
        <v>25.03</v>
      </c>
      <c r="J262">
        <v>-5027.3900000000003</v>
      </c>
      <c r="K262">
        <v>0</v>
      </c>
      <c r="L262">
        <v>0</v>
      </c>
      <c r="M262">
        <v>0</v>
      </c>
    </row>
    <row r="263" spans="1:13">
      <c r="A263">
        <v>3</v>
      </c>
      <c r="B263" t="s">
        <v>243</v>
      </c>
      <c r="C263">
        <v>15</v>
      </c>
      <c r="D263">
        <v>1</v>
      </c>
      <c r="E263">
        <v>0</v>
      </c>
      <c r="F263" t="s">
        <v>245</v>
      </c>
      <c r="G263">
        <v>2.8</v>
      </c>
      <c r="H263">
        <v>383.91</v>
      </c>
      <c r="I263">
        <v>-46.45</v>
      </c>
      <c r="J263">
        <v>-4359.87</v>
      </c>
      <c r="K263">
        <v>0</v>
      </c>
      <c r="L263">
        <v>0</v>
      </c>
      <c r="M263">
        <v>0</v>
      </c>
    </row>
    <row r="264" spans="1:13">
      <c r="A264">
        <v>3</v>
      </c>
      <c r="B264" t="s">
        <v>243</v>
      </c>
      <c r="C264">
        <v>16</v>
      </c>
      <c r="D264">
        <v>1</v>
      </c>
      <c r="E264">
        <v>0</v>
      </c>
      <c r="F264" t="s">
        <v>244</v>
      </c>
      <c r="G264">
        <v>0</v>
      </c>
      <c r="H264">
        <v>383.91</v>
      </c>
      <c r="I264">
        <v>-46.45</v>
      </c>
      <c r="J264">
        <v>-4359.87</v>
      </c>
      <c r="K264">
        <v>0</v>
      </c>
      <c r="L264">
        <v>0</v>
      </c>
      <c r="M264">
        <v>0</v>
      </c>
    </row>
    <row r="265" spans="1:13">
      <c r="A265">
        <v>3</v>
      </c>
      <c r="B265" t="s">
        <v>243</v>
      </c>
      <c r="C265">
        <v>16</v>
      </c>
      <c r="D265">
        <v>1</v>
      </c>
      <c r="E265">
        <v>0</v>
      </c>
      <c r="F265" t="s">
        <v>245</v>
      </c>
      <c r="G265">
        <v>8.16</v>
      </c>
      <c r="H265">
        <v>0</v>
      </c>
      <c r="I265">
        <v>0</v>
      </c>
      <c r="J265">
        <v>-1019.26</v>
      </c>
      <c r="K265">
        <v>0</v>
      </c>
      <c r="L265">
        <v>0</v>
      </c>
      <c r="M265">
        <v>0</v>
      </c>
    </row>
    <row r="266" spans="1:13">
      <c r="A266">
        <v>3</v>
      </c>
      <c r="B266" t="s">
        <v>243</v>
      </c>
      <c r="C266">
        <v>17</v>
      </c>
      <c r="D266">
        <v>1</v>
      </c>
      <c r="E266">
        <v>0</v>
      </c>
      <c r="F266" t="s">
        <v>244</v>
      </c>
      <c r="G266">
        <v>0</v>
      </c>
      <c r="H266">
        <v>0</v>
      </c>
      <c r="I266">
        <v>0</v>
      </c>
      <c r="J266">
        <v>-1109.55</v>
      </c>
      <c r="K266">
        <v>0</v>
      </c>
      <c r="L266">
        <v>0</v>
      </c>
      <c r="M266">
        <v>0</v>
      </c>
    </row>
    <row r="267" spans="1:13">
      <c r="A267">
        <v>3</v>
      </c>
      <c r="B267" t="s">
        <v>243</v>
      </c>
      <c r="C267">
        <v>17</v>
      </c>
      <c r="D267">
        <v>0</v>
      </c>
      <c r="E267">
        <v>1</v>
      </c>
      <c r="F267" t="s">
        <v>245</v>
      </c>
      <c r="G267">
        <v>1.5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-493.47</v>
      </c>
    </row>
    <row r="268" spans="1:13">
      <c r="A268">
        <v>3</v>
      </c>
      <c r="B268" t="s">
        <v>246</v>
      </c>
      <c r="C268">
        <v>1</v>
      </c>
      <c r="D268">
        <v>1</v>
      </c>
      <c r="E268">
        <v>0</v>
      </c>
      <c r="F268" t="s">
        <v>244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1:13">
      <c r="A269">
        <v>3</v>
      </c>
      <c r="B269" t="s">
        <v>246</v>
      </c>
      <c r="C269">
        <v>1</v>
      </c>
      <c r="D269">
        <v>1</v>
      </c>
      <c r="E269">
        <v>0</v>
      </c>
      <c r="F269" t="s">
        <v>245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1:13">
      <c r="A270">
        <v>3</v>
      </c>
      <c r="B270" t="s">
        <v>246</v>
      </c>
      <c r="C270">
        <v>2</v>
      </c>
      <c r="D270">
        <v>1</v>
      </c>
      <c r="E270">
        <v>0</v>
      </c>
      <c r="F270" t="s">
        <v>244</v>
      </c>
      <c r="G270">
        <v>0</v>
      </c>
      <c r="H270">
        <v>938.41</v>
      </c>
      <c r="I270">
        <v>4415.6099999999997</v>
      </c>
      <c r="J270">
        <v>208.77</v>
      </c>
      <c r="K270">
        <v>0</v>
      </c>
      <c r="L270">
        <v>0</v>
      </c>
      <c r="M270">
        <v>0</v>
      </c>
    </row>
    <row r="271" spans="1:13">
      <c r="A271">
        <v>3</v>
      </c>
      <c r="B271" t="s">
        <v>246</v>
      </c>
      <c r="C271">
        <v>2</v>
      </c>
      <c r="D271">
        <v>1</v>
      </c>
      <c r="E271">
        <v>0</v>
      </c>
      <c r="F271">
        <v>1</v>
      </c>
      <c r="G271">
        <v>2.2000000000000002</v>
      </c>
      <c r="H271">
        <v>10652.74</v>
      </c>
      <c r="I271">
        <v>4415.6099999999997</v>
      </c>
      <c r="J271">
        <v>208.77</v>
      </c>
      <c r="K271">
        <v>0</v>
      </c>
      <c r="L271">
        <v>0</v>
      </c>
      <c r="M271">
        <v>0</v>
      </c>
    </row>
    <row r="272" spans="1:13">
      <c r="A272">
        <v>3</v>
      </c>
      <c r="B272" t="s">
        <v>246</v>
      </c>
      <c r="C272">
        <v>2</v>
      </c>
      <c r="D272">
        <v>1</v>
      </c>
      <c r="E272">
        <v>0</v>
      </c>
      <c r="F272">
        <v>2</v>
      </c>
      <c r="G272">
        <v>2.2000000000000002</v>
      </c>
      <c r="H272">
        <v>10652.74</v>
      </c>
      <c r="I272">
        <v>4415.6099999999997</v>
      </c>
      <c r="J272">
        <v>208.77</v>
      </c>
      <c r="K272">
        <v>0</v>
      </c>
      <c r="L272">
        <v>0</v>
      </c>
      <c r="M272">
        <v>0</v>
      </c>
    </row>
    <row r="273" spans="1:13">
      <c r="A273">
        <v>3</v>
      </c>
      <c r="B273" t="s">
        <v>246</v>
      </c>
      <c r="C273">
        <v>2</v>
      </c>
      <c r="D273">
        <v>1</v>
      </c>
      <c r="E273">
        <v>0</v>
      </c>
      <c r="F273" t="s">
        <v>245</v>
      </c>
      <c r="G273">
        <v>3</v>
      </c>
      <c r="H273">
        <v>14185.23</v>
      </c>
      <c r="I273">
        <v>4415.6099999999997</v>
      </c>
      <c r="J273">
        <v>208.77</v>
      </c>
      <c r="K273">
        <v>0</v>
      </c>
      <c r="L273">
        <v>0</v>
      </c>
      <c r="M273">
        <v>0</v>
      </c>
    </row>
    <row r="274" spans="1:13">
      <c r="A274">
        <v>3</v>
      </c>
      <c r="B274" t="s">
        <v>246</v>
      </c>
      <c r="C274">
        <v>3</v>
      </c>
      <c r="D274">
        <v>0</v>
      </c>
      <c r="E274">
        <v>1</v>
      </c>
      <c r="F274" t="s">
        <v>244</v>
      </c>
      <c r="G274">
        <v>0</v>
      </c>
      <c r="H274">
        <v>0</v>
      </c>
      <c r="I274">
        <v>0</v>
      </c>
      <c r="J274">
        <v>0</v>
      </c>
      <c r="K274">
        <v>7177.56</v>
      </c>
      <c r="L274">
        <v>-5713.74</v>
      </c>
      <c r="M274">
        <v>-334.43</v>
      </c>
    </row>
    <row r="275" spans="1:13">
      <c r="A275">
        <v>3</v>
      </c>
      <c r="B275" t="s">
        <v>246</v>
      </c>
      <c r="C275">
        <v>3</v>
      </c>
      <c r="D275">
        <v>0</v>
      </c>
      <c r="E275">
        <v>1</v>
      </c>
      <c r="F275">
        <v>1</v>
      </c>
      <c r="G275">
        <v>0.8</v>
      </c>
      <c r="H275">
        <v>0</v>
      </c>
      <c r="I275">
        <v>0</v>
      </c>
      <c r="J275">
        <v>0</v>
      </c>
      <c r="K275">
        <v>2606.5700000000002</v>
      </c>
      <c r="L275">
        <v>-5713.74</v>
      </c>
      <c r="M275">
        <v>-334.43</v>
      </c>
    </row>
    <row r="276" spans="1:13">
      <c r="A276">
        <v>3</v>
      </c>
      <c r="B276" t="s">
        <v>246</v>
      </c>
      <c r="C276">
        <v>3</v>
      </c>
      <c r="D276">
        <v>0</v>
      </c>
      <c r="E276">
        <v>1</v>
      </c>
      <c r="F276">
        <v>2</v>
      </c>
      <c r="G276">
        <v>0.8</v>
      </c>
      <c r="H276">
        <v>0</v>
      </c>
      <c r="I276">
        <v>0</v>
      </c>
      <c r="J276">
        <v>0</v>
      </c>
      <c r="K276">
        <v>2606.5700000000002</v>
      </c>
      <c r="L276">
        <v>-5713.74</v>
      </c>
      <c r="M276">
        <v>-334.43</v>
      </c>
    </row>
    <row r="277" spans="1:13">
      <c r="A277">
        <v>3</v>
      </c>
      <c r="B277" t="s">
        <v>246</v>
      </c>
      <c r="C277">
        <v>3</v>
      </c>
      <c r="D277">
        <v>0</v>
      </c>
      <c r="E277">
        <v>1</v>
      </c>
      <c r="F277" t="s">
        <v>245</v>
      </c>
      <c r="G277">
        <v>1.5</v>
      </c>
      <c r="H277">
        <v>0</v>
      </c>
      <c r="I277">
        <v>0</v>
      </c>
      <c r="J277">
        <v>0</v>
      </c>
      <c r="K277">
        <v>-1393.05</v>
      </c>
      <c r="L277">
        <v>-5713.74</v>
      </c>
      <c r="M277">
        <v>-334.43</v>
      </c>
    </row>
    <row r="278" spans="1:13">
      <c r="A278">
        <v>3</v>
      </c>
      <c r="B278" t="s">
        <v>246</v>
      </c>
      <c r="C278">
        <v>4</v>
      </c>
      <c r="D278">
        <v>1</v>
      </c>
      <c r="E278">
        <v>0</v>
      </c>
      <c r="F278" t="s">
        <v>244</v>
      </c>
      <c r="G278">
        <v>0</v>
      </c>
      <c r="H278">
        <v>-1388.26</v>
      </c>
      <c r="I278">
        <v>333.78</v>
      </c>
      <c r="J278">
        <v>-3929.61</v>
      </c>
      <c r="K278">
        <v>0</v>
      </c>
      <c r="L278">
        <v>0</v>
      </c>
      <c r="M278">
        <v>0</v>
      </c>
    </row>
    <row r="279" spans="1:13">
      <c r="A279">
        <v>3</v>
      </c>
      <c r="B279" t="s">
        <v>246</v>
      </c>
      <c r="C279">
        <v>4</v>
      </c>
      <c r="D279">
        <v>1</v>
      </c>
      <c r="E279">
        <v>0</v>
      </c>
      <c r="F279" t="s">
        <v>245</v>
      </c>
      <c r="G279">
        <v>1</v>
      </c>
      <c r="H279">
        <v>-1054.48</v>
      </c>
      <c r="I279">
        <v>333.78</v>
      </c>
      <c r="J279">
        <v>-3929.61</v>
      </c>
      <c r="K279">
        <v>0</v>
      </c>
      <c r="L279">
        <v>0</v>
      </c>
      <c r="M279">
        <v>0</v>
      </c>
    </row>
    <row r="280" spans="1:13">
      <c r="A280">
        <v>3</v>
      </c>
      <c r="B280" t="s">
        <v>246</v>
      </c>
      <c r="C280">
        <v>5</v>
      </c>
      <c r="D280">
        <v>1</v>
      </c>
      <c r="E280">
        <v>0</v>
      </c>
      <c r="F280" t="s">
        <v>244</v>
      </c>
      <c r="G280">
        <v>0</v>
      </c>
      <c r="H280">
        <v>-1054.48</v>
      </c>
      <c r="I280">
        <v>333.78</v>
      </c>
      <c r="J280">
        <v>-3929.61</v>
      </c>
      <c r="K280">
        <v>0</v>
      </c>
      <c r="L280">
        <v>0</v>
      </c>
      <c r="M280">
        <v>0</v>
      </c>
    </row>
    <row r="281" spans="1:13">
      <c r="A281">
        <v>3</v>
      </c>
      <c r="B281" t="s">
        <v>246</v>
      </c>
      <c r="C281">
        <v>5</v>
      </c>
      <c r="D281">
        <v>1</v>
      </c>
      <c r="E281">
        <v>0</v>
      </c>
      <c r="F281" t="s">
        <v>245</v>
      </c>
      <c r="G281">
        <v>2.2400000000000002</v>
      </c>
      <c r="H281">
        <v>-306.8</v>
      </c>
      <c r="I281">
        <v>333.78</v>
      </c>
      <c r="J281">
        <v>-3929.61</v>
      </c>
      <c r="K281">
        <v>0</v>
      </c>
      <c r="L281">
        <v>0</v>
      </c>
      <c r="M281">
        <v>0</v>
      </c>
    </row>
    <row r="282" spans="1:13">
      <c r="A282">
        <v>3</v>
      </c>
      <c r="B282" t="s">
        <v>246</v>
      </c>
      <c r="C282">
        <v>6</v>
      </c>
      <c r="D282">
        <v>1</v>
      </c>
      <c r="E282">
        <v>0</v>
      </c>
      <c r="F282" t="s">
        <v>244</v>
      </c>
      <c r="G282">
        <v>0</v>
      </c>
      <c r="H282">
        <v>-306.8</v>
      </c>
      <c r="I282">
        <v>333.78</v>
      </c>
      <c r="J282">
        <v>-3929.61</v>
      </c>
      <c r="K282">
        <v>0</v>
      </c>
      <c r="L282">
        <v>0</v>
      </c>
      <c r="M282">
        <v>0</v>
      </c>
    </row>
    <row r="283" spans="1:13">
      <c r="A283">
        <v>3</v>
      </c>
      <c r="B283" t="s">
        <v>246</v>
      </c>
      <c r="C283">
        <v>6</v>
      </c>
      <c r="D283">
        <v>1</v>
      </c>
      <c r="E283">
        <v>0</v>
      </c>
      <c r="F283" t="s">
        <v>245</v>
      </c>
      <c r="G283">
        <v>3.6</v>
      </c>
      <c r="H283">
        <v>333.99</v>
      </c>
      <c r="I283">
        <v>52.55</v>
      </c>
      <c r="J283">
        <v>-3541.48</v>
      </c>
      <c r="K283">
        <v>0</v>
      </c>
      <c r="L283">
        <v>0</v>
      </c>
      <c r="M283">
        <v>0</v>
      </c>
    </row>
    <row r="284" spans="1:13">
      <c r="A284">
        <v>3</v>
      </c>
      <c r="B284" t="s">
        <v>246</v>
      </c>
      <c r="C284">
        <v>7</v>
      </c>
      <c r="D284">
        <v>1</v>
      </c>
      <c r="E284">
        <v>0</v>
      </c>
      <c r="F284" t="s">
        <v>244</v>
      </c>
      <c r="G284">
        <v>0</v>
      </c>
      <c r="H284">
        <v>333.99</v>
      </c>
      <c r="I284">
        <v>52.55</v>
      </c>
      <c r="J284">
        <v>-3541.48</v>
      </c>
      <c r="K284">
        <v>0</v>
      </c>
      <c r="L284">
        <v>0</v>
      </c>
      <c r="M284">
        <v>0</v>
      </c>
    </row>
    <row r="285" spans="1:13">
      <c r="A285">
        <v>3</v>
      </c>
      <c r="B285" t="s">
        <v>246</v>
      </c>
      <c r="C285">
        <v>7</v>
      </c>
      <c r="D285">
        <v>1</v>
      </c>
      <c r="E285">
        <v>0</v>
      </c>
      <c r="F285" t="s">
        <v>245</v>
      </c>
      <c r="G285">
        <v>2.7</v>
      </c>
      <c r="H285">
        <v>269.31</v>
      </c>
      <c r="I285">
        <v>28.71</v>
      </c>
      <c r="J285">
        <v>-3889.69</v>
      </c>
      <c r="K285">
        <v>0</v>
      </c>
      <c r="L285">
        <v>0</v>
      </c>
      <c r="M285">
        <v>0</v>
      </c>
    </row>
    <row r="286" spans="1:13">
      <c r="A286">
        <v>3</v>
      </c>
      <c r="B286" t="s">
        <v>246</v>
      </c>
      <c r="C286">
        <v>8</v>
      </c>
      <c r="D286">
        <v>1</v>
      </c>
      <c r="E286">
        <v>0</v>
      </c>
      <c r="F286" t="s">
        <v>244</v>
      </c>
      <c r="G286">
        <v>0</v>
      </c>
      <c r="H286">
        <v>269.31</v>
      </c>
      <c r="I286">
        <v>28.71</v>
      </c>
      <c r="J286">
        <v>-3889.69</v>
      </c>
      <c r="K286">
        <v>0</v>
      </c>
      <c r="L286">
        <v>0</v>
      </c>
      <c r="M286">
        <v>0</v>
      </c>
    </row>
    <row r="287" spans="1:13">
      <c r="A287">
        <v>3</v>
      </c>
      <c r="B287" t="s">
        <v>246</v>
      </c>
      <c r="C287">
        <v>8</v>
      </c>
      <c r="D287">
        <v>0</v>
      </c>
      <c r="E287">
        <v>1</v>
      </c>
      <c r="F287" t="s">
        <v>245</v>
      </c>
      <c r="G287">
        <v>2.8</v>
      </c>
      <c r="H287">
        <v>0</v>
      </c>
      <c r="I287">
        <v>0</v>
      </c>
      <c r="J287">
        <v>0</v>
      </c>
      <c r="K287">
        <v>383.55</v>
      </c>
      <c r="L287">
        <v>-46.54</v>
      </c>
      <c r="M287">
        <v>-3012.68</v>
      </c>
    </row>
    <row r="288" spans="1:13">
      <c r="A288">
        <v>3</v>
      </c>
      <c r="B288" t="s">
        <v>246</v>
      </c>
      <c r="C288">
        <v>9</v>
      </c>
      <c r="D288">
        <v>0</v>
      </c>
      <c r="E288">
        <v>1</v>
      </c>
      <c r="F288" t="s">
        <v>244</v>
      </c>
      <c r="G288">
        <v>0</v>
      </c>
      <c r="H288">
        <v>0</v>
      </c>
      <c r="I288">
        <v>0</v>
      </c>
      <c r="J288">
        <v>0</v>
      </c>
      <c r="K288">
        <v>383.55</v>
      </c>
      <c r="L288">
        <v>-46.54</v>
      </c>
      <c r="M288">
        <v>-3012.68</v>
      </c>
    </row>
    <row r="289" spans="1:13">
      <c r="A289">
        <v>3</v>
      </c>
      <c r="B289" t="s">
        <v>246</v>
      </c>
      <c r="C289">
        <v>9</v>
      </c>
      <c r="D289">
        <v>1</v>
      </c>
      <c r="E289">
        <v>0</v>
      </c>
      <c r="F289" t="s">
        <v>245</v>
      </c>
      <c r="G289">
        <v>8.16</v>
      </c>
      <c r="H289">
        <v>0</v>
      </c>
      <c r="I289">
        <v>0</v>
      </c>
      <c r="J289">
        <v>-770.3</v>
      </c>
      <c r="K289">
        <v>0</v>
      </c>
      <c r="L289">
        <v>0</v>
      </c>
      <c r="M289">
        <v>0</v>
      </c>
    </row>
    <row r="290" spans="1:13">
      <c r="A290">
        <v>3</v>
      </c>
      <c r="B290" t="s">
        <v>246</v>
      </c>
      <c r="C290">
        <v>10</v>
      </c>
      <c r="D290">
        <v>1</v>
      </c>
      <c r="E290">
        <v>0</v>
      </c>
      <c r="F290" t="s">
        <v>244</v>
      </c>
      <c r="G290">
        <v>0</v>
      </c>
      <c r="H290">
        <v>0</v>
      </c>
      <c r="I290">
        <v>0</v>
      </c>
      <c r="J290">
        <v>-770.3</v>
      </c>
      <c r="K290">
        <v>0</v>
      </c>
      <c r="L290">
        <v>0</v>
      </c>
      <c r="M290">
        <v>0</v>
      </c>
    </row>
    <row r="291" spans="1:13">
      <c r="A291">
        <v>3</v>
      </c>
      <c r="B291" t="s">
        <v>246</v>
      </c>
      <c r="C291">
        <v>10</v>
      </c>
      <c r="D291">
        <v>1</v>
      </c>
      <c r="E291">
        <v>0</v>
      </c>
      <c r="F291" t="s">
        <v>245</v>
      </c>
      <c r="G291">
        <v>1.5</v>
      </c>
      <c r="H291">
        <v>0</v>
      </c>
      <c r="I291">
        <v>0</v>
      </c>
      <c r="J291">
        <v>-372.98</v>
      </c>
      <c r="K291">
        <v>0</v>
      </c>
      <c r="L291">
        <v>0</v>
      </c>
      <c r="M291">
        <v>0</v>
      </c>
    </row>
    <row r="292" spans="1:13">
      <c r="A292">
        <v>3</v>
      </c>
      <c r="B292" t="s">
        <v>246</v>
      </c>
      <c r="C292">
        <v>11</v>
      </c>
      <c r="D292">
        <v>1</v>
      </c>
      <c r="E292">
        <v>0</v>
      </c>
      <c r="F292" t="s">
        <v>244</v>
      </c>
      <c r="G292">
        <v>0</v>
      </c>
      <c r="H292">
        <v>-1393.05</v>
      </c>
      <c r="I292">
        <v>334.43</v>
      </c>
      <c r="J292">
        <v>-5713.74</v>
      </c>
      <c r="K292">
        <v>0</v>
      </c>
      <c r="L292">
        <v>0</v>
      </c>
      <c r="M292">
        <v>0</v>
      </c>
    </row>
    <row r="293" spans="1:13">
      <c r="A293">
        <v>3</v>
      </c>
      <c r="B293" t="s">
        <v>246</v>
      </c>
      <c r="C293">
        <v>11</v>
      </c>
      <c r="D293">
        <v>1</v>
      </c>
      <c r="E293">
        <v>0</v>
      </c>
      <c r="F293" t="s">
        <v>245</v>
      </c>
      <c r="G293">
        <v>1</v>
      </c>
      <c r="H293">
        <v>-1058.6300000000001</v>
      </c>
      <c r="I293">
        <v>334.43</v>
      </c>
      <c r="J293">
        <v>-5713.74</v>
      </c>
      <c r="K293">
        <v>0</v>
      </c>
      <c r="L293">
        <v>0</v>
      </c>
      <c r="M293">
        <v>0</v>
      </c>
    </row>
    <row r="294" spans="1:13">
      <c r="A294">
        <v>3</v>
      </c>
      <c r="B294" t="s">
        <v>246</v>
      </c>
      <c r="C294">
        <v>12</v>
      </c>
      <c r="D294">
        <v>1</v>
      </c>
      <c r="E294">
        <v>0</v>
      </c>
      <c r="F294" t="s">
        <v>244</v>
      </c>
      <c r="G294">
        <v>0</v>
      </c>
      <c r="H294">
        <v>-1058.6300000000001</v>
      </c>
      <c r="I294">
        <v>334.43</v>
      </c>
      <c r="J294">
        <v>-5713.74</v>
      </c>
      <c r="K294">
        <v>0</v>
      </c>
      <c r="L294">
        <v>0</v>
      </c>
      <c r="M294">
        <v>0</v>
      </c>
    </row>
    <row r="295" spans="1:13">
      <c r="A295">
        <v>3</v>
      </c>
      <c r="B295" t="s">
        <v>246</v>
      </c>
      <c r="C295">
        <v>12</v>
      </c>
      <c r="D295">
        <v>1</v>
      </c>
      <c r="E295">
        <v>0</v>
      </c>
      <c r="F295" t="s">
        <v>245</v>
      </c>
      <c r="G295">
        <v>2.2400000000000002</v>
      </c>
      <c r="H295">
        <v>-309.51</v>
      </c>
      <c r="I295">
        <v>334.43</v>
      </c>
      <c r="J295">
        <v>-5713.74</v>
      </c>
      <c r="K295">
        <v>0</v>
      </c>
      <c r="L295">
        <v>0</v>
      </c>
      <c r="M295">
        <v>0</v>
      </c>
    </row>
    <row r="296" spans="1:13">
      <c r="A296">
        <v>3</v>
      </c>
      <c r="B296" t="s">
        <v>246</v>
      </c>
      <c r="C296">
        <v>13</v>
      </c>
      <c r="D296">
        <v>1</v>
      </c>
      <c r="E296">
        <v>0</v>
      </c>
      <c r="F296" t="s">
        <v>244</v>
      </c>
      <c r="G296">
        <v>0</v>
      </c>
      <c r="H296">
        <v>-309.51</v>
      </c>
      <c r="I296">
        <v>334.43</v>
      </c>
      <c r="J296">
        <v>-5713.74</v>
      </c>
      <c r="K296">
        <v>0</v>
      </c>
      <c r="L296">
        <v>0</v>
      </c>
      <c r="M296">
        <v>0</v>
      </c>
    </row>
    <row r="297" spans="1:13">
      <c r="A297">
        <v>3</v>
      </c>
      <c r="B297" t="s">
        <v>246</v>
      </c>
      <c r="C297">
        <v>13</v>
      </c>
      <c r="D297">
        <v>1</v>
      </c>
      <c r="E297">
        <v>0</v>
      </c>
      <c r="F297" t="s">
        <v>245</v>
      </c>
      <c r="G297">
        <v>3.6</v>
      </c>
      <c r="H297">
        <v>333.03</v>
      </c>
      <c r="I297">
        <v>52.89</v>
      </c>
      <c r="J297">
        <v>-5135.99</v>
      </c>
      <c r="K297">
        <v>0</v>
      </c>
      <c r="L297">
        <v>0</v>
      </c>
      <c r="M297">
        <v>0</v>
      </c>
    </row>
    <row r="298" spans="1:13">
      <c r="A298">
        <v>3</v>
      </c>
      <c r="B298" t="s">
        <v>246</v>
      </c>
      <c r="C298">
        <v>14</v>
      </c>
      <c r="D298">
        <v>1</v>
      </c>
      <c r="E298">
        <v>0</v>
      </c>
      <c r="F298" t="s">
        <v>244</v>
      </c>
      <c r="G298">
        <v>0</v>
      </c>
      <c r="H298">
        <v>333.03</v>
      </c>
      <c r="I298">
        <v>52.89</v>
      </c>
      <c r="J298">
        <v>-5135.99</v>
      </c>
      <c r="K298">
        <v>0</v>
      </c>
      <c r="L298">
        <v>0</v>
      </c>
      <c r="M298">
        <v>0</v>
      </c>
    </row>
    <row r="299" spans="1:13">
      <c r="A299">
        <v>3</v>
      </c>
      <c r="B299" t="s">
        <v>246</v>
      </c>
      <c r="C299">
        <v>14</v>
      </c>
      <c r="D299">
        <v>1</v>
      </c>
      <c r="E299">
        <v>0</v>
      </c>
      <c r="F299" t="s">
        <v>245</v>
      </c>
      <c r="G299">
        <v>2.7</v>
      </c>
      <c r="H299">
        <v>269.19</v>
      </c>
      <c r="I299">
        <v>29.01</v>
      </c>
      <c r="J299">
        <v>-4605.66</v>
      </c>
      <c r="K299">
        <v>0</v>
      </c>
      <c r="L299">
        <v>0</v>
      </c>
      <c r="M299">
        <v>0</v>
      </c>
    </row>
    <row r="300" spans="1:13">
      <c r="A300">
        <v>3</v>
      </c>
      <c r="B300" t="s">
        <v>246</v>
      </c>
      <c r="C300">
        <v>15</v>
      </c>
      <c r="D300">
        <v>1</v>
      </c>
      <c r="E300">
        <v>0</v>
      </c>
      <c r="F300" t="s">
        <v>244</v>
      </c>
      <c r="G300">
        <v>0</v>
      </c>
      <c r="H300">
        <v>269.19</v>
      </c>
      <c r="I300">
        <v>29.01</v>
      </c>
      <c r="J300">
        <v>-4605.66</v>
      </c>
      <c r="K300">
        <v>0</v>
      </c>
      <c r="L300">
        <v>0</v>
      </c>
      <c r="M300">
        <v>0</v>
      </c>
    </row>
    <row r="301" spans="1:13">
      <c r="A301">
        <v>3</v>
      </c>
      <c r="B301" t="s">
        <v>246</v>
      </c>
      <c r="C301">
        <v>15</v>
      </c>
      <c r="D301">
        <v>0</v>
      </c>
      <c r="E301">
        <v>1</v>
      </c>
      <c r="F301" t="s">
        <v>245</v>
      </c>
      <c r="G301">
        <v>2.8</v>
      </c>
      <c r="H301">
        <v>0</v>
      </c>
      <c r="I301">
        <v>0</v>
      </c>
      <c r="J301">
        <v>0</v>
      </c>
      <c r="K301">
        <v>383.91</v>
      </c>
      <c r="L301">
        <v>-46.45</v>
      </c>
      <c r="M301">
        <v>-4359.87</v>
      </c>
    </row>
    <row r="302" spans="1:13">
      <c r="A302">
        <v>3</v>
      </c>
      <c r="B302" t="s">
        <v>246</v>
      </c>
      <c r="C302">
        <v>16</v>
      </c>
      <c r="D302">
        <v>0</v>
      </c>
      <c r="E302">
        <v>1</v>
      </c>
      <c r="F302" t="s">
        <v>244</v>
      </c>
      <c r="G302">
        <v>0</v>
      </c>
      <c r="H302">
        <v>0</v>
      </c>
      <c r="I302">
        <v>0</v>
      </c>
      <c r="J302">
        <v>0</v>
      </c>
      <c r="K302">
        <v>383.91</v>
      </c>
      <c r="L302">
        <v>-46.45</v>
      </c>
      <c r="M302">
        <v>-4359.87</v>
      </c>
    </row>
    <row r="303" spans="1:13">
      <c r="A303">
        <v>3</v>
      </c>
      <c r="B303" t="s">
        <v>246</v>
      </c>
      <c r="C303">
        <v>16</v>
      </c>
      <c r="D303">
        <v>0</v>
      </c>
      <c r="E303">
        <v>1</v>
      </c>
      <c r="F303" t="s">
        <v>245</v>
      </c>
      <c r="G303">
        <v>8.16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-1019.26</v>
      </c>
    </row>
    <row r="304" spans="1:13">
      <c r="A304">
        <v>3</v>
      </c>
      <c r="B304" t="s">
        <v>246</v>
      </c>
      <c r="C304">
        <v>17</v>
      </c>
      <c r="D304">
        <v>0</v>
      </c>
      <c r="E304">
        <v>1</v>
      </c>
      <c r="F304" t="s">
        <v>244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-1109.55</v>
      </c>
    </row>
    <row r="305" spans="1:13">
      <c r="A305">
        <v>3</v>
      </c>
      <c r="B305" t="s">
        <v>246</v>
      </c>
      <c r="C305">
        <v>17</v>
      </c>
      <c r="D305">
        <v>0</v>
      </c>
      <c r="E305">
        <v>1</v>
      </c>
      <c r="F305" t="s">
        <v>245</v>
      </c>
      <c r="G305">
        <v>1.5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-537.14</v>
      </c>
    </row>
    <row r="306" spans="1:13">
      <c r="A306">
        <v>3</v>
      </c>
      <c r="B306" t="s">
        <v>247</v>
      </c>
      <c r="C306">
        <v>1</v>
      </c>
      <c r="D306">
        <v>0</v>
      </c>
      <c r="E306">
        <v>0</v>
      </c>
      <c r="F306" t="s">
        <v>244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</row>
    <row r="307" spans="1:13">
      <c r="A307">
        <v>3</v>
      </c>
      <c r="B307" t="s">
        <v>247</v>
      </c>
      <c r="C307">
        <v>1</v>
      </c>
      <c r="D307">
        <v>0</v>
      </c>
      <c r="E307">
        <v>0</v>
      </c>
      <c r="F307" t="s">
        <v>245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</row>
    <row r="308" spans="1:13">
      <c r="A308">
        <v>3</v>
      </c>
      <c r="B308" t="s">
        <v>247</v>
      </c>
      <c r="C308">
        <v>2</v>
      </c>
      <c r="D308">
        <v>1</v>
      </c>
      <c r="E308">
        <v>0</v>
      </c>
      <c r="F308" t="s">
        <v>244</v>
      </c>
      <c r="G308">
        <v>0</v>
      </c>
      <c r="H308">
        <v>1388.26</v>
      </c>
      <c r="I308">
        <v>3929.61</v>
      </c>
      <c r="J308">
        <v>333.78</v>
      </c>
      <c r="K308">
        <v>0</v>
      </c>
      <c r="L308">
        <v>0</v>
      </c>
      <c r="M308">
        <v>0</v>
      </c>
    </row>
    <row r="309" spans="1:13">
      <c r="A309">
        <v>3</v>
      </c>
      <c r="B309" t="s">
        <v>247</v>
      </c>
      <c r="C309">
        <v>2</v>
      </c>
      <c r="D309">
        <v>1</v>
      </c>
      <c r="E309">
        <v>0</v>
      </c>
      <c r="F309">
        <v>1</v>
      </c>
      <c r="G309">
        <v>2.2000000000000002</v>
      </c>
      <c r="H309">
        <v>10033.39</v>
      </c>
      <c r="I309">
        <v>3929.61</v>
      </c>
      <c r="J309">
        <v>333.78</v>
      </c>
      <c r="K309">
        <v>0</v>
      </c>
      <c r="L309">
        <v>0</v>
      </c>
      <c r="M309">
        <v>0</v>
      </c>
    </row>
    <row r="310" spans="1:13">
      <c r="A310">
        <v>3</v>
      </c>
      <c r="B310" t="s">
        <v>247</v>
      </c>
      <c r="C310">
        <v>2</v>
      </c>
      <c r="D310">
        <v>1</v>
      </c>
      <c r="E310">
        <v>0</v>
      </c>
      <c r="F310">
        <v>2</v>
      </c>
      <c r="G310">
        <v>2.2000000000000002</v>
      </c>
      <c r="H310">
        <v>10033.39</v>
      </c>
      <c r="I310">
        <v>3929.61</v>
      </c>
      <c r="J310">
        <v>333.78</v>
      </c>
      <c r="K310">
        <v>0</v>
      </c>
      <c r="L310">
        <v>0</v>
      </c>
      <c r="M310">
        <v>0</v>
      </c>
    </row>
    <row r="311" spans="1:13">
      <c r="A311">
        <v>3</v>
      </c>
      <c r="B311" t="s">
        <v>247</v>
      </c>
      <c r="C311">
        <v>2</v>
      </c>
      <c r="D311">
        <v>1</v>
      </c>
      <c r="E311">
        <v>0</v>
      </c>
      <c r="F311" t="s">
        <v>245</v>
      </c>
      <c r="G311">
        <v>3</v>
      </c>
      <c r="H311">
        <v>13177.08</v>
      </c>
      <c r="I311">
        <v>3929.61</v>
      </c>
      <c r="J311">
        <v>333.78</v>
      </c>
      <c r="K311">
        <v>0</v>
      </c>
      <c r="L311">
        <v>0</v>
      </c>
      <c r="M311">
        <v>0</v>
      </c>
    </row>
    <row r="312" spans="1:13">
      <c r="A312">
        <v>3</v>
      </c>
      <c r="B312" t="s">
        <v>247</v>
      </c>
      <c r="C312">
        <v>3</v>
      </c>
      <c r="D312">
        <v>0</v>
      </c>
      <c r="E312">
        <v>1</v>
      </c>
      <c r="F312" t="s">
        <v>244</v>
      </c>
      <c r="G312">
        <v>0</v>
      </c>
      <c r="H312">
        <v>0</v>
      </c>
      <c r="I312">
        <v>0</v>
      </c>
      <c r="J312">
        <v>0</v>
      </c>
      <c r="K312">
        <v>7177.56</v>
      </c>
      <c r="L312">
        <v>-5713.74</v>
      </c>
      <c r="M312">
        <v>-334.43</v>
      </c>
    </row>
    <row r="313" spans="1:13">
      <c r="A313">
        <v>3</v>
      </c>
      <c r="B313" t="s">
        <v>247</v>
      </c>
      <c r="C313">
        <v>3</v>
      </c>
      <c r="D313">
        <v>0</v>
      </c>
      <c r="E313">
        <v>1</v>
      </c>
      <c r="F313">
        <v>1</v>
      </c>
      <c r="G313">
        <v>0.8</v>
      </c>
      <c r="H313">
        <v>0</v>
      </c>
      <c r="I313">
        <v>0</v>
      </c>
      <c r="J313">
        <v>0</v>
      </c>
      <c r="K313">
        <v>2606.5700000000002</v>
      </c>
      <c r="L313">
        <v>-5713.74</v>
      </c>
      <c r="M313">
        <v>-334.43</v>
      </c>
    </row>
    <row r="314" spans="1:13">
      <c r="A314">
        <v>3</v>
      </c>
      <c r="B314" t="s">
        <v>247</v>
      </c>
      <c r="C314">
        <v>3</v>
      </c>
      <c r="D314">
        <v>0</v>
      </c>
      <c r="E314">
        <v>1</v>
      </c>
      <c r="F314">
        <v>2</v>
      </c>
      <c r="G314">
        <v>0.8</v>
      </c>
      <c r="H314">
        <v>0</v>
      </c>
      <c r="I314">
        <v>0</v>
      </c>
      <c r="J314">
        <v>0</v>
      </c>
      <c r="K314">
        <v>2606.5700000000002</v>
      </c>
      <c r="L314">
        <v>-5713.74</v>
      </c>
      <c r="M314">
        <v>-334.43</v>
      </c>
    </row>
    <row r="315" spans="1:13">
      <c r="A315">
        <v>3</v>
      </c>
      <c r="B315" t="s">
        <v>247</v>
      </c>
      <c r="C315">
        <v>3</v>
      </c>
      <c r="D315">
        <v>0</v>
      </c>
      <c r="E315">
        <v>1</v>
      </c>
      <c r="F315" t="s">
        <v>245</v>
      </c>
      <c r="G315">
        <v>1.5</v>
      </c>
      <c r="H315">
        <v>0</v>
      </c>
      <c r="I315">
        <v>0</v>
      </c>
      <c r="J315">
        <v>0</v>
      </c>
      <c r="K315">
        <v>-1393.05</v>
      </c>
      <c r="L315">
        <v>-5713.74</v>
      </c>
      <c r="M315">
        <v>-334.43</v>
      </c>
    </row>
    <row r="316" spans="1:13">
      <c r="A316">
        <v>3</v>
      </c>
      <c r="B316" t="s">
        <v>247</v>
      </c>
      <c r="C316">
        <v>4</v>
      </c>
      <c r="D316">
        <v>0</v>
      </c>
      <c r="E316">
        <v>1</v>
      </c>
      <c r="F316" t="s">
        <v>244</v>
      </c>
      <c r="G316">
        <v>0</v>
      </c>
      <c r="H316">
        <v>0</v>
      </c>
      <c r="I316">
        <v>0</v>
      </c>
      <c r="J316">
        <v>0</v>
      </c>
      <c r="K316">
        <v>-938.41</v>
      </c>
      <c r="L316">
        <v>208.77</v>
      </c>
      <c r="M316">
        <v>-4415.6099999999997</v>
      </c>
    </row>
    <row r="317" spans="1:13">
      <c r="A317">
        <v>3</v>
      </c>
      <c r="B317" t="s">
        <v>247</v>
      </c>
      <c r="C317">
        <v>4</v>
      </c>
      <c r="D317">
        <v>0</v>
      </c>
      <c r="E317">
        <v>1</v>
      </c>
      <c r="F317" t="s">
        <v>245</v>
      </c>
      <c r="G317">
        <v>1</v>
      </c>
      <c r="H317">
        <v>0</v>
      </c>
      <c r="I317">
        <v>0</v>
      </c>
      <c r="J317">
        <v>0</v>
      </c>
      <c r="K317">
        <v>-729.64</v>
      </c>
      <c r="L317">
        <v>208.77</v>
      </c>
      <c r="M317">
        <v>-4415.6099999999997</v>
      </c>
    </row>
    <row r="318" spans="1:13">
      <c r="A318">
        <v>3</v>
      </c>
      <c r="B318" t="s">
        <v>247</v>
      </c>
      <c r="C318">
        <v>5</v>
      </c>
      <c r="D318">
        <v>0</v>
      </c>
      <c r="E318">
        <v>1</v>
      </c>
      <c r="F318" t="s">
        <v>244</v>
      </c>
      <c r="G318">
        <v>0</v>
      </c>
      <c r="H318">
        <v>0</v>
      </c>
      <c r="I318">
        <v>0</v>
      </c>
      <c r="J318">
        <v>0</v>
      </c>
      <c r="K318">
        <v>-729.64</v>
      </c>
      <c r="L318">
        <v>208.77</v>
      </c>
      <c r="M318">
        <v>-4415.6099999999997</v>
      </c>
    </row>
    <row r="319" spans="1:13">
      <c r="A319">
        <v>3</v>
      </c>
      <c r="B319" t="s">
        <v>247</v>
      </c>
      <c r="C319">
        <v>5</v>
      </c>
      <c r="D319">
        <v>0</v>
      </c>
      <c r="E319">
        <v>1</v>
      </c>
      <c r="F319" t="s">
        <v>245</v>
      </c>
      <c r="G319">
        <v>2.2400000000000002</v>
      </c>
      <c r="H319">
        <v>0</v>
      </c>
      <c r="I319">
        <v>0</v>
      </c>
      <c r="J319">
        <v>0</v>
      </c>
      <c r="K319">
        <v>-262</v>
      </c>
      <c r="L319">
        <v>208.77</v>
      </c>
      <c r="M319">
        <v>-4415.6099999999997</v>
      </c>
    </row>
    <row r="320" spans="1:13">
      <c r="A320">
        <v>3</v>
      </c>
      <c r="B320" t="s">
        <v>247</v>
      </c>
      <c r="C320">
        <v>6</v>
      </c>
      <c r="D320">
        <v>0</v>
      </c>
      <c r="E320">
        <v>1</v>
      </c>
      <c r="F320" t="s">
        <v>244</v>
      </c>
      <c r="G320">
        <v>0</v>
      </c>
      <c r="H320">
        <v>0</v>
      </c>
      <c r="I320">
        <v>0</v>
      </c>
      <c r="J320">
        <v>0</v>
      </c>
      <c r="K320">
        <v>-262</v>
      </c>
      <c r="L320">
        <v>208.77</v>
      </c>
      <c r="M320">
        <v>-4415.6099999999997</v>
      </c>
    </row>
    <row r="321" spans="1:13">
      <c r="A321">
        <v>3</v>
      </c>
      <c r="B321" t="s">
        <v>247</v>
      </c>
      <c r="C321">
        <v>6</v>
      </c>
      <c r="D321">
        <v>0</v>
      </c>
      <c r="E321">
        <v>1</v>
      </c>
      <c r="F321" t="s">
        <v>245</v>
      </c>
      <c r="G321">
        <v>3.6</v>
      </c>
      <c r="H321">
        <v>0</v>
      </c>
      <c r="I321">
        <v>0</v>
      </c>
      <c r="J321">
        <v>0</v>
      </c>
      <c r="K321">
        <v>170.4</v>
      </c>
      <c r="L321">
        <v>46.44</v>
      </c>
      <c r="M321">
        <v>-3973.11</v>
      </c>
    </row>
    <row r="322" spans="1:13">
      <c r="A322">
        <v>3</v>
      </c>
      <c r="B322" t="s">
        <v>247</v>
      </c>
      <c r="C322">
        <v>7</v>
      </c>
      <c r="D322">
        <v>0</v>
      </c>
      <c r="E322">
        <v>1</v>
      </c>
      <c r="F322" t="s">
        <v>244</v>
      </c>
      <c r="G322">
        <v>0</v>
      </c>
      <c r="H322">
        <v>0</v>
      </c>
      <c r="I322">
        <v>0</v>
      </c>
      <c r="J322">
        <v>0</v>
      </c>
      <c r="K322">
        <v>170.4</v>
      </c>
      <c r="L322">
        <v>46.44</v>
      </c>
      <c r="M322">
        <v>-3973.11</v>
      </c>
    </row>
    <row r="323" spans="1:13">
      <c r="A323">
        <v>3</v>
      </c>
      <c r="B323" t="s">
        <v>247</v>
      </c>
      <c r="C323">
        <v>7</v>
      </c>
      <c r="D323">
        <v>0</v>
      </c>
      <c r="E323">
        <v>1</v>
      </c>
      <c r="F323" t="s">
        <v>245</v>
      </c>
      <c r="G323">
        <v>2.7</v>
      </c>
      <c r="H323">
        <v>0</v>
      </c>
      <c r="I323">
        <v>0</v>
      </c>
      <c r="J323">
        <v>0</v>
      </c>
      <c r="K323">
        <v>269.31</v>
      </c>
      <c r="L323">
        <v>28.71</v>
      </c>
      <c r="M323">
        <v>-3889.69</v>
      </c>
    </row>
    <row r="324" spans="1:13">
      <c r="A324">
        <v>3</v>
      </c>
      <c r="B324" t="s">
        <v>247</v>
      </c>
      <c r="C324">
        <v>8</v>
      </c>
      <c r="D324">
        <v>0</v>
      </c>
      <c r="E324">
        <v>1</v>
      </c>
      <c r="F324" t="s">
        <v>244</v>
      </c>
      <c r="G324">
        <v>0</v>
      </c>
      <c r="H324">
        <v>0</v>
      </c>
      <c r="I324">
        <v>0</v>
      </c>
      <c r="J324">
        <v>0</v>
      </c>
      <c r="K324">
        <v>269.31</v>
      </c>
      <c r="L324">
        <v>28.71</v>
      </c>
      <c r="M324">
        <v>-3889.69</v>
      </c>
    </row>
    <row r="325" spans="1:13">
      <c r="A325">
        <v>3</v>
      </c>
      <c r="B325" t="s">
        <v>247</v>
      </c>
      <c r="C325">
        <v>8</v>
      </c>
      <c r="D325">
        <v>0</v>
      </c>
      <c r="E325">
        <v>1</v>
      </c>
      <c r="F325" t="s">
        <v>245</v>
      </c>
      <c r="G325">
        <v>2.8</v>
      </c>
      <c r="H325">
        <v>0</v>
      </c>
      <c r="I325">
        <v>0</v>
      </c>
      <c r="J325">
        <v>0</v>
      </c>
      <c r="K325">
        <v>264.85000000000002</v>
      </c>
      <c r="L325">
        <v>-23.25</v>
      </c>
      <c r="M325">
        <v>-3375.47</v>
      </c>
    </row>
    <row r="326" spans="1:13">
      <c r="A326">
        <v>3</v>
      </c>
      <c r="B326" t="s">
        <v>247</v>
      </c>
      <c r="C326">
        <v>9</v>
      </c>
      <c r="D326">
        <v>0</v>
      </c>
      <c r="E326">
        <v>1</v>
      </c>
      <c r="F326" t="s">
        <v>244</v>
      </c>
      <c r="G326">
        <v>0</v>
      </c>
      <c r="H326">
        <v>0</v>
      </c>
      <c r="I326">
        <v>0</v>
      </c>
      <c r="J326">
        <v>0</v>
      </c>
      <c r="K326">
        <v>264.85000000000002</v>
      </c>
      <c r="L326">
        <v>-23.25</v>
      </c>
      <c r="M326">
        <v>-3375.47</v>
      </c>
    </row>
    <row r="327" spans="1:13">
      <c r="A327">
        <v>3</v>
      </c>
      <c r="B327" t="s">
        <v>247</v>
      </c>
      <c r="C327">
        <v>9</v>
      </c>
      <c r="D327">
        <v>0</v>
      </c>
      <c r="E327">
        <v>1</v>
      </c>
      <c r="F327" t="s">
        <v>245</v>
      </c>
      <c r="G327">
        <v>8.16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-860.58</v>
      </c>
    </row>
    <row r="328" spans="1:13">
      <c r="A328">
        <v>3</v>
      </c>
      <c r="B328" t="s">
        <v>247</v>
      </c>
      <c r="C328">
        <v>10</v>
      </c>
      <c r="D328">
        <v>0</v>
      </c>
      <c r="E328">
        <v>1</v>
      </c>
      <c r="F328" t="s">
        <v>244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-860.58</v>
      </c>
    </row>
    <row r="329" spans="1:13">
      <c r="A329">
        <v>3</v>
      </c>
      <c r="B329" t="s">
        <v>247</v>
      </c>
      <c r="C329">
        <v>10</v>
      </c>
      <c r="D329">
        <v>0</v>
      </c>
      <c r="E329">
        <v>1</v>
      </c>
      <c r="F329" t="s">
        <v>245</v>
      </c>
      <c r="G329">
        <v>1.5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-416.65</v>
      </c>
    </row>
    <row r="330" spans="1:13">
      <c r="A330">
        <v>3</v>
      </c>
      <c r="B330" t="s">
        <v>247</v>
      </c>
      <c r="C330">
        <v>11</v>
      </c>
      <c r="D330">
        <v>0</v>
      </c>
      <c r="E330">
        <v>1</v>
      </c>
      <c r="F330" t="s">
        <v>244</v>
      </c>
      <c r="G330">
        <v>0</v>
      </c>
      <c r="H330">
        <v>0</v>
      </c>
      <c r="I330">
        <v>0</v>
      </c>
      <c r="J330">
        <v>0</v>
      </c>
      <c r="K330">
        <v>-1393.05</v>
      </c>
      <c r="L330">
        <v>334.43</v>
      </c>
      <c r="M330">
        <v>-5713.74</v>
      </c>
    </row>
    <row r="331" spans="1:13">
      <c r="A331">
        <v>3</v>
      </c>
      <c r="B331" t="s">
        <v>247</v>
      </c>
      <c r="C331">
        <v>11</v>
      </c>
      <c r="D331">
        <v>0</v>
      </c>
      <c r="E331">
        <v>1</v>
      </c>
      <c r="F331" t="s">
        <v>245</v>
      </c>
      <c r="G331">
        <v>1</v>
      </c>
      <c r="H331">
        <v>0</v>
      </c>
      <c r="I331">
        <v>0</v>
      </c>
      <c r="J331">
        <v>0</v>
      </c>
      <c r="K331">
        <v>-1058.6300000000001</v>
      </c>
      <c r="L331">
        <v>334.43</v>
      </c>
      <c r="M331">
        <v>-5713.74</v>
      </c>
    </row>
    <row r="332" spans="1:13">
      <c r="A332">
        <v>3</v>
      </c>
      <c r="B332" t="s">
        <v>247</v>
      </c>
      <c r="C332">
        <v>12</v>
      </c>
      <c r="D332">
        <v>0</v>
      </c>
      <c r="E332">
        <v>1</v>
      </c>
      <c r="F332" t="s">
        <v>244</v>
      </c>
      <c r="G332">
        <v>0</v>
      </c>
      <c r="H332">
        <v>0</v>
      </c>
      <c r="I332">
        <v>0</v>
      </c>
      <c r="J332">
        <v>0</v>
      </c>
      <c r="K332">
        <v>-1058.6300000000001</v>
      </c>
      <c r="L332">
        <v>334.43</v>
      </c>
      <c r="M332">
        <v>-5713.74</v>
      </c>
    </row>
    <row r="333" spans="1:13">
      <c r="A333">
        <v>3</v>
      </c>
      <c r="B333" t="s">
        <v>247</v>
      </c>
      <c r="C333">
        <v>12</v>
      </c>
      <c r="D333">
        <v>0</v>
      </c>
      <c r="E333">
        <v>1</v>
      </c>
      <c r="F333" t="s">
        <v>245</v>
      </c>
      <c r="G333">
        <v>2.2400000000000002</v>
      </c>
      <c r="H333">
        <v>0</v>
      </c>
      <c r="I333">
        <v>0</v>
      </c>
      <c r="J333">
        <v>0</v>
      </c>
      <c r="K333">
        <v>-309.51</v>
      </c>
      <c r="L333">
        <v>334.43</v>
      </c>
      <c r="M333">
        <v>-5713.74</v>
      </c>
    </row>
    <row r="334" spans="1:13">
      <c r="A334">
        <v>3</v>
      </c>
      <c r="B334" t="s">
        <v>247</v>
      </c>
      <c r="C334">
        <v>13</v>
      </c>
      <c r="D334">
        <v>0</v>
      </c>
      <c r="E334">
        <v>1</v>
      </c>
      <c r="F334" t="s">
        <v>244</v>
      </c>
      <c r="G334">
        <v>0</v>
      </c>
      <c r="H334">
        <v>0</v>
      </c>
      <c r="I334">
        <v>0</v>
      </c>
      <c r="J334">
        <v>0</v>
      </c>
      <c r="K334">
        <v>-309.51</v>
      </c>
      <c r="L334">
        <v>334.43</v>
      </c>
      <c r="M334">
        <v>-5713.74</v>
      </c>
    </row>
    <row r="335" spans="1:13">
      <c r="A335">
        <v>3</v>
      </c>
      <c r="B335" t="s">
        <v>247</v>
      </c>
      <c r="C335">
        <v>13</v>
      </c>
      <c r="D335">
        <v>0</v>
      </c>
      <c r="E335">
        <v>1</v>
      </c>
      <c r="F335" t="s">
        <v>245</v>
      </c>
      <c r="G335">
        <v>3.6</v>
      </c>
      <c r="H335">
        <v>0</v>
      </c>
      <c r="I335">
        <v>0</v>
      </c>
      <c r="J335">
        <v>0</v>
      </c>
      <c r="K335">
        <v>333.03</v>
      </c>
      <c r="L335">
        <v>52.89</v>
      </c>
      <c r="M335">
        <v>-5135.99</v>
      </c>
    </row>
    <row r="336" spans="1:13">
      <c r="A336">
        <v>3</v>
      </c>
      <c r="B336" t="s">
        <v>247</v>
      </c>
      <c r="C336">
        <v>14</v>
      </c>
      <c r="D336">
        <v>0</v>
      </c>
      <c r="E336">
        <v>1</v>
      </c>
      <c r="F336" t="s">
        <v>244</v>
      </c>
      <c r="G336">
        <v>0</v>
      </c>
      <c r="H336">
        <v>0</v>
      </c>
      <c r="I336">
        <v>0</v>
      </c>
      <c r="J336">
        <v>0</v>
      </c>
      <c r="K336">
        <v>333.03</v>
      </c>
      <c r="L336">
        <v>52.89</v>
      </c>
      <c r="M336">
        <v>-5135.99</v>
      </c>
    </row>
    <row r="337" spans="1:13">
      <c r="A337">
        <v>3</v>
      </c>
      <c r="B337" t="s">
        <v>247</v>
      </c>
      <c r="C337">
        <v>14</v>
      </c>
      <c r="D337">
        <v>0</v>
      </c>
      <c r="E337">
        <v>1</v>
      </c>
      <c r="F337" t="s">
        <v>245</v>
      </c>
      <c r="G337">
        <v>2.7</v>
      </c>
      <c r="H337">
        <v>0</v>
      </c>
      <c r="I337">
        <v>0</v>
      </c>
      <c r="J337">
        <v>0</v>
      </c>
      <c r="K337">
        <v>433.61</v>
      </c>
      <c r="L337">
        <v>25.03</v>
      </c>
      <c r="M337">
        <v>-5027.3900000000003</v>
      </c>
    </row>
    <row r="338" spans="1:13">
      <c r="A338">
        <v>3</v>
      </c>
      <c r="B338" t="s">
        <v>247</v>
      </c>
      <c r="C338">
        <v>15</v>
      </c>
      <c r="D338">
        <v>0</v>
      </c>
      <c r="E338">
        <v>1</v>
      </c>
      <c r="F338" t="s">
        <v>244</v>
      </c>
      <c r="G338">
        <v>0</v>
      </c>
      <c r="H338">
        <v>0</v>
      </c>
      <c r="I338">
        <v>0</v>
      </c>
      <c r="J338">
        <v>0</v>
      </c>
      <c r="K338">
        <v>433.61</v>
      </c>
      <c r="L338">
        <v>25.03</v>
      </c>
      <c r="M338">
        <v>-5027.3900000000003</v>
      </c>
    </row>
    <row r="339" spans="1:13">
      <c r="A339">
        <v>3</v>
      </c>
      <c r="B339" t="s">
        <v>247</v>
      </c>
      <c r="C339">
        <v>15</v>
      </c>
      <c r="D339">
        <v>0</v>
      </c>
      <c r="E339">
        <v>1</v>
      </c>
      <c r="F339" t="s">
        <v>245</v>
      </c>
      <c r="G339">
        <v>2.8</v>
      </c>
      <c r="H339">
        <v>0</v>
      </c>
      <c r="I339">
        <v>0</v>
      </c>
      <c r="J339">
        <v>0</v>
      </c>
      <c r="K339">
        <v>383.91</v>
      </c>
      <c r="L339">
        <v>-46.45</v>
      </c>
      <c r="M339">
        <v>-4359.87</v>
      </c>
    </row>
    <row r="340" spans="1:13">
      <c r="A340">
        <v>3</v>
      </c>
      <c r="B340" t="s">
        <v>247</v>
      </c>
      <c r="C340">
        <v>16</v>
      </c>
      <c r="D340">
        <v>0</v>
      </c>
      <c r="E340">
        <v>1</v>
      </c>
      <c r="F340" t="s">
        <v>244</v>
      </c>
      <c r="G340">
        <v>0</v>
      </c>
      <c r="H340">
        <v>0</v>
      </c>
      <c r="I340">
        <v>0</v>
      </c>
      <c r="J340">
        <v>0</v>
      </c>
      <c r="K340">
        <v>383.91</v>
      </c>
      <c r="L340">
        <v>-46.45</v>
      </c>
      <c r="M340">
        <v>-4359.87</v>
      </c>
    </row>
    <row r="341" spans="1:13">
      <c r="A341">
        <v>3</v>
      </c>
      <c r="B341" t="s">
        <v>247</v>
      </c>
      <c r="C341">
        <v>16</v>
      </c>
      <c r="D341">
        <v>0</v>
      </c>
      <c r="E341">
        <v>1</v>
      </c>
      <c r="F341" t="s">
        <v>245</v>
      </c>
      <c r="G341">
        <v>8.16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-1109.55</v>
      </c>
    </row>
    <row r="342" spans="1:13">
      <c r="A342">
        <v>3</v>
      </c>
      <c r="B342" t="s">
        <v>247</v>
      </c>
      <c r="C342">
        <v>17</v>
      </c>
      <c r="D342">
        <v>0</v>
      </c>
      <c r="E342">
        <v>1</v>
      </c>
      <c r="F342" t="s">
        <v>244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-1109.55</v>
      </c>
    </row>
    <row r="343" spans="1:13">
      <c r="A343">
        <v>3</v>
      </c>
      <c r="B343" t="s">
        <v>247</v>
      </c>
      <c r="C343">
        <v>17</v>
      </c>
      <c r="D343">
        <v>0</v>
      </c>
      <c r="E343">
        <v>1</v>
      </c>
      <c r="F343" t="s">
        <v>245</v>
      </c>
      <c r="G343">
        <v>1.5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-537.14</v>
      </c>
    </row>
    <row r="344" spans="1:13">
      <c r="A344">
        <v>4</v>
      </c>
      <c r="B344" t="s">
        <v>243</v>
      </c>
      <c r="C344">
        <v>1</v>
      </c>
      <c r="D344">
        <v>0</v>
      </c>
      <c r="E344">
        <v>1</v>
      </c>
      <c r="F344" t="s">
        <v>244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</row>
    <row r="345" spans="1:13">
      <c r="A345">
        <v>4</v>
      </c>
      <c r="B345" t="s">
        <v>243</v>
      </c>
      <c r="C345">
        <v>1</v>
      </c>
      <c r="D345">
        <v>0</v>
      </c>
      <c r="E345">
        <v>1</v>
      </c>
      <c r="F345" t="s">
        <v>245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</row>
    <row r="346" spans="1:13">
      <c r="A346">
        <v>4</v>
      </c>
      <c r="B346" t="s">
        <v>243</v>
      </c>
      <c r="C346">
        <v>2</v>
      </c>
      <c r="D346">
        <v>1</v>
      </c>
      <c r="E346">
        <v>0</v>
      </c>
      <c r="F346" t="s">
        <v>244</v>
      </c>
      <c r="G346">
        <v>0</v>
      </c>
      <c r="H346">
        <v>1153.3599999999999</v>
      </c>
      <c r="I346">
        <v>3685.67</v>
      </c>
      <c r="J346">
        <v>264.19</v>
      </c>
      <c r="K346">
        <v>0</v>
      </c>
      <c r="L346">
        <v>0</v>
      </c>
      <c r="M346">
        <v>0</v>
      </c>
    </row>
    <row r="347" spans="1:13">
      <c r="A347">
        <v>4</v>
      </c>
      <c r="B347" t="s">
        <v>243</v>
      </c>
      <c r="C347">
        <v>2</v>
      </c>
      <c r="D347">
        <v>1</v>
      </c>
      <c r="E347">
        <v>0</v>
      </c>
      <c r="F347">
        <v>1</v>
      </c>
      <c r="G347">
        <v>2.2000000000000002</v>
      </c>
      <c r="H347">
        <v>9757.31</v>
      </c>
      <c r="I347">
        <v>4074.47</v>
      </c>
      <c r="J347">
        <v>164.17</v>
      </c>
      <c r="K347">
        <v>0</v>
      </c>
      <c r="L347">
        <v>0</v>
      </c>
      <c r="M347">
        <v>0</v>
      </c>
    </row>
    <row r="348" spans="1:13">
      <c r="A348">
        <v>4</v>
      </c>
      <c r="B348" t="s">
        <v>243</v>
      </c>
      <c r="C348">
        <v>2</v>
      </c>
      <c r="D348">
        <v>1</v>
      </c>
      <c r="E348">
        <v>0</v>
      </c>
      <c r="F348">
        <v>2</v>
      </c>
      <c r="G348">
        <v>2.2000000000000002</v>
      </c>
      <c r="H348">
        <v>9757.31</v>
      </c>
      <c r="I348">
        <v>4074.47</v>
      </c>
      <c r="J348">
        <v>164.17</v>
      </c>
      <c r="K348">
        <v>0</v>
      </c>
      <c r="L348">
        <v>0</v>
      </c>
      <c r="M348">
        <v>0</v>
      </c>
    </row>
    <row r="349" spans="1:13">
      <c r="A349">
        <v>4</v>
      </c>
      <c r="B349" t="s">
        <v>243</v>
      </c>
      <c r="C349">
        <v>2</v>
      </c>
      <c r="D349">
        <v>1</v>
      </c>
      <c r="E349">
        <v>0</v>
      </c>
      <c r="F349" t="s">
        <v>245</v>
      </c>
      <c r="G349">
        <v>3</v>
      </c>
      <c r="H349">
        <v>13016.88</v>
      </c>
      <c r="I349">
        <v>4074.47</v>
      </c>
      <c r="J349">
        <v>164.17</v>
      </c>
      <c r="K349">
        <v>0</v>
      </c>
      <c r="L349">
        <v>0</v>
      </c>
      <c r="M349">
        <v>0</v>
      </c>
    </row>
    <row r="350" spans="1:13">
      <c r="A350">
        <v>4</v>
      </c>
      <c r="B350" t="s">
        <v>243</v>
      </c>
      <c r="C350">
        <v>3</v>
      </c>
      <c r="D350">
        <v>1</v>
      </c>
      <c r="E350">
        <v>0</v>
      </c>
      <c r="F350" t="s">
        <v>244</v>
      </c>
      <c r="G350">
        <v>0</v>
      </c>
      <c r="H350">
        <v>6081.8</v>
      </c>
      <c r="I350">
        <v>-4826.2700000000004</v>
      </c>
      <c r="J350">
        <v>-264.74</v>
      </c>
      <c r="K350">
        <v>0</v>
      </c>
      <c r="L350">
        <v>0</v>
      </c>
      <c r="M350">
        <v>0</v>
      </c>
    </row>
    <row r="351" spans="1:13">
      <c r="A351">
        <v>4</v>
      </c>
      <c r="B351" t="s">
        <v>243</v>
      </c>
      <c r="C351">
        <v>3</v>
      </c>
      <c r="D351">
        <v>1</v>
      </c>
      <c r="E351">
        <v>0</v>
      </c>
      <c r="F351">
        <v>1</v>
      </c>
      <c r="G351">
        <v>0.8</v>
      </c>
      <c r="H351">
        <v>2308.34</v>
      </c>
      <c r="I351">
        <v>-4437.47</v>
      </c>
      <c r="J351">
        <v>-164.76</v>
      </c>
      <c r="K351">
        <v>0</v>
      </c>
      <c r="L351">
        <v>0</v>
      </c>
      <c r="M351">
        <v>0</v>
      </c>
    </row>
    <row r="352" spans="1:13">
      <c r="A352">
        <v>4</v>
      </c>
      <c r="B352" t="s">
        <v>243</v>
      </c>
      <c r="C352">
        <v>3</v>
      </c>
      <c r="D352">
        <v>1</v>
      </c>
      <c r="E352">
        <v>0</v>
      </c>
      <c r="F352">
        <v>2</v>
      </c>
      <c r="G352">
        <v>0.8</v>
      </c>
      <c r="H352">
        <v>2308.34</v>
      </c>
      <c r="I352">
        <v>-4437.47</v>
      </c>
      <c r="J352">
        <v>-164.76</v>
      </c>
      <c r="K352">
        <v>0</v>
      </c>
      <c r="L352">
        <v>0</v>
      </c>
      <c r="M352">
        <v>0</v>
      </c>
    </row>
    <row r="353" spans="1:13">
      <c r="A353">
        <v>4</v>
      </c>
      <c r="B353" t="s">
        <v>243</v>
      </c>
      <c r="C353">
        <v>3</v>
      </c>
      <c r="D353">
        <v>0</v>
      </c>
      <c r="E353">
        <v>1</v>
      </c>
      <c r="F353" t="s">
        <v>245</v>
      </c>
      <c r="G353">
        <v>1.5</v>
      </c>
      <c r="H353">
        <v>0</v>
      </c>
      <c r="I353">
        <v>0</v>
      </c>
      <c r="J353">
        <v>0</v>
      </c>
      <c r="K353">
        <v>-1157.6099999999999</v>
      </c>
      <c r="L353">
        <v>-4826.2700000000004</v>
      </c>
      <c r="M353">
        <v>-264.74</v>
      </c>
    </row>
    <row r="354" spans="1:13">
      <c r="A354">
        <v>4</v>
      </c>
      <c r="B354" t="s">
        <v>243</v>
      </c>
      <c r="C354">
        <v>4</v>
      </c>
      <c r="D354">
        <v>0</v>
      </c>
      <c r="E354">
        <v>1</v>
      </c>
      <c r="F354" t="s">
        <v>244</v>
      </c>
      <c r="G354">
        <v>0</v>
      </c>
      <c r="H354">
        <v>0</v>
      </c>
      <c r="I354">
        <v>0</v>
      </c>
      <c r="J354">
        <v>0</v>
      </c>
      <c r="K354">
        <v>-1153.3599999999999</v>
      </c>
      <c r="L354">
        <v>264.19</v>
      </c>
      <c r="M354">
        <v>-3685.67</v>
      </c>
    </row>
    <row r="355" spans="1:13">
      <c r="A355">
        <v>4</v>
      </c>
      <c r="B355" t="s">
        <v>243</v>
      </c>
      <c r="C355">
        <v>4</v>
      </c>
      <c r="D355">
        <v>0</v>
      </c>
      <c r="E355">
        <v>1</v>
      </c>
      <c r="F355" t="s">
        <v>245</v>
      </c>
      <c r="G355">
        <v>1</v>
      </c>
      <c r="H355">
        <v>0</v>
      </c>
      <c r="I355">
        <v>0</v>
      </c>
      <c r="J355">
        <v>0</v>
      </c>
      <c r="K355">
        <v>-889.17</v>
      </c>
      <c r="L355">
        <v>264.19</v>
      </c>
      <c r="M355">
        <v>-3685.67</v>
      </c>
    </row>
    <row r="356" spans="1:13">
      <c r="A356">
        <v>4</v>
      </c>
      <c r="B356" t="s">
        <v>243</v>
      </c>
      <c r="C356">
        <v>5</v>
      </c>
      <c r="D356">
        <v>0</v>
      </c>
      <c r="E356">
        <v>1</v>
      </c>
      <c r="F356" t="s">
        <v>244</v>
      </c>
      <c r="G356">
        <v>0</v>
      </c>
      <c r="H356">
        <v>0</v>
      </c>
      <c r="I356">
        <v>0</v>
      </c>
      <c r="J356">
        <v>0</v>
      </c>
      <c r="K356">
        <v>-889.17</v>
      </c>
      <c r="L356">
        <v>264.19</v>
      </c>
      <c r="M356">
        <v>-3685.67</v>
      </c>
    </row>
    <row r="357" spans="1:13">
      <c r="A357">
        <v>4</v>
      </c>
      <c r="B357" t="s">
        <v>243</v>
      </c>
      <c r="C357">
        <v>5</v>
      </c>
      <c r="D357">
        <v>0</v>
      </c>
      <c r="E357">
        <v>1</v>
      </c>
      <c r="F357" t="s">
        <v>245</v>
      </c>
      <c r="G357">
        <v>2.2400000000000002</v>
      </c>
      <c r="H357">
        <v>0</v>
      </c>
      <c r="I357">
        <v>0</v>
      </c>
      <c r="J357">
        <v>0</v>
      </c>
      <c r="K357">
        <v>-297.39999999999998</v>
      </c>
      <c r="L357">
        <v>264.19</v>
      </c>
      <c r="M357">
        <v>-3685.67</v>
      </c>
    </row>
    <row r="358" spans="1:13">
      <c r="A358">
        <v>4</v>
      </c>
      <c r="B358" t="s">
        <v>243</v>
      </c>
      <c r="C358">
        <v>6</v>
      </c>
      <c r="D358">
        <v>0</v>
      </c>
      <c r="E358">
        <v>1</v>
      </c>
      <c r="F358" t="s">
        <v>244</v>
      </c>
      <c r="G358">
        <v>0</v>
      </c>
      <c r="H358">
        <v>0</v>
      </c>
      <c r="I358">
        <v>0</v>
      </c>
      <c r="J358">
        <v>0</v>
      </c>
      <c r="K358">
        <v>-297.39999999999998</v>
      </c>
      <c r="L358">
        <v>264.19</v>
      </c>
      <c r="M358">
        <v>-3685.67</v>
      </c>
    </row>
    <row r="359" spans="1:13">
      <c r="A359">
        <v>4</v>
      </c>
      <c r="B359" t="s">
        <v>243</v>
      </c>
      <c r="C359">
        <v>6</v>
      </c>
      <c r="D359">
        <v>1</v>
      </c>
      <c r="E359">
        <v>0</v>
      </c>
      <c r="F359" t="s">
        <v>245</v>
      </c>
      <c r="G359">
        <v>3.6</v>
      </c>
      <c r="H359">
        <v>231.82</v>
      </c>
      <c r="I359">
        <v>51.04</v>
      </c>
      <c r="J359">
        <v>-3324.83</v>
      </c>
      <c r="K359">
        <v>0</v>
      </c>
      <c r="L359">
        <v>0</v>
      </c>
      <c r="M359">
        <v>0</v>
      </c>
    </row>
    <row r="360" spans="1:13">
      <c r="A360">
        <v>4</v>
      </c>
      <c r="B360" t="s">
        <v>243</v>
      </c>
      <c r="C360">
        <v>7</v>
      </c>
      <c r="D360">
        <v>1</v>
      </c>
      <c r="E360">
        <v>0</v>
      </c>
      <c r="F360" t="s">
        <v>244</v>
      </c>
      <c r="G360">
        <v>0</v>
      </c>
      <c r="H360">
        <v>231.82</v>
      </c>
      <c r="I360">
        <v>51.04</v>
      </c>
      <c r="J360">
        <v>-3324.83</v>
      </c>
      <c r="K360">
        <v>0</v>
      </c>
      <c r="L360">
        <v>0</v>
      </c>
      <c r="M360">
        <v>0</v>
      </c>
    </row>
    <row r="361" spans="1:13">
      <c r="A361">
        <v>4</v>
      </c>
      <c r="B361" t="s">
        <v>243</v>
      </c>
      <c r="C361">
        <v>7</v>
      </c>
      <c r="D361">
        <v>1</v>
      </c>
      <c r="E361">
        <v>0</v>
      </c>
      <c r="F361" t="s">
        <v>245</v>
      </c>
      <c r="G361">
        <v>2.7</v>
      </c>
      <c r="H361">
        <v>336.21</v>
      </c>
      <c r="I361">
        <v>28.82</v>
      </c>
      <c r="J361">
        <v>-3256.28</v>
      </c>
      <c r="K361">
        <v>0</v>
      </c>
      <c r="L361">
        <v>0</v>
      </c>
      <c r="M361">
        <v>0</v>
      </c>
    </row>
    <row r="362" spans="1:13">
      <c r="A362">
        <v>4</v>
      </c>
      <c r="B362" t="s">
        <v>243</v>
      </c>
      <c r="C362">
        <v>8</v>
      </c>
      <c r="D362">
        <v>1</v>
      </c>
      <c r="E362">
        <v>0</v>
      </c>
      <c r="F362" t="s">
        <v>244</v>
      </c>
      <c r="G362">
        <v>0</v>
      </c>
      <c r="H362">
        <v>336.21</v>
      </c>
      <c r="I362">
        <v>28.82</v>
      </c>
      <c r="J362">
        <v>-3256.28</v>
      </c>
      <c r="K362">
        <v>0</v>
      </c>
      <c r="L362">
        <v>0</v>
      </c>
      <c r="M362">
        <v>0</v>
      </c>
    </row>
    <row r="363" spans="1:13">
      <c r="A363">
        <v>4</v>
      </c>
      <c r="B363" t="s">
        <v>243</v>
      </c>
      <c r="C363">
        <v>8</v>
      </c>
      <c r="D363">
        <v>1</v>
      </c>
      <c r="E363">
        <v>0</v>
      </c>
      <c r="F363" t="s">
        <v>245</v>
      </c>
      <c r="G363">
        <v>2.8</v>
      </c>
      <c r="H363">
        <v>315.75</v>
      </c>
      <c r="I363">
        <v>-32.39</v>
      </c>
      <c r="J363">
        <v>-2830.59</v>
      </c>
      <c r="K363">
        <v>0</v>
      </c>
      <c r="L363">
        <v>0</v>
      </c>
      <c r="M363">
        <v>0</v>
      </c>
    </row>
    <row r="364" spans="1:13">
      <c r="A364">
        <v>4</v>
      </c>
      <c r="B364" t="s">
        <v>243</v>
      </c>
      <c r="C364">
        <v>9</v>
      </c>
      <c r="D364">
        <v>1</v>
      </c>
      <c r="E364">
        <v>0</v>
      </c>
      <c r="F364" t="s">
        <v>244</v>
      </c>
      <c r="G364">
        <v>0</v>
      </c>
      <c r="H364">
        <v>315.75</v>
      </c>
      <c r="I364">
        <v>-32.39</v>
      </c>
      <c r="J364">
        <v>-2830.59</v>
      </c>
      <c r="K364">
        <v>0</v>
      </c>
      <c r="L364">
        <v>0</v>
      </c>
      <c r="M364">
        <v>0</v>
      </c>
    </row>
    <row r="365" spans="1:13">
      <c r="A365">
        <v>4</v>
      </c>
      <c r="B365" t="s">
        <v>243</v>
      </c>
      <c r="C365">
        <v>9</v>
      </c>
      <c r="D365">
        <v>0</v>
      </c>
      <c r="E365">
        <v>1</v>
      </c>
      <c r="F365" t="s">
        <v>245</v>
      </c>
      <c r="G365">
        <v>8.16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-724.98</v>
      </c>
    </row>
    <row r="366" spans="1:13">
      <c r="A366">
        <v>4</v>
      </c>
      <c r="B366" t="s">
        <v>243</v>
      </c>
      <c r="C366">
        <v>10</v>
      </c>
      <c r="D366">
        <v>0</v>
      </c>
      <c r="E366">
        <v>1</v>
      </c>
      <c r="F366" t="s">
        <v>244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-724.98</v>
      </c>
    </row>
    <row r="367" spans="1:13">
      <c r="A367">
        <v>4</v>
      </c>
      <c r="B367" t="s">
        <v>243</v>
      </c>
      <c r="C367">
        <v>10</v>
      </c>
      <c r="D367">
        <v>1</v>
      </c>
      <c r="E367">
        <v>0</v>
      </c>
      <c r="F367" t="s">
        <v>245</v>
      </c>
      <c r="G367">
        <v>1.5</v>
      </c>
      <c r="H367">
        <v>0</v>
      </c>
      <c r="I367">
        <v>0</v>
      </c>
      <c r="J367">
        <v>-351.06</v>
      </c>
      <c r="K367">
        <v>0</v>
      </c>
      <c r="L367">
        <v>0</v>
      </c>
      <c r="M367">
        <v>0</v>
      </c>
    </row>
    <row r="368" spans="1:13">
      <c r="A368">
        <v>4</v>
      </c>
      <c r="B368" t="s">
        <v>243</v>
      </c>
      <c r="C368">
        <v>11</v>
      </c>
      <c r="D368">
        <v>0</v>
      </c>
      <c r="E368">
        <v>1</v>
      </c>
      <c r="F368" t="s">
        <v>244</v>
      </c>
      <c r="G368">
        <v>0</v>
      </c>
      <c r="H368">
        <v>0</v>
      </c>
      <c r="I368">
        <v>0</v>
      </c>
      <c r="J368">
        <v>0</v>
      </c>
      <c r="K368">
        <v>-1157.6099999999999</v>
      </c>
      <c r="L368">
        <v>264.74</v>
      </c>
      <c r="M368">
        <v>-4826.2700000000004</v>
      </c>
    </row>
    <row r="369" spans="1:13">
      <c r="A369">
        <v>4</v>
      </c>
      <c r="B369" t="s">
        <v>243</v>
      </c>
      <c r="C369">
        <v>11</v>
      </c>
      <c r="D369">
        <v>0</v>
      </c>
      <c r="E369">
        <v>1</v>
      </c>
      <c r="F369" t="s">
        <v>245</v>
      </c>
      <c r="G369">
        <v>1</v>
      </c>
      <c r="H369">
        <v>0</v>
      </c>
      <c r="I369">
        <v>0</v>
      </c>
      <c r="J369">
        <v>0</v>
      </c>
      <c r="K369">
        <v>-892.87</v>
      </c>
      <c r="L369">
        <v>264.74</v>
      </c>
      <c r="M369">
        <v>-4826.2700000000004</v>
      </c>
    </row>
    <row r="370" spans="1:13">
      <c r="A370">
        <v>4</v>
      </c>
      <c r="B370" t="s">
        <v>243</v>
      </c>
      <c r="C370">
        <v>12</v>
      </c>
      <c r="D370">
        <v>0</v>
      </c>
      <c r="E370">
        <v>1</v>
      </c>
      <c r="F370" t="s">
        <v>244</v>
      </c>
      <c r="G370">
        <v>0</v>
      </c>
      <c r="H370">
        <v>0</v>
      </c>
      <c r="I370">
        <v>0</v>
      </c>
      <c r="J370">
        <v>0</v>
      </c>
      <c r="K370">
        <v>-892.87</v>
      </c>
      <c r="L370">
        <v>264.74</v>
      </c>
      <c r="M370">
        <v>-4826.2700000000004</v>
      </c>
    </row>
    <row r="371" spans="1:13">
      <c r="A371">
        <v>4</v>
      </c>
      <c r="B371" t="s">
        <v>243</v>
      </c>
      <c r="C371">
        <v>12</v>
      </c>
      <c r="D371">
        <v>0</v>
      </c>
      <c r="E371">
        <v>1</v>
      </c>
      <c r="F371" t="s">
        <v>245</v>
      </c>
      <c r="G371">
        <v>2.2400000000000002</v>
      </c>
      <c r="H371">
        <v>0</v>
      </c>
      <c r="I371">
        <v>0</v>
      </c>
      <c r="J371">
        <v>0</v>
      </c>
      <c r="K371">
        <v>-299.83999999999997</v>
      </c>
      <c r="L371">
        <v>264.74</v>
      </c>
      <c r="M371">
        <v>-4826.2700000000004</v>
      </c>
    </row>
    <row r="372" spans="1:13">
      <c r="A372">
        <v>4</v>
      </c>
      <c r="B372" t="s">
        <v>243</v>
      </c>
      <c r="C372">
        <v>13</v>
      </c>
      <c r="D372">
        <v>0</v>
      </c>
      <c r="E372">
        <v>1</v>
      </c>
      <c r="F372" t="s">
        <v>244</v>
      </c>
      <c r="G372">
        <v>0</v>
      </c>
      <c r="H372">
        <v>0</v>
      </c>
      <c r="I372">
        <v>0</v>
      </c>
      <c r="J372">
        <v>0</v>
      </c>
      <c r="K372">
        <v>-299.83999999999997</v>
      </c>
      <c r="L372">
        <v>264.74</v>
      </c>
      <c r="M372">
        <v>-4826.2700000000004</v>
      </c>
    </row>
    <row r="373" spans="1:13">
      <c r="A373">
        <v>4</v>
      </c>
      <c r="B373" t="s">
        <v>243</v>
      </c>
      <c r="C373">
        <v>13</v>
      </c>
      <c r="D373">
        <v>1</v>
      </c>
      <c r="E373">
        <v>0</v>
      </c>
      <c r="F373" t="s">
        <v>245</v>
      </c>
      <c r="G373">
        <v>3.6</v>
      </c>
      <c r="H373">
        <v>230.93</v>
      </c>
      <c r="I373">
        <v>51.34</v>
      </c>
      <c r="J373">
        <v>-4347.8100000000004</v>
      </c>
      <c r="K373">
        <v>0</v>
      </c>
      <c r="L373">
        <v>0</v>
      </c>
      <c r="M373">
        <v>0</v>
      </c>
    </row>
    <row r="374" spans="1:13">
      <c r="A374">
        <v>4</v>
      </c>
      <c r="B374" t="s">
        <v>243</v>
      </c>
      <c r="C374">
        <v>14</v>
      </c>
      <c r="D374">
        <v>1</v>
      </c>
      <c r="E374">
        <v>0</v>
      </c>
      <c r="F374" t="s">
        <v>244</v>
      </c>
      <c r="G374">
        <v>0</v>
      </c>
      <c r="H374">
        <v>230.93</v>
      </c>
      <c r="I374">
        <v>51.34</v>
      </c>
      <c r="J374">
        <v>-4347.8100000000004</v>
      </c>
      <c r="K374">
        <v>0</v>
      </c>
      <c r="L374">
        <v>0</v>
      </c>
      <c r="M374">
        <v>0</v>
      </c>
    </row>
    <row r="375" spans="1:13">
      <c r="A375">
        <v>4</v>
      </c>
      <c r="B375" t="s">
        <v>243</v>
      </c>
      <c r="C375">
        <v>14</v>
      </c>
      <c r="D375">
        <v>1</v>
      </c>
      <c r="E375">
        <v>0</v>
      </c>
      <c r="F375" t="s">
        <v>245</v>
      </c>
      <c r="G375">
        <v>2.7</v>
      </c>
      <c r="H375">
        <v>336.07</v>
      </c>
      <c r="I375">
        <v>29.08</v>
      </c>
      <c r="J375">
        <v>-4257.28</v>
      </c>
      <c r="K375">
        <v>0</v>
      </c>
      <c r="L375">
        <v>0</v>
      </c>
      <c r="M375">
        <v>0</v>
      </c>
    </row>
    <row r="376" spans="1:13">
      <c r="A376">
        <v>4</v>
      </c>
      <c r="B376" t="s">
        <v>243</v>
      </c>
      <c r="C376">
        <v>15</v>
      </c>
      <c r="D376">
        <v>1</v>
      </c>
      <c r="E376">
        <v>0</v>
      </c>
      <c r="F376" t="s">
        <v>244</v>
      </c>
      <c r="G376">
        <v>0</v>
      </c>
      <c r="H376">
        <v>336.07</v>
      </c>
      <c r="I376">
        <v>29.08</v>
      </c>
      <c r="J376">
        <v>-4257.28</v>
      </c>
      <c r="K376">
        <v>0</v>
      </c>
      <c r="L376">
        <v>0</v>
      </c>
      <c r="M376">
        <v>0</v>
      </c>
    </row>
    <row r="377" spans="1:13">
      <c r="A377">
        <v>4</v>
      </c>
      <c r="B377" t="s">
        <v>243</v>
      </c>
      <c r="C377">
        <v>15</v>
      </c>
      <c r="D377">
        <v>1</v>
      </c>
      <c r="E377">
        <v>0</v>
      </c>
      <c r="F377" t="s">
        <v>245</v>
      </c>
      <c r="G377">
        <v>2.8</v>
      </c>
      <c r="H377">
        <v>316.06</v>
      </c>
      <c r="I377">
        <v>-32.31</v>
      </c>
      <c r="J377">
        <v>-3697.39</v>
      </c>
      <c r="K377">
        <v>0</v>
      </c>
      <c r="L377">
        <v>0</v>
      </c>
      <c r="M377">
        <v>0</v>
      </c>
    </row>
    <row r="378" spans="1:13">
      <c r="A378">
        <v>4</v>
      </c>
      <c r="B378" t="s">
        <v>243</v>
      </c>
      <c r="C378">
        <v>16</v>
      </c>
      <c r="D378">
        <v>1</v>
      </c>
      <c r="E378">
        <v>0</v>
      </c>
      <c r="F378" t="s">
        <v>244</v>
      </c>
      <c r="G378">
        <v>0</v>
      </c>
      <c r="H378">
        <v>316.06</v>
      </c>
      <c r="I378">
        <v>-32.31</v>
      </c>
      <c r="J378">
        <v>-3697.39</v>
      </c>
      <c r="K378">
        <v>0</v>
      </c>
      <c r="L378">
        <v>0</v>
      </c>
      <c r="M378">
        <v>0</v>
      </c>
    </row>
    <row r="379" spans="1:13">
      <c r="A379">
        <v>4</v>
      </c>
      <c r="B379" t="s">
        <v>243</v>
      </c>
      <c r="C379">
        <v>16</v>
      </c>
      <c r="D379">
        <v>1</v>
      </c>
      <c r="E379">
        <v>0</v>
      </c>
      <c r="F379" t="s">
        <v>245</v>
      </c>
      <c r="G379">
        <v>8.16</v>
      </c>
      <c r="H379">
        <v>0</v>
      </c>
      <c r="I379">
        <v>0</v>
      </c>
      <c r="J379">
        <v>-872.45</v>
      </c>
      <c r="K379">
        <v>0</v>
      </c>
      <c r="L379">
        <v>0</v>
      </c>
      <c r="M379">
        <v>0</v>
      </c>
    </row>
    <row r="380" spans="1:13">
      <c r="A380">
        <v>4</v>
      </c>
      <c r="B380" t="s">
        <v>243</v>
      </c>
      <c r="C380">
        <v>17</v>
      </c>
      <c r="D380">
        <v>1</v>
      </c>
      <c r="E380">
        <v>0</v>
      </c>
      <c r="F380" t="s">
        <v>244</v>
      </c>
      <c r="G380">
        <v>0</v>
      </c>
      <c r="H380">
        <v>0</v>
      </c>
      <c r="I380">
        <v>0</v>
      </c>
      <c r="J380">
        <v>-872.45</v>
      </c>
      <c r="K380">
        <v>0</v>
      </c>
      <c r="L380">
        <v>0</v>
      </c>
      <c r="M380">
        <v>0</v>
      </c>
    </row>
    <row r="381" spans="1:13">
      <c r="A381">
        <v>4</v>
      </c>
      <c r="B381" t="s">
        <v>243</v>
      </c>
      <c r="C381">
        <v>17</v>
      </c>
      <c r="D381">
        <v>0</v>
      </c>
      <c r="E381">
        <v>1</v>
      </c>
      <c r="F381" t="s">
        <v>245</v>
      </c>
      <c r="G381">
        <v>1.5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-422.46</v>
      </c>
    </row>
    <row r="382" spans="1:13">
      <c r="A382">
        <v>4</v>
      </c>
      <c r="B382" t="s">
        <v>246</v>
      </c>
      <c r="C382">
        <v>1</v>
      </c>
      <c r="D382">
        <v>1</v>
      </c>
      <c r="E382">
        <v>0</v>
      </c>
      <c r="F382" t="s">
        <v>244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</row>
    <row r="383" spans="1:13">
      <c r="A383">
        <v>4</v>
      </c>
      <c r="B383" t="s">
        <v>246</v>
      </c>
      <c r="C383">
        <v>1</v>
      </c>
      <c r="D383">
        <v>1</v>
      </c>
      <c r="E383">
        <v>0</v>
      </c>
      <c r="F383" t="s">
        <v>245</v>
      </c>
      <c r="G383">
        <v>1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</row>
    <row r="384" spans="1:13">
      <c r="A384">
        <v>4</v>
      </c>
      <c r="B384" t="s">
        <v>246</v>
      </c>
      <c r="C384">
        <v>2</v>
      </c>
      <c r="D384">
        <v>1</v>
      </c>
      <c r="E384">
        <v>0</v>
      </c>
      <c r="F384" t="s">
        <v>244</v>
      </c>
      <c r="G384">
        <v>0</v>
      </c>
      <c r="H384">
        <v>793.48</v>
      </c>
      <c r="I384">
        <v>4074.47</v>
      </c>
      <c r="J384">
        <v>164.17</v>
      </c>
      <c r="K384">
        <v>0</v>
      </c>
      <c r="L384">
        <v>0</v>
      </c>
      <c r="M384">
        <v>0</v>
      </c>
    </row>
    <row r="385" spans="1:13">
      <c r="A385">
        <v>4</v>
      </c>
      <c r="B385" t="s">
        <v>246</v>
      </c>
      <c r="C385">
        <v>2</v>
      </c>
      <c r="D385">
        <v>1</v>
      </c>
      <c r="E385">
        <v>0</v>
      </c>
      <c r="F385">
        <v>1</v>
      </c>
      <c r="G385">
        <v>2.2000000000000002</v>
      </c>
      <c r="H385">
        <v>9757.31</v>
      </c>
      <c r="I385">
        <v>4074.47</v>
      </c>
      <c r="J385">
        <v>164.17</v>
      </c>
      <c r="K385">
        <v>0</v>
      </c>
      <c r="L385">
        <v>0</v>
      </c>
      <c r="M385">
        <v>0</v>
      </c>
    </row>
    <row r="386" spans="1:13">
      <c r="A386">
        <v>4</v>
      </c>
      <c r="B386" t="s">
        <v>246</v>
      </c>
      <c r="C386">
        <v>2</v>
      </c>
      <c r="D386">
        <v>1</v>
      </c>
      <c r="E386">
        <v>0</v>
      </c>
      <c r="F386">
        <v>2</v>
      </c>
      <c r="G386">
        <v>2.2000000000000002</v>
      </c>
      <c r="H386">
        <v>9757.31</v>
      </c>
      <c r="I386">
        <v>4074.47</v>
      </c>
      <c r="J386">
        <v>164.17</v>
      </c>
      <c r="K386">
        <v>0</v>
      </c>
      <c r="L386">
        <v>0</v>
      </c>
      <c r="M386">
        <v>0</v>
      </c>
    </row>
    <row r="387" spans="1:13">
      <c r="A387">
        <v>4</v>
      </c>
      <c r="B387" t="s">
        <v>246</v>
      </c>
      <c r="C387">
        <v>2</v>
      </c>
      <c r="D387">
        <v>1</v>
      </c>
      <c r="E387">
        <v>0</v>
      </c>
      <c r="F387" t="s">
        <v>245</v>
      </c>
      <c r="G387">
        <v>3</v>
      </c>
      <c r="H387">
        <v>13016.88</v>
      </c>
      <c r="I387">
        <v>4074.47</v>
      </c>
      <c r="J387">
        <v>164.17</v>
      </c>
      <c r="K387">
        <v>0</v>
      </c>
      <c r="L387">
        <v>0</v>
      </c>
      <c r="M387">
        <v>0</v>
      </c>
    </row>
    <row r="388" spans="1:13">
      <c r="A388">
        <v>4</v>
      </c>
      <c r="B388" t="s">
        <v>246</v>
      </c>
      <c r="C388">
        <v>3</v>
      </c>
      <c r="D388">
        <v>0</v>
      </c>
      <c r="E388">
        <v>1</v>
      </c>
      <c r="F388" t="s">
        <v>244</v>
      </c>
      <c r="G388">
        <v>0</v>
      </c>
      <c r="H388">
        <v>0</v>
      </c>
      <c r="I388">
        <v>0</v>
      </c>
      <c r="J388">
        <v>0</v>
      </c>
      <c r="K388">
        <v>6081.8</v>
      </c>
      <c r="L388">
        <v>-4826.2700000000004</v>
      </c>
      <c r="M388">
        <v>-264.74</v>
      </c>
    </row>
    <row r="389" spans="1:13">
      <c r="A389">
        <v>4</v>
      </c>
      <c r="B389" t="s">
        <v>246</v>
      </c>
      <c r="C389">
        <v>3</v>
      </c>
      <c r="D389">
        <v>0</v>
      </c>
      <c r="E389">
        <v>1</v>
      </c>
      <c r="F389">
        <v>1</v>
      </c>
      <c r="G389">
        <v>0.8</v>
      </c>
      <c r="H389">
        <v>0</v>
      </c>
      <c r="I389">
        <v>0</v>
      </c>
      <c r="J389">
        <v>0</v>
      </c>
      <c r="K389">
        <v>2220.7800000000002</v>
      </c>
      <c r="L389">
        <v>-4826.2700000000004</v>
      </c>
      <c r="M389">
        <v>-264.74</v>
      </c>
    </row>
    <row r="390" spans="1:13">
      <c r="A390">
        <v>4</v>
      </c>
      <c r="B390" t="s">
        <v>246</v>
      </c>
      <c r="C390">
        <v>3</v>
      </c>
      <c r="D390">
        <v>0</v>
      </c>
      <c r="E390">
        <v>1</v>
      </c>
      <c r="F390">
        <v>2</v>
      </c>
      <c r="G390">
        <v>0.8</v>
      </c>
      <c r="H390">
        <v>0</v>
      </c>
      <c r="I390">
        <v>0</v>
      </c>
      <c r="J390">
        <v>0</v>
      </c>
      <c r="K390">
        <v>2220.7800000000002</v>
      </c>
      <c r="L390">
        <v>-4826.2700000000004</v>
      </c>
      <c r="M390">
        <v>-264.74</v>
      </c>
    </row>
    <row r="391" spans="1:13">
      <c r="A391">
        <v>4</v>
      </c>
      <c r="B391" t="s">
        <v>246</v>
      </c>
      <c r="C391">
        <v>3</v>
      </c>
      <c r="D391">
        <v>0</v>
      </c>
      <c r="E391">
        <v>1</v>
      </c>
      <c r="F391" t="s">
        <v>245</v>
      </c>
      <c r="G391">
        <v>1.5</v>
      </c>
      <c r="H391">
        <v>0</v>
      </c>
      <c r="I391">
        <v>0</v>
      </c>
      <c r="J391">
        <v>0</v>
      </c>
      <c r="K391">
        <v>-1157.6099999999999</v>
      </c>
      <c r="L391">
        <v>-4826.2700000000004</v>
      </c>
      <c r="M391">
        <v>-264.74</v>
      </c>
    </row>
    <row r="392" spans="1:13">
      <c r="A392">
        <v>4</v>
      </c>
      <c r="B392" t="s">
        <v>246</v>
      </c>
      <c r="C392">
        <v>4</v>
      </c>
      <c r="D392">
        <v>1</v>
      </c>
      <c r="E392">
        <v>0</v>
      </c>
      <c r="F392" t="s">
        <v>244</v>
      </c>
      <c r="G392">
        <v>0</v>
      </c>
      <c r="H392">
        <v>-1153.3599999999999</v>
      </c>
      <c r="I392">
        <v>264.19</v>
      </c>
      <c r="J392">
        <v>-3685.67</v>
      </c>
      <c r="K392">
        <v>0</v>
      </c>
      <c r="L392">
        <v>0</v>
      </c>
      <c r="M392">
        <v>0</v>
      </c>
    </row>
    <row r="393" spans="1:13">
      <c r="A393">
        <v>4</v>
      </c>
      <c r="B393" t="s">
        <v>246</v>
      </c>
      <c r="C393">
        <v>4</v>
      </c>
      <c r="D393">
        <v>1</v>
      </c>
      <c r="E393">
        <v>0</v>
      </c>
      <c r="F393" t="s">
        <v>245</v>
      </c>
      <c r="G393">
        <v>1</v>
      </c>
      <c r="H393">
        <v>-889.17</v>
      </c>
      <c r="I393">
        <v>264.19</v>
      </c>
      <c r="J393">
        <v>-3685.67</v>
      </c>
      <c r="K393">
        <v>0</v>
      </c>
      <c r="L393">
        <v>0</v>
      </c>
      <c r="M393">
        <v>0</v>
      </c>
    </row>
    <row r="394" spans="1:13">
      <c r="A394">
        <v>4</v>
      </c>
      <c r="B394" t="s">
        <v>246</v>
      </c>
      <c r="C394">
        <v>5</v>
      </c>
      <c r="D394">
        <v>1</v>
      </c>
      <c r="E394">
        <v>0</v>
      </c>
      <c r="F394" t="s">
        <v>244</v>
      </c>
      <c r="G394">
        <v>0</v>
      </c>
      <c r="H394">
        <v>-889.17</v>
      </c>
      <c r="I394">
        <v>264.19</v>
      </c>
      <c r="J394">
        <v>-3685.67</v>
      </c>
      <c r="K394">
        <v>0</v>
      </c>
      <c r="L394">
        <v>0</v>
      </c>
      <c r="M394">
        <v>0</v>
      </c>
    </row>
    <row r="395" spans="1:13">
      <c r="A395">
        <v>4</v>
      </c>
      <c r="B395" t="s">
        <v>246</v>
      </c>
      <c r="C395">
        <v>5</v>
      </c>
      <c r="D395">
        <v>1</v>
      </c>
      <c r="E395">
        <v>0</v>
      </c>
      <c r="F395" t="s">
        <v>245</v>
      </c>
      <c r="G395">
        <v>2.2400000000000002</v>
      </c>
      <c r="H395">
        <v>-297.39999999999998</v>
      </c>
      <c r="I395">
        <v>264.19</v>
      </c>
      <c r="J395">
        <v>-3685.67</v>
      </c>
      <c r="K395">
        <v>0</v>
      </c>
      <c r="L395">
        <v>0</v>
      </c>
      <c r="M395">
        <v>0</v>
      </c>
    </row>
    <row r="396" spans="1:13">
      <c r="A396">
        <v>4</v>
      </c>
      <c r="B396" t="s">
        <v>246</v>
      </c>
      <c r="C396">
        <v>6</v>
      </c>
      <c r="D396">
        <v>1</v>
      </c>
      <c r="E396">
        <v>0</v>
      </c>
      <c r="F396" t="s">
        <v>244</v>
      </c>
      <c r="G396">
        <v>0</v>
      </c>
      <c r="H396">
        <v>-297.39999999999998</v>
      </c>
      <c r="I396">
        <v>264.19</v>
      </c>
      <c r="J396">
        <v>-3685.67</v>
      </c>
      <c r="K396">
        <v>0</v>
      </c>
      <c r="L396">
        <v>0</v>
      </c>
      <c r="M396">
        <v>0</v>
      </c>
    </row>
    <row r="397" spans="1:13">
      <c r="A397">
        <v>4</v>
      </c>
      <c r="B397" t="s">
        <v>246</v>
      </c>
      <c r="C397">
        <v>6</v>
      </c>
      <c r="D397">
        <v>1</v>
      </c>
      <c r="E397">
        <v>0</v>
      </c>
      <c r="F397" t="s">
        <v>245</v>
      </c>
      <c r="G397">
        <v>3.6</v>
      </c>
      <c r="H397">
        <v>231.82</v>
      </c>
      <c r="I397">
        <v>51.04</v>
      </c>
      <c r="J397">
        <v>-3324.83</v>
      </c>
      <c r="K397">
        <v>0</v>
      </c>
      <c r="L397">
        <v>0</v>
      </c>
      <c r="M397">
        <v>0</v>
      </c>
    </row>
    <row r="398" spans="1:13">
      <c r="A398">
        <v>4</v>
      </c>
      <c r="B398" t="s">
        <v>246</v>
      </c>
      <c r="C398">
        <v>7</v>
      </c>
      <c r="D398">
        <v>1</v>
      </c>
      <c r="E398">
        <v>0</v>
      </c>
      <c r="F398" t="s">
        <v>244</v>
      </c>
      <c r="G398">
        <v>0</v>
      </c>
      <c r="H398">
        <v>231.82</v>
      </c>
      <c r="I398">
        <v>51.04</v>
      </c>
      <c r="J398">
        <v>-3324.83</v>
      </c>
      <c r="K398">
        <v>0</v>
      </c>
      <c r="L398">
        <v>0</v>
      </c>
      <c r="M398">
        <v>0</v>
      </c>
    </row>
    <row r="399" spans="1:13">
      <c r="A399">
        <v>4</v>
      </c>
      <c r="B399" t="s">
        <v>246</v>
      </c>
      <c r="C399">
        <v>7</v>
      </c>
      <c r="D399">
        <v>1</v>
      </c>
      <c r="E399">
        <v>0</v>
      </c>
      <c r="F399" t="s">
        <v>245</v>
      </c>
      <c r="G399">
        <v>2.7</v>
      </c>
      <c r="H399">
        <v>204.67</v>
      </c>
      <c r="I399">
        <v>31.99</v>
      </c>
      <c r="J399">
        <v>-3593.66</v>
      </c>
      <c r="K399">
        <v>0</v>
      </c>
      <c r="L399">
        <v>0</v>
      </c>
      <c r="M399">
        <v>0</v>
      </c>
    </row>
    <row r="400" spans="1:13">
      <c r="A400">
        <v>4</v>
      </c>
      <c r="B400" t="s">
        <v>246</v>
      </c>
      <c r="C400">
        <v>8</v>
      </c>
      <c r="D400">
        <v>1</v>
      </c>
      <c r="E400">
        <v>0</v>
      </c>
      <c r="F400" t="s">
        <v>244</v>
      </c>
      <c r="G400">
        <v>0</v>
      </c>
      <c r="H400">
        <v>204.67</v>
      </c>
      <c r="I400">
        <v>31.99</v>
      </c>
      <c r="J400">
        <v>-3593.66</v>
      </c>
      <c r="K400">
        <v>0</v>
      </c>
      <c r="L400">
        <v>0</v>
      </c>
      <c r="M400">
        <v>0</v>
      </c>
    </row>
    <row r="401" spans="1:13">
      <c r="A401">
        <v>4</v>
      </c>
      <c r="B401" t="s">
        <v>246</v>
      </c>
      <c r="C401">
        <v>8</v>
      </c>
      <c r="D401">
        <v>0</v>
      </c>
      <c r="E401">
        <v>1</v>
      </c>
      <c r="F401" t="s">
        <v>245</v>
      </c>
      <c r="G401">
        <v>2.8</v>
      </c>
      <c r="H401">
        <v>0</v>
      </c>
      <c r="I401">
        <v>0</v>
      </c>
      <c r="J401">
        <v>0</v>
      </c>
      <c r="K401">
        <v>315.75</v>
      </c>
      <c r="L401">
        <v>-32.39</v>
      </c>
      <c r="M401">
        <v>-2830.59</v>
      </c>
    </row>
    <row r="402" spans="1:13">
      <c r="A402">
        <v>4</v>
      </c>
      <c r="B402" t="s">
        <v>246</v>
      </c>
      <c r="C402">
        <v>9</v>
      </c>
      <c r="D402">
        <v>0</v>
      </c>
      <c r="E402">
        <v>1</v>
      </c>
      <c r="F402" t="s">
        <v>244</v>
      </c>
      <c r="G402">
        <v>0</v>
      </c>
      <c r="H402">
        <v>0</v>
      </c>
      <c r="I402">
        <v>0</v>
      </c>
      <c r="J402">
        <v>0</v>
      </c>
      <c r="K402">
        <v>315.75</v>
      </c>
      <c r="L402">
        <v>-32.39</v>
      </c>
      <c r="M402">
        <v>-2830.59</v>
      </c>
    </row>
    <row r="403" spans="1:13">
      <c r="A403">
        <v>4</v>
      </c>
      <c r="B403" t="s">
        <v>246</v>
      </c>
      <c r="C403">
        <v>9</v>
      </c>
      <c r="D403">
        <v>1</v>
      </c>
      <c r="E403">
        <v>0</v>
      </c>
      <c r="F403" t="s">
        <v>245</v>
      </c>
      <c r="G403">
        <v>8.16</v>
      </c>
      <c r="H403">
        <v>0</v>
      </c>
      <c r="I403">
        <v>0</v>
      </c>
      <c r="J403">
        <v>-724.98</v>
      </c>
      <c r="K403">
        <v>0</v>
      </c>
      <c r="L403">
        <v>0</v>
      </c>
      <c r="M403">
        <v>0</v>
      </c>
    </row>
    <row r="404" spans="1:13">
      <c r="A404">
        <v>4</v>
      </c>
      <c r="B404" t="s">
        <v>246</v>
      </c>
      <c r="C404">
        <v>10</v>
      </c>
      <c r="D404">
        <v>1</v>
      </c>
      <c r="E404">
        <v>0</v>
      </c>
      <c r="F404" t="s">
        <v>244</v>
      </c>
      <c r="G404">
        <v>0</v>
      </c>
      <c r="H404">
        <v>0</v>
      </c>
      <c r="I404">
        <v>0</v>
      </c>
      <c r="J404">
        <v>-724.98</v>
      </c>
      <c r="K404">
        <v>0</v>
      </c>
      <c r="L404">
        <v>0</v>
      </c>
      <c r="M404">
        <v>0</v>
      </c>
    </row>
    <row r="405" spans="1:13">
      <c r="A405">
        <v>4</v>
      </c>
      <c r="B405" t="s">
        <v>246</v>
      </c>
      <c r="C405">
        <v>10</v>
      </c>
      <c r="D405">
        <v>1</v>
      </c>
      <c r="E405">
        <v>0</v>
      </c>
      <c r="F405" t="s">
        <v>245</v>
      </c>
      <c r="G405">
        <v>1.5</v>
      </c>
      <c r="H405">
        <v>0</v>
      </c>
      <c r="I405">
        <v>0</v>
      </c>
      <c r="J405">
        <v>-351.06</v>
      </c>
      <c r="K405">
        <v>0</v>
      </c>
      <c r="L405">
        <v>0</v>
      </c>
      <c r="M405">
        <v>0</v>
      </c>
    </row>
    <row r="406" spans="1:13">
      <c r="A406">
        <v>4</v>
      </c>
      <c r="B406" t="s">
        <v>246</v>
      </c>
      <c r="C406">
        <v>11</v>
      </c>
      <c r="D406">
        <v>1</v>
      </c>
      <c r="E406">
        <v>0</v>
      </c>
      <c r="F406" t="s">
        <v>244</v>
      </c>
      <c r="G406">
        <v>0</v>
      </c>
      <c r="H406">
        <v>-1157.6099999999999</v>
      </c>
      <c r="I406">
        <v>264.74</v>
      </c>
      <c r="J406">
        <v>-4826.2700000000004</v>
      </c>
      <c r="K406">
        <v>0</v>
      </c>
      <c r="L406">
        <v>0</v>
      </c>
      <c r="M406">
        <v>0</v>
      </c>
    </row>
    <row r="407" spans="1:13">
      <c r="A407">
        <v>4</v>
      </c>
      <c r="B407" t="s">
        <v>246</v>
      </c>
      <c r="C407">
        <v>11</v>
      </c>
      <c r="D407">
        <v>1</v>
      </c>
      <c r="E407">
        <v>0</v>
      </c>
      <c r="F407" t="s">
        <v>245</v>
      </c>
      <c r="G407">
        <v>1</v>
      </c>
      <c r="H407">
        <v>-892.87</v>
      </c>
      <c r="I407">
        <v>264.74</v>
      </c>
      <c r="J407">
        <v>-4826.2700000000004</v>
      </c>
      <c r="K407">
        <v>0</v>
      </c>
      <c r="L407">
        <v>0</v>
      </c>
      <c r="M407">
        <v>0</v>
      </c>
    </row>
    <row r="408" spans="1:13">
      <c r="A408">
        <v>4</v>
      </c>
      <c r="B408" t="s">
        <v>246</v>
      </c>
      <c r="C408">
        <v>12</v>
      </c>
      <c r="D408">
        <v>1</v>
      </c>
      <c r="E408">
        <v>0</v>
      </c>
      <c r="F408" t="s">
        <v>244</v>
      </c>
      <c r="G408">
        <v>0</v>
      </c>
      <c r="H408">
        <v>-892.87</v>
      </c>
      <c r="I408">
        <v>264.74</v>
      </c>
      <c r="J408">
        <v>-4826.2700000000004</v>
      </c>
      <c r="K408">
        <v>0</v>
      </c>
      <c r="L408">
        <v>0</v>
      </c>
      <c r="M408">
        <v>0</v>
      </c>
    </row>
    <row r="409" spans="1:13">
      <c r="A409">
        <v>4</v>
      </c>
      <c r="B409" t="s">
        <v>246</v>
      </c>
      <c r="C409">
        <v>12</v>
      </c>
      <c r="D409">
        <v>1</v>
      </c>
      <c r="E409">
        <v>0</v>
      </c>
      <c r="F409" t="s">
        <v>245</v>
      </c>
      <c r="G409">
        <v>2.2400000000000002</v>
      </c>
      <c r="H409">
        <v>-299.83999999999997</v>
      </c>
      <c r="I409">
        <v>264.74</v>
      </c>
      <c r="J409">
        <v>-4826.2700000000004</v>
      </c>
      <c r="K409">
        <v>0</v>
      </c>
      <c r="L409">
        <v>0</v>
      </c>
      <c r="M409">
        <v>0</v>
      </c>
    </row>
    <row r="410" spans="1:13">
      <c r="A410">
        <v>4</v>
      </c>
      <c r="B410" t="s">
        <v>246</v>
      </c>
      <c r="C410">
        <v>13</v>
      </c>
      <c r="D410">
        <v>1</v>
      </c>
      <c r="E410">
        <v>0</v>
      </c>
      <c r="F410" t="s">
        <v>244</v>
      </c>
      <c r="G410">
        <v>0</v>
      </c>
      <c r="H410">
        <v>-299.83999999999997</v>
      </c>
      <c r="I410">
        <v>264.74</v>
      </c>
      <c r="J410">
        <v>-4826.2700000000004</v>
      </c>
      <c r="K410">
        <v>0</v>
      </c>
      <c r="L410">
        <v>0</v>
      </c>
      <c r="M410">
        <v>0</v>
      </c>
    </row>
    <row r="411" spans="1:13">
      <c r="A411">
        <v>4</v>
      </c>
      <c r="B411" t="s">
        <v>246</v>
      </c>
      <c r="C411">
        <v>13</v>
      </c>
      <c r="D411">
        <v>1</v>
      </c>
      <c r="E411">
        <v>0</v>
      </c>
      <c r="F411" t="s">
        <v>245</v>
      </c>
      <c r="G411">
        <v>3.6</v>
      </c>
      <c r="H411">
        <v>230.93</v>
      </c>
      <c r="I411">
        <v>51.34</v>
      </c>
      <c r="J411">
        <v>-4347.8100000000004</v>
      </c>
      <c r="K411">
        <v>0</v>
      </c>
      <c r="L411">
        <v>0</v>
      </c>
      <c r="M411">
        <v>0</v>
      </c>
    </row>
    <row r="412" spans="1:13">
      <c r="A412">
        <v>4</v>
      </c>
      <c r="B412" t="s">
        <v>246</v>
      </c>
      <c r="C412">
        <v>14</v>
      </c>
      <c r="D412">
        <v>1</v>
      </c>
      <c r="E412">
        <v>0</v>
      </c>
      <c r="F412" t="s">
        <v>244</v>
      </c>
      <c r="G412">
        <v>0</v>
      </c>
      <c r="H412">
        <v>230.93</v>
      </c>
      <c r="I412">
        <v>51.34</v>
      </c>
      <c r="J412">
        <v>-4347.8100000000004</v>
      </c>
      <c r="K412">
        <v>0</v>
      </c>
      <c r="L412">
        <v>0</v>
      </c>
      <c r="M412">
        <v>0</v>
      </c>
    </row>
    <row r="413" spans="1:13">
      <c r="A413">
        <v>4</v>
      </c>
      <c r="B413" t="s">
        <v>246</v>
      </c>
      <c r="C413">
        <v>14</v>
      </c>
      <c r="D413">
        <v>1</v>
      </c>
      <c r="E413">
        <v>0</v>
      </c>
      <c r="F413" t="s">
        <v>245</v>
      </c>
      <c r="G413">
        <v>2.7</v>
      </c>
      <c r="H413">
        <v>204.53</v>
      </c>
      <c r="I413">
        <v>32.25</v>
      </c>
      <c r="J413">
        <v>-3919.9</v>
      </c>
      <c r="K413">
        <v>0</v>
      </c>
      <c r="L413">
        <v>0</v>
      </c>
      <c r="M413">
        <v>0</v>
      </c>
    </row>
    <row r="414" spans="1:13">
      <c r="A414">
        <v>4</v>
      </c>
      <c r="B414" t="s">
        <v>246</v>
      </c>
      <c r="C414">
        <v>15</v>
      </c>
      <c r="D414">
        <v>1</v>
      </c>
      <c r="E414">
        <v>0</v>
      </c>
      <c r="F414" t="s">
        <v>244</v>
      </c>
      <c r="G414">
        <v>0</v>
      </c>
      <c r="H414">
        <v>204.53</v>
      </c>
      <c r="I414">
        <v>32.25</v>
      </c>
      <c r="J414">
        <v>-3919.9</v>
      </c>
      <c r="K414">
        <v>0</v>
      </c>
      <c r="L414">
        <v>0</v>
      </c>
      <c r="M414">
        <v>0</v>
      </c>
    </row>
    <row r="415" spans="1:13">
      <c r="A415">
        <v>4</v>
      </c>
      <c r="B415" t="s">
        <v>246</v>
      </c>
      <c r="C415">
        <v>15</v>
      </c>
      <c r="D415">
        <v>0</v>
      </c>
      <c r="E415">
        <v>1</v>
      </c>
      <c r="F415" t="s">
        <v>245</v>
      </c>
      <c r="G415">
        <v>2.8</v>
      </c>
      <c r="H415">
        <v>0</v>
      </c>
      <c r="I415">
        <v>0</v>
      </c>
      <c r="J415">
        <v>0</v>
      </c>
      <c r="K415">
        <v>316.06</v>
      </c>
      <c r="L415">
        <v>-32.31</v>
      </c>
      <c r="M415">
        <v>-3697.39</v>
      </c>
    </row>
    <row r="416" spans="1:13">
      <c r="A416">
        <v>4</v>
      </c>
      <c r="B416" t="s">
        <v>246</v>
      </c>
      <c r="C416">
        <v>16</v>
      </c>
      <c r="D416">
        <v>0</v>
      </c>
      <c r="E416">
        <v>1</v>
      </c>
      <c r="F416" t="s">
        <v>244</v>
      </c>
      <c r="G416">
        <v>0</v>
      </c>
      <c r="H416">
        <v>0</v>
      </c>
      <c r="I416">
        <v>0</v>
      </c>
      <c r="J416">
        <v>0</v>
      </c>
      <c r="K416">
        <v>316.06</v>
      </c>
      <c r="L416">
        <v>-32.31</v>
      </c>
      <c r="M416">
        <v>-3697.39</v>
      </c>
    </row>
    <row r="417" spans="1:13">
      <c r="A417">
        <v>4</v>
      </c>
      <c r="B417" t="s">
        <v>246</v>
      </c>
      <c r="C417">
        <v>16</v>
      </c>
      <c r="D417">
        <v>0</v>
      </c>
      <c r="E417">
        <v>1</v>
      </c>
      <c r="F417" t="s">
        <v>245</v>
      </c>
      <c r="G417">
        <v>8.16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-872.45</v>
      </c>
    </row>
    <row r="418" spans="1:13">
      <c r="A418">
        <v>4</v>
      </c>
      <c r="B418" t="s">
        <v>246</v>
      </c>
      <c r="C418">
        <v>17</v>
      </c>
      <c r="D418">
        <v>0</v>
      </c>
      <c r="E418">
        <v>1</v>
      </c>
      <c r="F418" t="s">
        <v>244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-872.45</v>
      </c>
    </row>
    <row r="419" spans="1:13">
      <c r="A419">
        <v>4</v>
      </c>
      <c r="B419" t="s">
        <v>246</v>
      </c>
      <c r="C419">
        <v>17</v>
      </c>
      <c r="D419">
        <v>0</v>
      </c>
      <c r="E419">
        <v>1</v>
      </c>
      <c r="F419" t="s">
        <v>245</v>
      </c>
      <c r="G419">
        <v>1.5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-422.46</v>
      </c>
    </row>
    <row r="420" spans="1:13">
      <c r="A420">
        <v>4</v>
      </c>
      <c r="B420" t="s">
        <v>247</v>
      </c>
      <c r="C420">
        <v>1</v>
      </c>
      <c r="D420">
        <v>0</v>
      </c>
      <c r="E420">
        <v>0</v>
      </c>
      <c r="F420" t="s">
        <v>244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</row>
    <row r="421" spans="1:13">
      <c r="A421">
        <v>4</v>
      </c>
      <c r="B421" t="s">
        <v>247</v>
      </c>
      <c r="C421">
        <v>1</v>
      </c>
      <c r="D421">
        <v>0</v>
      </c>
      <c r="E421">
        <v>0</v>
      </c>
      <c r="F421" t="s">
        <v>245</v>
      </c>
      <c r="G421">
        <v>1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</row>
    <row r="422" spans="1:13">
      <c r="A422">
        <v>4</v>
      </c>
      <c r="B422" t="s">
        <v>247</v>
      </c>
      <c r="C422">
        <v>2</v>
      </c>
      <c r="D422">
        <v>1</v>
      </c>
      <c r="E422">
        <v>0</v>
      </c>
      <c r="F422" t="s">
        <v>244</v>
      </c>
      <c r="G422">
        <v>0</v>
      </c>
      <c r="H422">
        <v>1153.3599999999999</v>
      </c>
      <c r="I422">
        <v>3685.67</v>
      </c>
      <c r="J422">
        <v>264.19</v>
      </c>
      <c r="K422">
        <v>0</v>
      </c>
      <c r="L422">
        <v>0</v>
      </c>
      <c r="M422">
        <v>0</v>
      </c>
    </row>
    <row r="423" spans="1:13">
      <c r="A423">
        <v>4</v>
      </c>
      <c r="B423" t="s">
        <v>247</v>
      </c>
      <c r="C423">
        <v>2</v>
      </c>
      <c r="D423">
        <v>1</v>
      </c>
      <c r="E423">
        <v>0</v>
      </c>
      <c r="F423">
        <v>1</v>
      </c>
      <c r="G423">
        <v>2.2000000000000002</v>
      </c>
      <c r="H423">
        <v>9261.83</v>
      </c>
      <c r="I423">
        <v>3685.67</v>
      </c>
      <c r="J423">
        <v>264.19</v>
      </c>
      <c r="K423">
        <v>0</v>
      </c>
      <c r="L423">
        <v>0</v>
      </c>
      <c r="M423">
        <v>0</v>
      </c>
    </row>
    <row r="424" spans="1:13">
      <c r="A424">
        <v>4</v>
      </c>
      <c r="B424" t="s">
        <v>247</v>
      </c>
      <c r="C424">
        <v>2</v>
      </c>
      <c r="D424">
        <v>1</v>
      </c>
      <c r="E424">
        <v>0</v>
      </c>
      <c r="F424">
        <v>2</v>
      </c>
      <c r="G424">
        <v>2.2000000000000002</v>
      </c>
      <c r="H424">
        <v>9261.83</v>
      </c>
      <c r="I424">
        <v>3685.67</v>
      </c>
      <c r="J424">
        <v>264.19</v>
      </c>
      <c r="K424">
        <v>0</v>
      </c>
      <c r="L424">
        <v>0</v>
      </c>
      <c r="M424">
        <v>0</v>
      </c>
    </row>
    <row r="425" spans="1:13">
      <c r="A425">
        <v>4</v>
      </c>
      <c r="B425" t="s">
        <v>247</v>
      </c>
      <c r="C425">
        <v>2</v>
      </c>
      <c r="D425">
        <v>1</v>
      </c>
      <c r="E425">
        <v>0</v>
      </c>
      <c r="F425" t="s">
        <v>245</v>
      </c>
      <c r="G425">
        <v>3</v>
      </c>
      <c r="H425">
        <v>12210.36</v>
      </c>
      <c r="I425">
        <v>3685.67</v>
      </c>
      <c r="J425">
        <v>264.19</v>
      </c>
      <c r="K425">
        <v>0</v>
      </c>
      <c r="L425">
        <v>0</v>
      </c>
      <c r="M425">
        <v>0</v>
      </c>
    </row>
    <row r="426" spans="1:13">
      <c r="A426">
        <v>4</v>
      </c>
      <c r="B426" t="s">
        <v>247</v>
      </c>
      <c r="C426">
        <v>3</v>
      </c>
      <c r="D426">
        <v>0</v>
      </c>
      <c r="E426">
        <v>1</v>
      </c>
      <c r="F426" t="s">
        <v>244</v>
      </c>
      <c r="G426">
        <v>0</v>
      </c>
      <c r="H426">
        <v>0</v>
      </c>
      <c r="I426">
        <v>0</v>
      </c>
      <c r="J426">
        <v>0</v>
      </c>
      <c r="K426">
        <v>6081.8</v>
      </c>
      <c r="L426">
        <v>-4826.2700000000004</v>
      </c>
      <c r="M426">
        <v>-264.74</v>
      </c>
    </row>
    <row r="427" spans="1:13">
      <c r="A427">
        <v>4</v>
      </c>
      <c r="B427" t="s">
        <v>247</v>
      </c>
      <c r="C427">
        <v>3</v>
      </c>
      <c r="D427">
        <v>0</v>
      </c>
      <c r="E427">
        <v>1</v>
      </c>
      <c r="F427">
        <v>1</v>
      </c>
      <c r="G427">
        <v>0.8</v>
      </c>
      <c r="H427">
        <v>0</v>
      </c>
      <c r="I427">
        <v>0</v>
      </c>
      <c r="J427">
        <v>0</v>
      </c>
      <c r="K427">
        <v>2220.7800000000002</v>
      </c>
      <c r="L427">
        <v>-4826.2700000000004</v>
      </c>
      <c r="M427">
        <v>-264.74</v>
      </c>
    </row>
    <row r="428" spans="1:13">
      <c r="A428">
        <v>4</v>
      </c>
      <c r="B428" t="s">
        <v>247</v>
      </c>
      <c r="C428">
        <v>3</v>
      </c>
      <c r="D428">
        <v>0</v>
      </c>
      <c r="E428">
        <v>1</v>
      </c>
      <c r="F428">
        <v>2</v>
      </c>
      <c r="G428">
        <v>0.8</v>
      </c>
      <c r="H428">
        <v>0</v>
      </c>
      <c r="I428">
        <v>0</v>
      </c>
      <c r="J428">
        <v>0</v>
      </c>
      <c r="K428">
        <v>2220.7800000000002</v>
      </c>
      <c r="L428">
        <v>-4826.2700000000004</v>
      </c>
      <c r="M428">
        <v>-264.74</v>
      </c>
    </row>
    <row r="429" spans="1:13">
      <c r="A429">
        <v>4</v>
      </c>
      <c r="B429" t="s">
        <v>247</v>
      </c>
      <c r="C429">
        <v>3</v>
      </c>
      <c r="D429">
        <v>0</v>
      </c>
      <c r="E429">
        <v>1</v>
      </c>
      <c r="F429" t="s">
        <v>245</v>
      </c>
      <c r="G429">
        <v>1.5</v>
      </c>
      <c r="H429">
        <v>0</v>
      </c>
      <c r="I429">
        <v>0</v>
      </c>
      <c r="J429">
        <v>0</v>
      </c>
      <c r="K429">
        <v>-1157.6099999999999</v>
      </c>
      <c r="L429">
        <v>-4826.2700000000004</v>
      </c>
      <c r="M429">
        <v>-264.74</v>
      </c>
    </row>
    <row r="430" spans="1:13">
      <c r="A430">
        <v>4</v>
      </c>
      <c r="B430" t="s">
        <v>247</v>
      </c>
      <c r="C430">
        <v>4</v>
      </c>
      <c r="D430">
        <v>0</v>
      </c>
      <c r="E430">
        <v>1</v>
      </c>
      <c r="F430" t="s">
        <v>244</v>
      </c>
      <c r="G430">
        <v>0</v>
      </c>
      <c r="H430">
        <v>0</v>
      </c>
      <c r="I430">
        <v>0</v>
      </c>
      <c r="J430">
        <v>0</v>
      </c>
      <c r="K430">
        <v>-793.48</v>
      </c>
      <c r="L430">
        <v>164.17</v>
      </c>
      <c r="M430">
        <v>-4074.47</v>
      </c>
    </row>
    <row r="431" spans="1:13">
      <c r="A431">
        <v>4</v>
      </c>
      <c r="B431" t="s">
        <v>247</v>
      </c>
      <c r="C431">
        <v>4</v>
      </c>
      <c r="D431">
        <v>0</v>
      </c>
      <c r="E431">
        <v>1</v>
      </c>
      <c r="F431" t="s">
        <v>245</v>
      </c>
      <c r="G431">
        <v>1</v>
      </c>
      <c r="H431">
        <v>0</v>
      </c>
      <c r="I431">
        <v>0</v>
      </c>
      <c r="J431">
        <v>0</v>
      </c>
      <c r="K431">
        <v>-629.29999999999995</v>
      </c>
      <c r="L431">
        <v>164.17</v>
      </c>
      <c r="M431">
        <v>-4074.47</v>
      </c>
    </row>
    <row r="432" spans="1:13">
      <c r="A432">
        <v>4</v>
      </c>
      <c r="B432" t="s">
        <v>247</v>
      </c>
      <c r="C432">
        <v>5</v>
      </c>
      <c r="D432">
        <v>0</v>
      </c>
      <c r="E432">
        <v>1</v>
      </c>
      <c r="F432" t="s">
        <v>244</v>
      </c>
      <c r="G432">
        <v>0</v>
      </c>
      <c r="H432">
        <v>0</v>
      </c>
      <c r="I432">
        <v>0</v>
      </c>
      <c r="J432">
        <v>0</v>
      </c>
      <c r="K432">
        <v>-629.29999999999995</v>
      </c>
      <c r="L432">
        <v>164.17</v>
      </c>
      <c r="M432">
        <v>-4074.47</v>
      </c>
    </row>
    <row r="433" spans="1:13">
      <c r="A433">
        <v>4</v>
      </c>
      <c r="B433" t="s">
        <v>247</v>
      </c>
      <c r="C433">
        <v>5</v>
      </c>
      <c r="D433">
        <v>0</v>
      </c>
      <c r="E433">
        <v>1</v>
      </c>
      <c r="F433" t="s">
        <v>245</v>
      </c>
      <c r="G433">
        <v>2.2400000000000002</v>
      </c>
      <c r="H433">
        <v>0</v>
      </c>
      <c r="I433">
        <v>0</v>
      </c>
      <c r="J433">
        <v>0</v>
      </c>
      <c r="K433">
        <v>-261.56</v>
      </c>
      <c r="L433">
        <v>164.17</v>
      </c>
      <c r="M433">
        <v>-4074.47</v>
      </c>
    </row>
    <row r="434" spans="1:13">
      <c r="A434">
        <v>4</v>
      </c>
      <c r="B434" t="s">
        <v>247</v>
      </c>
      <c r="C434">
        <v>6</v>
      </c>
      <c r="D434">
        <v>0</v>
      </c>
      <c r="E434">
        <v>1</v>
      </c>
      <c r="F434" t="s">
        <v>244</v>
      </c>
      <c r="G434">
        <v>0</v>
      </c>
      <c r="H434">
        <v>0</v>
      </c>
      <c r="I434">
        <v>0</v>
      </c>
      <c r="J434">
        <v>0</v>
      </c>
      <c r="K434">
        <v>-261.56</v>
      </c>
      <c r="L434">
        <v>164.17</v>
      </c>
      <c r="M434">
        <v>-4074.47</v>
      </c>
    </row>
    <row r="435" spans="1:13">
      <c r="A435">
        <v>4</v>
      </c>
      <c r="B435" t="s">
        <v>247</v>
      </c>
      <c r="C435">
        <v>6</v>
      </c>
      <c r="D435">
        <v>0</v>
      </c>
      <c r="E435">
        <v>1</v>
      </c>
      <c r="F435" t="s">
        <v>245</v>
      </c>
      <c r="G435">
        <v>3.6</v>
      </c>
      <c r="H435">
        <v>0</v>
      </c>
      <c r="I435">
        <v>0</v>
      </c>
      <c r="J435">
        <v>0</v>
      </c>
      <c r="K435">
        <v>100.95</v>
      </c>
      <c r="L435">
        <v>46.14</v>
      </c>
      <c r="M435">
        <v>-3670.13</v>
      </c>
    </row>
    <row r="436" spans="1:13">
      <c r="A436">
        <v>4</v>
      </c>
      <c r="B436" t="s">
        <v>247</v>
      </c>
      <c r="C436">
        <v>7</v>
      </c>
      <c r="D436">
        <v>0</v>
      </c>
      <c r="E436">
        <v>1</v>
      </c>
      <c r="F436" t="s">
        <v>244</v>
      </c>
      <c r="G436">
        <v>0</v>
      </c>
      <c r="H436">
        <v>0</v>
      </c>
      <c r="I436">
        <v>0</v>
      </c>
      <c r="J436">
        <v>0</v>
      </c>
      <c r="K436">
        <v>100.95</v>
      </c>
      <c r="L436">
        <v>46.14</v>
      </c>
      <c r="M436">
        <v>-3670.13</v>
      </c>
    </row>
    <row r="437" spans="1:13">
      <c r="A437">
        <v>4</v>
      </c>
      <c r="B437" t="s">
        <v>247</v>
      </c>
      <c r="C437">
        <v>7</v>
      </c>
      <c r="D437">
        <v>0</v>
      </c>
      <c r="E437">
        <v>1</v>
      </c>
      <c r="F437" t="s">
        <v>245</v>
      </c>
      <c r="G437">
        <v>2.7</v>
      </c>
      <c r="H437">
        <v>0</v>
      </c>
      <c r="I437">
        <v>0</v>
      </c>
      <c r="J437">
        <v>0</v>
      </c>
      <c r="K437">
        <v>204.67</v>
      </c>
      <c r="L437">
        <v>31.99</v>
      </c>
      <c r="M437">
        <v>-3593.66</v>
      </c>
    </row>
    <row r="438" spans="1:13">
      <c r="A438">
        <v>4</v>
      </c>
      <c r="B438" t="s">
        <v>247</v>
      </c>
      <c r="C438">
        <v>8</v>
      </c>
      <c r="D438">
        <v>0</v>
      </c>
      <c r="E438">
        <v>1</v>
      </c>
      <c r="F438" t="s">
        <v>244</v>
      </c>
      <c r="G438">
        <v>0</v>
      </c>
      <c r="H438">
        <v>0</v>
      </c>
      <c r="I438">
        <v>0</v>
      </c>
      <c r="J438">
        <v>0</v>
      </c>
      <c r="K438">
        <v>204.67</v>
      </c>
      <c r="L438">
        <v>31.99</v>
      </c>
      <c r="M438">
        <v>-3593.66</v>
      </c>
    </row>
    <row r="439" spans="1:13">
      <c r="A439">
        <v>4</v>
      </c>
      <c r="B439" t="s">
        <v>247</v>
      </c>
      <c r="C439">
        <v>8</v>
      </c>
      <c r="D439">
        <v>0</v>
      </c>
      <c r="E439">
        <v>1</v>
      </c>
      <c r="F439" t="s">
        <v>245</v>
      </c>
      <c r="G439">
        <v>2.8</v>
      </c>
      <c r="H439">
        <v>0</v>
      </c>
      <c r="I439">
        <v>0</v>
      </c>
      <c r="J439">
        <v>0</v>
      </c>
      <c r="K439">
        <v>220.8</v>
      </c>
      <c r="L439">
        <v>-13.77</v>
      </c>
      <c r="M439">
        <v>-3120.82</v>
      </c>
    </row>
    <row r="440" spans="1:13">
      <c r="A440">
        <v>4</v>
      </c>
      <c r="B440" t="s">
        <v>247</v>
      </c>
      <c r="C440">
        <v>9</v>
      </c>
      <c r="D440">
        <v>0</v>
      </c>
      <c r="E440">
        <v>1</v>
      </c>
      <c r="F440" t="s">
        <v>244</v>
      </c>
      <c r="G440">
        <v>0</v>
      </c>
      <c r="H440">
        <v>0</v>
      </c>
      <c r="I440">
        <v>0</v>
      </c>
      <c r="J440">
        <v>0</v>
      </c>
      <c r="K440">
        <v>220.8</v>
      </c>
      <c r="L440">
        <v>-13.77</v>
      </c>
      <c r="M440">
        <v>-3120.82</v>
      </c>
    </row>
    <row r="441" spans="1:13">
      <c r="A441">
        <v>4</v>
      </c>
      <c r="B441" t="s">
        <v>247</v>
      </c>
      <c r="C441">
        <v>9</v>
      </c>
      <c r="D441">
        <v>0</v>
      </c>
      <c r="E441">
        <v>1</v>
      </c>
      <c r="F441" t="s">
        <v>245</v>
      </c>
      <c r="G441">
        <v>8.16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-797.21</v>
      </c>
    </row>
    <row r="442" spans="1:13">
      <c r="A442">
        <v>4</v>
      </c>
      <c r="B442" t="s">
        <v>247</v>
      </c>
      <c r="C442">
        <v>10</v>
      </c>
      <c r="D442">
        <v>0</v>
      </c>
      <c r="E442">
        <v>1</v>
      </c>
      <c r="F442" t="s">
        <v>244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-797.21</v>
      </c>
    </row>
    <row r="443" spans="1:13">
      <c r="A443">
        <v>4</v>
      </c>
      <c r="B443" t="s">
        <v>247</v>
      </c>
      <c r="C443">
        <v>10</v>
      </c>
      <c r="D443">
        <v>0</v>
      </c>
      <c r="E443">
        <v>1</v>
      </c>
      <c r="F443" t="s">
        <v>245</v>
      </c>
      <c r="G443">
        <v>1.5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-385.99</v>
      </c>
    </row>
    <row r="444" spans="1:13">
      <c r="A444">
        <v>4</v>
      </c>
      <c r="B444" t="s">
        <v>247</v>
      </c>
      <c r="C444">
        <v>11</v>
      </c>
      <c r="D444">
        <v>0</v>
      </c>
      <c r="E444">
        <v>1</v>
      </c>
      <c r="F444" t="s">
        <v>244</v>
      </c>
      <c r="G444">
        <v>0</v>
      </c>
      <c r="H444">
        <v>0</v>
      </c>
      <c r="I444">
        <v>0</v>
      </c>
      <c r="J444">
        <v>0</v>
      </c>
      <c r="K444">
        <v>-1157.6099999999999</v>
      </c>
      <c r="L444">
        <v>264.74</v>
      </c>
      <c r="M444">
        <v>-4826.2700000000004</v>
      </c>
    </row>
    <row r="445" spans="1:13">
      <c r="A445">
        <v>4</v>
      </c>
      <c r="B445" t="s">
        <v>247</v>
      </c>
      <c r="C445">
        <v>11</v>
      </c>
      <c r="D445">
        <v>0</v>
      </c>
      <c r="E445">
        <v>1</v>
      </c>
      <c r="F445" t="s">
        <v>245</v>
      </c>
      <c r="G445">
        <v>1</v>
      </c>
      <c r="H445">
        <v>0</v>
      </c>
      <c r="I445">
        <v>0</v>
      </c>
      <c r="J445">
        <v>0</v>
      </c>
      <c r="K445">
        <v>-892.87</v>
      </c>
      <c r="L445">
        <v>264.74</v>
      </c>
      <c r="M445">
        <v>-4826.2700000000004</v>
      </c>
    </row>
    <row r="446" spans="1:13">
      <c r="A446">
        <v>4</v>
      </c>
      <c r="B446" t="s">
        <v>247</v>
      </c>
      <c r="C446">
        <v>12</v>
      </c>
      <c r="D446">
        <v>0</v>
      </c>
      <c r="E446">
        <v>1</v>
      </c>
      <c r="F446" t="s">
        <v>244</v>
      </c>
      <c r="G446">
        <v>0</v>
      </c>
      <c r="H446">
        <v>0</v>
      </c>
      <c r="I446">
        <v>0</v>
      </c>
      <c r="J446">
        <v>0</v>
      </c>
      <c r="K446">
        <v>-892.87</v>
      </c>
      <c r="L446">
        <v>264.74</v>
      </c>
      <c r="M446">
        <v>-4826.2700000000004</v>
      </c>
    </row>
    <row r="447" spans="1:13">
      <c r="A447">
        <v>4</v>
      </c>
      <c r="B447" t="s">
        <v>247</v>
      </c>
      <c r="C447">
        <v>12</v>
      </c>
      <c r="D447">
        <v>0</v>
      </c>
      <c r="E447">
        <v>1</v>
      </c>
      <c r="F447" t="s">
        <v>245</v>
      </c>
      <c r="G447">
        <v>2.2400000000000002</v>
      </c>
      <c r="H447">
        <v>0</v>
      </c>
      <c r="I447">
        <v>0</v>
      </c>
      <c r="J447">
        <v>0</v>
      </c>
      <c r="K447">
        <v>-299.83999999999997</v>
      </c>
      <c r="L447">
        <v>264.74</v>
      </c>
      <c r="M447">
        <v>-4826.2700000000004</v>
      </c>
    </row>
    <row r="448" spans="1:13">
      <c r="A448">
        <v>4</v>
      </c>
      <c r="B448" t="s">
        <v>247</v>
      </c>
      <c r="C448">
        <v>13</v>
      </c>
      <c r="D448">
        <v>0</v>
      </c>
      <c r="E448">
        <v>1</v>
      </c>
      <c r="F448" t="s">
        <v>244</v>
      </c>
      <c r="G448">
        <v>0</v>
      </c>
      <c r="H448">
        <v>0</v>
      </c>
      <c r="I448">
        <v>0</v>
      </c>
      <c r="J448">
        <v>0</v>
      </c>
      <c r="K448">
        <v>-299.83999999999997</v>
      </c>
      <c r="L448">
        <v>264.74</v>
      </c>
      <c r="M448">
        <v>-4826.2700000000004</v>
      </c>
    </row>
    <row r="449" spans="1:13">
      <c r="A449">
        <v>4</v>
      </c>
      <c r="B449" t="s">
        <v>247</v>
      </c>
      <c r="C449">
        <v>13</v>
      </c>
      <c r="D449">
        <v>0</v>
      </c>
      <c r="E449">
        <v>1</v>
      </c>
      <c r="F449" t="s">
        <v>245</v>
      </c>
      <c r="G449">
        <v>3.6</v>
      </c>
      <c r="H449">
        <v>0</v>
      </c>
      <c r="I449">
        <v>0</v>
      </c>
      <c r="J449">
        <v>0</v>
      </c>
      <c r="K449">
        <v>230.93</v>
      </c>
      <c r="L449">
        <v>51.34</v>
      </c>
      <c r="M449">
        <v>-4347.8100000000004</v>
      </c>
    </row>
    <row r="450" spans="1:13">
      <c r="A450">
        <v>4</v>
      </c>
      <c r="B450" t="s">
        <v>247</v>
      </c>
      <c r="C450">
        <v>14</v>
      </c>
      <c r="D450">
        <v>0</v>
      </c>
      <c r="E450">
        <v>1</v>
      </c>
      <c r="F450" t="s">
        <v>244</v>
      </c>
      <c r="G450">
        <v>0</v>
      </c>
      <c r="H450">
        <v>0</v>
      </c>
      <c r="I450">
        <v>0</v>
      </c>
      <c r="J450">
        <v>0</v>
      </c>
      <c r="K450">
        <v>230.93</v>
      </c>
      <c r="L450">
        <v>51.34</v>
      </c>
      <c r="M450">
        <v>-4347.8100000000004</v>
      </c>
    </row>
    <row r="451" spans="1:13">
      <c r="A451">
        <v>4</v>
      </c>
      <c r="B451" t="s">
        <v>247</v>
      </c>
      <c r="C451">
        <v>14</v>
      </c>
      <c r="D451">
        <v>0</v>
      </c>
      <c r="E451">
        <v>1</v>
      </c>
      <c r="F451" t="s">
        <v>245</v>
      </c>
      <c r="G451">
        <v>2.7</v>
      </c>
      <c r="H451">
        <v>0</v>
      </c>
      <c r="I451">
        <v>0</v>
      </c>
      <c r="J451">
        <v>0</v>
      </c>
      <c r="K451">
        <v>336.07</v>
      </c>
      <c r="L451">
        <v>29.08</v>
      </c>
      <c r="M451">
        <v>-4257.28</v>
      </c>
    </row>
    <row r="452" spans="1:13">
      <c r="A452">
        <v>4</v>
      </c>
      <c r="B452" t="s">
        <v>247</v>
      </c>
      <c r="C452">
        <v>15</v>
      </c>
      <c r="D452">
        <v>0</v>
      </c>
      <c r="E452">
        <v>1</v>
      </c>
      <c r="F452" t="s">
        <v>244</v>
      </c>
      <c r="G452">
        <v>0</v>
      </c>
      <c r="H452">
        <v>0</v>
      </c>
      <c r="I452">
        <v>0</v>
      </c>
      <c r="J452">
        <v>0</v>
      </c>
      <c r="K452">
        <v>336.07</v>
      </c>
      <c r="L452">
        <v>29.08</v>
      </c>
      <c r="M452">
        <v>-4257.28</v>
      </c>
    </row>
    <row r="453" spans="1:13">
      <c r="A453">
        <v>4</v>
      </c>
      <c r="B453" t="s">
        <v>247</v>
      </c>
      <c r="C453">
        <v>15</v>
      </c>
      <c r="D453">
        <v>0</v>
      </c>
      <c r="E453">
        <v>1</v>
      </c>
      <c r="F453" t="s">
        <v>245</v>
      </c>
      <c r="G453">
        <v>2.8</v>
      </c>
      <c r="H453">
        <v>0</v>
      </c>
      <c r="I453">
        <v>0</v>
      </c>
      <c r="J453">
        <v>0</v>
      </c>
      <c r="K453">
        <v>316.06</v>
      </c>
      <c r="L453">
        <v>-32.31</v>
      </c>
      <c r="M453">
        <v>-3697.39</v>
      </c>
    </row>
    <row r="454" spans="1:13">
      <c r="A454">
        <v>4</v>
      </c>
      <c r="B454" t="s">
        <v>247</v>
      </c>
      <c r="C454">
        <v>16</v>
      </c>
      <c r="D454">
        <v>0</v>
      </c>
      <c r="E454">
        <v>1</v>
      </c>
      <c r="F454" t="s">
        <v>244</v>
      </c>
      <c r="G454">
        <v>0</v>
      </c>
      <c r="H454">
        <v>0</v>
      </c>
      <c r="I454">
        <v>0</v>
      </c>
      <c r="J454">
        <v>0</v>
      </c>
      <c r="K454">
        <v>316.06</v>
      </c>
      <c r="L454">
        <v>-32.31</v>
      </c>
      <c r="M454">
        <v>-3697.39</v>
      </c>
    </row>
    <row r="455" spans="1:13">
      <c r="A455">
        <v>4</v>
      </c>
      <c r="B455" t="s">
        <v>247</v>
      </c>
      <c r="C455">
        <v>16</v>
      </c>
      <c r="D455">
        <v>0</v>
      </c>
      <c r="E455">
        <v>1</v>
      </c>
      <c r="F455" t="s">
        <v>245</v>
      </c>
      <c r="G455">
        <v>8.16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-944.68</v>
      </c>
    </row>
    <row r="456" spans="1:13">
      <c r="A456">
        <v>4</v>
      </c>
      <c r="B456" t="s">
        <v>247</v>
      </c>
      <c r="C456">
        <v>17</v>
      </c>
      <c r="D456">
        <v>0</v>
      </c>
      <c r="E456">
        <v>1</v>
      </c>
      <c r="F456" t="s">
        <v>244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-944.68</v>
      </c>
    </row>
    <row r="457" spans="1:13">
      <c r="A457">
        <v>4</v>
      </c>
      <c r="B457" t="s">
        <v>247</v>
      </c>
      <c r="C457">
        <v>17</v>
      </c>
      <c r="D457">
        <v>0</v>
      </c>
      <c r="E457">
        <v>1</v>
      </c>
      <c r="F457" t="s">
        <v>245</v>
      </c>
      <c r="G457">
        <v>1.5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-457.4</v>
      </c>
    </row>
    <row r="458" spans="1:13">
      <c r="A458">
        <v>5</v>
      </c>
      <c r="B458" t="s">
        <v>243</v>
      </c>
      <c r="C458">
        <v>1</v>
      </c>
      <c r="D458">
        <v>0</v>
      </c>
      <c r="E458">
        <v>1</v>
      </c>
      <c r="F458" t="s">
        <v>244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</row>
    <row r="459" spans="1:13">
      <c r="A459">
        <v>5</v>
      </c>
      <c r="B459" t="s">
        <v>243</v>
      </c>
      <c r="C459">
        <v>1</v>
      </c>
      <c r="D459">
        <v>0</v>
      </c>
      <c r="E459">
        <v>1</v>
      </c>
      <c r="F459" t="s">
        <v>245</v>
      </c>
      <c r="G459">
        <v>1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</row>
    <row r="460" spans="1:13">
      <c r="A460">
        <v>5</v>
      </c>
      <c r="B460" t="s">
        <v>243</v>
      </c>
      <c r="C460">
        <v>2</v>
      </c>
      <c r="D460">
        <v>1</v>
      </c>
      <c r="E460">
        <v>0</v>
      </c>
      <c r="F460" t="s">
        <v>244</v>
      </c>
      <c r="G460">
        <v>0</v>
      </c>
      <c r="H460">
        <v>189.92</v>
      </c>
      <c r="I460">
        <v>292.54000000000002</v>
      </c>
      <c r="J460">
        <v>57.1</v>
      </c>
      <c r="K460">
        <v>0</v>
      </c>
      <c r="L460">
        <v>0</v>
      </c>
      <c r="M460">
        <v>0</v>
      </c>
    </row>
    <row r="461" spans="1:13">
      <c r="A461">
        <v>5</v>
      </c>
      <c r="B461" t="s">
        <v>243</v>
      </c>
      <c r="C461">
        <v>2</v>
      </c>
      <c r="D461">
        <v>1</v>
      </c>
      <c r="E461">
        <v>0</v>
      </c>
      <c r="F461">
        <v>1</v>
      </c>
      <c r="G461">
        <v>2.2000000000000002</v>
      </c>
      <c r="H461">
        <v>833.5</v>
      </c>
      <c r="I461">
        <v>292.54000000000002</v>
      </c>
      <c r="J461">
        <v>57.1</v>
      </c>
      <c r="K461">
        <v>0</v>
      </c>
      <c r="L461">
        <v>0</v>
      </c>
      <c r="M461">
        <v>0</v>
      </c>
    </row>
    <row r="462" spans="1:13">
      <c r="A462">
        <v>5</v>
      </c>
      <c r="B462" t="s">
        <v>243</v>
      </c>
      <c r="C462">
        <v>2</v>
      </c>
      <c r="D462">
        <v>1</v>
      </c>
      <c r="E462">
        <v>0</v>
      </c>
      <c r="F462">
        <v>2</v>
      </c>
      <c r="G462">
        <v>2.2000000000000002</v>
      </c>
      <c r="H462">
        <v>833.5</v>
      </c>
      <c r="I462">
        <v>292.54000000000002</v>
      </c>
      <c r="J462">
        <v>57.1</v>
      </c>
      <c r="K462">
        <v>0</v>
      </c>
      <c r="L462">
        <v>0</v>
      </c>
      <c r="M462">
        <v>0</v>
      </c>
    </row>
    <row r="463" spans="1:13">
      <c r="A463">
        <v>5</v>
      </c>
      <c r="B463" t="s">
        <v>243</v>
      </c>
      <c r="C463">
        <v>2</v>
      </c>
      <c r="D463">
        <v>1</v>
      </c>
      <c r="E463">
        <v>0</v>
      </c>
      <c r="F463" t="s">
        <v>245</v>
      </c>
      <c r="G463">
        <v>3</v>
      </c>
      <c r="H463">
        <v>1067.53</v>
      </c>
      <c r="I463">
        <v>292.54000000000002</v>
      </c>
      <c r="J463">
        <v>57.1</v>
      </c>
      <c r="K463">
        <v>0</v>
      </c>
      <c r="L463">
        <v>0</v>
      </c>
      <c r="M463">
        <v>0</v>
      </c>
    </row>
    <row r="464" spans="1:13">
      <c r="A464">
        <v>5</v>
      </c>
      <c r="B464" t="s">
        <v>243</v>
      </c>
      <c r="C464">
        <v>3</v>
      </c>
      <c r="D464">
        <v>1</v>
      </c>
      <c r="E464">
        <v>0</v>
      </c>
      <c r="F464" t="s">
        <v>244</v>
      </c>
      <c r="G464">
        <v>0</v>
      </c>
      <c r="H464">
        <v>1067.83</v>
      </c>
      <c r="I464">
        <v>-838.87</v>
      </c>
      <c r="J464">
        <v>-57.18</v>
      </c>
      <c r="K464">
        <v>0</v>
      </c>
      <c r="L464">
        <v>0</v>
      </c>
      <c r="M464">
        <v>0</v>
      </c>
    </row>
    <row r="465" spans="1:13">
      <c r="A465">
        <v>5</v>
      </c>
      <c r="B465" t="s">
        <v>243</v>
      </c>
      <c r="C465">
        <v>3</v>
      </c>
      <c r="D465">
        <v>1</v>
      </c>
      <c r="E465">
        <v>0</v>
      </c>
      <c r="F465">
        <v>1</v>
      </c>
      <c r="G465">
        <v>0.8</v>
      </c>
      <c r="H465">
        <v>396.73</v>
      </c>
      <c r="I465">
        <v>-838.87</v>
      </c>
      <c r="J465">
        <v>-57.18</v>
      </c>
      <c r="K465">
        <v>0</v>
      </c>
      <c r="L465">
        <v>0</v>
      </c>
      <c r="M465">
        <v>0</v>
      </c>
    </row>
    <row r="466" spans="1:13">
      <c r="A466">
        <v>5</v>
      </c>
      <c r="B466" t="s">
        <v>243</v>
      </c>
      <c r="C466">
        <v>3</v>
      </c>
      <c r="D466">
        <v>1</v>
      </c>
      <c r="E466">
        <v>0</v>
      </c>
      <c r="F466">
        <v>2</v>
      </c>
      <c r="G466">
        <v>0.8</v>
      </c>
      <c r="H466">
        <v>396.73</v>
      </c>
      <c r="I466">
        <v>-838.87</v>
      </c>
      <c r="J466">
        <v>-57.18</v>
      </c>
      <c r="K466">
        <v>0</v>
      </c>
      <c r="L466">
        <v>0</v>
      </c>
      <c r="M466">
        <v>0</v>
      </c>
    </row>
    <row r="467" spans="1:13">
      <c r="A467">
        <v>5</v>
      </c>
      <c r="B467" t="s">
        <v>243</v>
      </c>
      <c r="C467">
        <v>3</v>
      </c>
      <c r="D467">
        <v>0</v>
      </c>
      <c r="E467">
        <v>1</v>
      </c>
      <c r="F467" t="s">
        <v>245</v>
      </c>
      <c r="G467">
        <v>1.5</v>
      </c>
      <c r="H467">
        <v>0</v>
      </c>
      <c r="I467">
        <v>0</v>
      </c>
      <c r="J467">
        <v>0</v>
      </c>
      <c r="K467">
        <v>-190.48</v>
      </c>
      <c r="L467">
        <v>-838.87</v>
      </c>
      <c r="M467">
        <v>-57.18</v>
      </c>
    </row>
    <row r="468" spans="1:13">
      <c r="A468">
        <v>5</v>
      </c>
      <c r="B468" t="s">
        <v>243</v>
      </c>
      <c r="C468">
        <v>4</v>
      </c>
      <c r="D468">
        <v>0</v>
      </c>
      <c r="E468">
        <v>1</v>
      </c>
      <c r="F468" t="s">
        <v>244</v>
      </c>
      <c r="G468">
        <v>0</v>
      </c>
      <c r="H468">
        <v>0</v>
      </c>
      <c r="I468">
        <v>0</v>
      </c>
      <c r="J468">
        <v>0</v>
      </c>
      <c r="K468">
        <v>-189.92</v>
      </c>
      <c r="L468">
        <v>57.1</v>
      </c>
      <c r="M468">
        <v>-292.54000000000002</v>
      </c>
    </row>
    <row r="469" spans="1:13">
      <c r="A469">
        <v>5</v>
      </c>
      <c r="B469" t="s">
        <v>243</v>
      </c>
      <c r="C469">
        <v>4</v>
      </c>
      <c r="D469">
        <v>0</v>
      </c>
      <c r="E469">
        <v>1</v>
      </c>
      <c r="F469" t="s">
        <v>245</v>
      </c>
      <c r="G469">
        <v>1</v>
      </c>
      <c r="H469">
        <v>0</v>
      </c>
      <c r="I469">
        <v>0</v>
      </c>
      <c r="J469">
        <v>0</v>
      </c>
      <c r="K469">
        <v>-132.82</v>
      </c>
      <c r="L469">
        <v>57.1</v>
      </c>
      <c r="M469">
        <v>-292.54000000000002</v>
      </c>
    </row>
    <row r="470" spans="1:13">
      <c r="A470">
        <v>5</v>
      </c>
      <c r="B470" t="s">
        <v>243</v>
      </c>
      <c r="C470">
        <v>5</v>
      </c>
      <c r="D470">
        <v>0</v>
      </c>
      <c r="E470">
        <v>1</v>
      </c>
      <c r="F470" t="s">
        <v>244</v>
      </c>
      <c r="G470">
        <v>0</v>
      </c>
      <c r="H470">
        <v>0</v>
      </c>
      <c r="I470">
        <v>0</v>
      </c>
      <c r="J470">
        <v>0</v>
      </c>
      <c r="K470">
        <v>-132.82</v>
      </c>
      <c r="L470">
        <v>57.1</v>
      </c>
      <c r="M470">
        <v>-292.54000000000002</v>
      </c>
    </row>
    <row r="471" spans="1:13">
      <c r="A471">
        <v>5</v>
      </c>
      <c r="B471" t="s">
        <v>243</v>
      </c>
      <c r="C471">
        <v>5</v>
      </c>
      <c r="D471">
        <v>0</v>
      </c>
      <c r="E471">
        <v>1</v>
      </c>
      <c r="F471" t="s">
        <v>245</v>
      </c>
      <c r="G471">
        <v>2.2400000000000002</v>
      </c>
      <c r="H471">
        <v>0</v>
      </c>
      <c r="I471">
        <v>0</v>
      </c>
      <c r="J471">
        <v>0</v>
      </c>
      <c r="K471">
        <v>-4.92</v>
      </c>
      <c r="L471">
        <v>57.1</v>
      </c>
      <c r="M471">
        <v>-292.54000000000002</v>
      </c>
    </row>
    <row r="472" spans="1:13">
      <c r="A472">
        <v>5</v>
      </c>
      <c r="B472" t="s">
        <v>243</v>
      </c>
      <c r="C472">
        <v>6</v>
      </c>
      <c r="D472">
        <v>0</v>
      </c>
      <c r="E472">
        <v>1</v>
      </c>
      <c r="F472" t="s">
        <v>244</v>
      </c>
      <c r="G472">
        <v>0</v>
      </c>
      <c r="H472">
        <v>0</v>
      </c>
      <c r="I472">
        <v>0</v>
      </c>
      <c r="J472">
        <v>0</v>
      </c>
      <c r="K472">
        <v>-4.92</v>
      </c>
      <c r="L472">
        <v>57.1</v>
      </c>
      <c r="M472">
        <v>-292.54000000000002</v>
      </c>
    </row>
    <row r="473" spans="1:13">
      <c r="A473">
        <v>5</v>
      </c>
      <c r="B473" t="s">
        <v>243</v>
      </c>
      <c r="C473">
        <v>6</v>
      </c>
      <c r="D473">
        <v>1</v>
      </c>
      <c r="E473">
        <v>0</v>
      </c>
      <c r="F473" t="s">
        <v>245</v>
      </c>
      <c r="G473">
        <v>3.6</v>
      </c>
      <c r="H473">
        <v>85.8</v>
      </c>
      <c r="I473">
        <v>0.9</v>
      </c>
      <c r="J473">
        <v>-259.81</v>
      </c>
      <c r="K473">
        <v>0</v>
      </c>
      <c r="L473">
        <v>0</v>
      </c>
      <c r="M473">
        <v>0</v>
      </c>
    </row>
    <row r="474" spans="1:13">
      <c r="A474">
        <v>5</v>
      </c>
      <c r="B474" t="s">
        <v>243</v>
      </c>
      <c r="C474">
        <v>7</v>
      </c>
      <c r="D474">
        <v>1</v>
      </c>
      <c r="E474">
        <v>0</v>
      </c>
      <c r="F474" t="s">
        <v>244</v>
      </c>
      <c r="G474">
        <v>0</v>
      </c>
      <c r="H474">
        <v>85.8</v>
      </c>
      <c r="I474">
        <v>0.9</v>
      </c>
      <c r="J474">
        <v>-259.81</v>
      </c>
      <c r="K474">
        <v>0</v>
      </c>
      <c r="L474">
        <v>0</v>
      </c>
      <c r="M474">
        <v>0</v>
      </c>
    </row>
    <row r="475" spans="1:13">
      <c r="A475">
        <v>5</v>
      </c>
      <c r="B475" t="s">
        <v>243</v>
      </c>
      <c r="C475">
        <v>7</v>
      </c>
      <c r="D475">
        <v>1</v>
      </c>
      <c r="E475">
        <v>0</v>
      </c>
      <c r="F475" t="s">
        <v>245</v>
      </c>
      <c r="G475">
        <v>2.7</v>
      </c>
      <c r="H475">
        <v>81.08</v>
      </c>
      <c r="I475">
        <v>-3.67</v>
      </c>
      <c r="J475">
        <v>-253.85</v>
      </c>
      <c r="K475">
        <v>0</v>
      </c>
      <c r="L475">
        <v>0</v>
      </c>
      <c r="M475">
        <v>0</v>
      </c>
    </row>
    <row r="476" spans="1:13">
      <c r="A476">
        <v>5</v>
      </c>
      <c r="B476" t="s">
        <v>243</v>
      </c>
      <c r="C476">
        <v>8</v>
      </c>
      <c r="D476">
        <v>1</v>
      </c>
      <c r="E476">
        <v>0</v>
      </c>
      <c r="F476" t="s">
        <v>244</v>
      </c>
      <c r="G476">
        <v>0</v>
      </c>
      <c r="H476">
        <v>81.08</v>
      </c>
      <c r="I476">
        <v>-3.67</v>
      </c>
      <c r="J476">
        <v>-253.85</v>
      </c>
      <c r="K476">
        <v>0</v>
      </c>
      <c r="L476">
        <v>0</v>
      </c>
      <c r="M476">
        <v>0</v>
      </c>
    </row>
    <row r="477" spans="1:13">
      <c r="A477">
        <v>5</v>
      </c>
      <c r="B477" t="s">
        <v>243</v>
      </c>
      <c r="C477">
        <v>8</v>
      </c>
      <c r="D477">
        <v>1</v>
      </c>
      <c r="E477">
        <v>0</v>
      </c>
      <c r="F477" t="s">
        <v>245</v>
      </c>
      <c r="G477">
        <v>2.8</v>
      </c>
      <c r="H477">
        <v>55.93</v>
      </c>
      <c r="I477">
        <v>-11.82</v>
      </c>
      <c r="J477">
        <v>-218.37</v>
      </c>
      <c r="K477">
        <v>0</v>
      </c>
      <c r="L477">
        <v>0</v>
      </c>
      <c r="M477">
        <v>0</v>
      </c>
    </row>
    <row r="478" spans="1:13">
      <c r="A478">
        <v>5</v>
      </c>
      <c r="B478" t="s">
        <v>243</v>
      </c>
      <c r="C478">
        <v>9</v>
      </c>
      <c r="D478">
        <v>1</v>
      </c>
      <c r="E478">
        <v>0</v>
      </c>
      <c r="F478" t="s">
        <v>244</v>
      </c>
      <c r="G478">
        <v>0</v>
      </c>
      <c r="H478">
        <v>55.93</v>
      </c>
      <c r="I478">
        <v>-11.82</v>
      </c>
      <c r="J478">
        <v>-218.37</v>
      </c>
      <c r="K478">
        <v>0</v>
      </c>
      <c r="L478">
        <v>0</v>
      </c>
      <c r="M478">
        <v>0</v>
      </c>
    </row>
    <row r="479" spans="1:13">
      <c r="A479">
        <v>5</v>
      </c>
      <c r="B479" t="s">
        <v>243</v>
      </c>
      <c r="C479">
        <v>9</v>
      </c>
      <c r="D479">
        <v>0</v>
      </c>
      <c r="E479">
        <v>1</v>
      </c>
      <c r="F479" t="s">
        <v>245</v>
      </c>
      <c r="G479">
        <v>8.16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-54.35</v>
      </c>
    </row>
    <row r="480" spans="1:13">
      <c r="A480">
        <v>5</v>
      </c>
      <c r="B480" t="s">
        <v>243</v>
      </c>
      <c r="C480">
        <v>10</v>
      </c>
      <c r="D480">
        <v>0</v>
      </c>
      <c r="E480">
        <v>1</v>
      </c>
      <c r="F480" t="s">
        <v>244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-54.35</v>
      </c>
    </row>
    <row r="481" spans="1:13">
      <c r="A481">
        <v>5</v>
      </c>
      <c r="B481" t="s">
        <v>243</v>
      </c>
      <c r="C481">
        <v>10</v>
      </c>
      <c r="D481">
        <v>1</v>
      </c>
      <c r="E481">
        <v>0</v>
      </c>
      <c r="F481" t="s">
        <v>245</v>
      </c>
      <c r="G481">
        <v>1.5</v>
      </c>
      <c r="H481">
        <v>0</v>
      </c>
      <c r="I481">
        <v>0</v>
      </c>
      <c r="J481">
        <v>-26.29</v>
      </c>
      <c r="K481">
        <v>0</v>
      </c>
      <c r="L481">
        <v>0</v>
      </c>
      <c r="M481">
        <v>0</v>
      </c>
    </row>
    <row r="482" spans="1:13">
      <c r="A482">
        <v>5</v>
      </c>
      <c r="B482" t="s">
        <v>243</v>
      </c>
      <c r="C482">
        <v>11</v>
      </c>
      <c r="D482">
        <v>0</v>
      </c>
      <c r="E482">
        <v>1</v>
      </c>
      <c r="F482" t="s">
        <v>244</v>
      </c>
      <c r="G482">
        <v>0</v>
      </c>
      <c r="H482">
        <v>0</v>
      </c>
      <c r="I482">
        <v>0</v>
      </c>
      <c r="J482">
        <v>0</v>
      </c>
      <c r="K482">
        <v>-190.48</v>
      </c>
      <c r="L482">
        <v>57.18</v>
      </c>
      <c r="M482">
        <v>-838.87</v>
      </c>
    </row>
    <row r="483" spans="1:13">
      <c r="A483">
        <v>5</v>
      </c>
      <c r="B483" t="s">
        <v>243</v>
      </c>
      <c r="C483">
        <v>11</v>
      </c>
      <c r="D483">
        <v>0</v>
      </c>
      <c r="E483">
        <v>1</v>
      </c>
      <c r="F483" t="s">
        <v>245</v>
      </c>
      <c r="G483">
        <v>1</v>
      </c>
      <c r="H483">
        <v>0</v>
      </c>
      <c r="I483">
        <v>0</v>
      </c>
      <c r="J483">
        <v>0</v>
      </c>
      <c r="K483">
        <v>-133.29</v>
      </c>
      <c r="L483">
        <v>57.18</v>
      </c>
      <c r="M483">
        <v>-838.87</v>
      </c>
    </row>
    <row r="484" spans="1:13">
      <c r="A484">
        <v>5</v>
      </c>
      <c r="B484" t="s">
        <v>243</v>
      </c>
      <c r="C484">
        <v>12</v>
      </c>
      <c r="D484">
        <v>0</v>
      </c>
      <c r="E484">
        <v>1</v>
      </c>
      <c r="F484" t="s">
        <v>244</v>
      </c>
      <c r="G484">
        <v>0</v>
      </c>
      <c r="H484">
        <v>0</v>
      </c>
      <c r="I484">
        <v>0</v>
      </c>
      <c r="J484">
        <v>0</v>
      </c>
      <c r="K484">
        <v>-133.29</v>
      </c>
      <c r="L484">
        <v>57.18</v>
      </c>
      <c r="M484">
        <v>-838.87</v>
      </c>
    </row>
    <row r="485" spans="1:13">
      <c r="A485">
        <v>5</v>
      </c>
      <c r="B485" t="s">
        <v>243</v>
      </c>
      <c r="C485">
        <v>12</v>
      </c>
      <c r="D485">
        <v>0</v>
      </c>
      <c r="E485">
        <v>1</v>
      </c>
      <c r="F485" t="s">
        <v>245</v>
      </c>
      <c r="G485">
        <v>2.2400000000000002</v>
      </c>
      <c r="H485">
        <v>0</v>
      </c>
      <c r="I485">
        <v>0</v>
      </c>
      <c r="J485">
        <v>0</v>
      </c>
      <c r="K485">
        <v>-5.2</v>
      </c>
      <c r="L485">
        <v>57.18</v>
      </c>
      <c r="M485">
        <v>-838.87</v>
      </c>
    </row>
    <row r="486" spans="1:13">
      <c r="A486">
        <v>5</v>
      </c>
      <c r="B486" t="s">
        <v>243</v>
      </c>
      <c r="C486">
        <v>13</v>
      </c>
      <c r="D486">
        <v>0</v>
      </c>
      <c r="E486">
        <v>1</v>
      </c>
      <c r="F486" t="s">
        <v>244</v>
      </c>
      <c r="G486">
        <v>0</v>
      </c>
      <c r="H486">
        <v>0</v>
      </c>
      <c r="I486">
        <v>0</v>
      </c>
      <c r="J486">
        <v>0</v>
      </c>
      <c r="K486">
        <v>-5.2</v>
      </c>
      <c r="L486">
        <v>57.18</v>
      </c>
      <c r="M486">
        <v>-838.87</v>
      </c>
    </row>
    <row r="487" spans="1:13">
      <c r="A487">
        <v>5</v>
      </c>
      <c r="B487" t="s">
        <v>243</v>
      </c>
      <c r="C487">
        <v>13</v>
      </c>
      <c r="D487">
        <v>1</v>
      </c>
      <c r="E487">
        <v>0</v>
      </c>
      <c r="F487" t="s">
        <v>245</v>
      </c>
      <c r="G487">
        <v>3.6</v>
      </c>
      <c r="H487">
        <v>85.74</v>
      </c>
      <c r="I487">
        <v>0.94</v>
      </c>
      <c r="J487">
        <v>-745.02</v>
      </c>
      <c r="K487">
        <v>0</v>
      </c>
      <c r="L487">
        <v>0</v>
      </c>
      <c r="M487">
        <v>0</v>
      </c>
    </row>
    <row r="488" spans="1:13">
      <c r="A488">
        <v>5</v>
      </c>
      <c r="B488" t="s">
        <v>243</v>
      </c>
      <c r="C488">
        <v>14</v>
      </c>
      <c r="D488">
        <v>1</v>
      </c>
      <c r="E488">
        <v>0</v>
      </c>
      <c r="F488" t="s">
        <v>244</v>
      </c>
      <c r="G488">
        <v>0</v>
      </c>
      <c r="H488">
        <v>85.74</v>
      </c>
      <c r="I488">
        <v>0.94</v>
      </c>
      <c r="J488">
        <v>-745.02</v>
      </c>
      <c r="K488">
        <v>0</v>
      </c>
      <c r="L488">
        <v>0</v>
      </c>
      <c r="M488">
        <v>0</v>
      </c>
    </row>
    <row r="489" spans="1:13">
      <c r="A489">
        <v>5</v>
      </c>
      <c r="B489" t="s">
        <v>243</v>
      </c>
      <c r="C489">
        <v>14</v>
      </c>
      <c r="D489">
        <v>1</v>
      </c>
      <c r="E489">
        <v>0</v>
      </c>
      <c r="F489" t="s">
        <v>245</v>
      </c>
      <c r="G489">
        <v>2.7</v>
      </c>
      <c r="H489">
        <v>81.099999999999994</v>
      </c>
      <c r="I489">
        <v>-3.65</v>
      </c>
      <c r="J489">
        <v>-727.94</v>
      </c>
      <c r="K489">
        <v>0</v>
      </c>
      <c r="L489">
        <v>0</v>
      </c>
      <c r="M489">
        <v>0</v>
      </c>
    </row>
    <row r="490" spans="1:13">
      <c r="A490">
        <v>5</v>
      </c>
      <c r="B490" t="s">
        <v>243</v>
      </c>
      <c r="C490">
        <v>15</v>
      </c>
      <c r="D490">
        <v>1</v>
      </c>
      <c r="E490">
        <v>0</v>
      </c>
      <c r="F490" t="s">
        <v>244</v>
      </c>
      <c r="G490">
        <v>0</v>
      </c>
      <c r="H490">
        <v>81.099999999999994</v>
      </c>
      <c r="I490">
        <v>-3.65</v>
      </c>
      <c r="J490">
        <v>-727.94</v>
      </c>
      <c r="K490">
        <v>0</v>
      </c>
      <c r="L490">
        <v>0</v>
      </c>
      <c r="M490">
        <v>0</v>
      </c>
    </row>
    <row r="491" spans="1:13">
      <c r="A491">
        <v>5</v>
      </c>
      <c r="B491" t="s">
        <v>243</v>
      </c>
      <c r="C491">
        <v>15</v>
      </c>
      <c r="D491">
        <v>1</v>
      </c>
      <c r="E491">
        <v>0</v>
      </c>
      <c r="F491" t="s">
        <v>245</v>
      </c>
      <c r="G491">
        <v>2.8</v>
      </c>
      <c r="H491">
        <v>55.98</v>
      </c>
      <c r="I491">
        <v>-11.81</v>
      </c>
      <c r="J491">
        <v>-626.20000000000005</v>
      </c>
      <c r="K491">
        <v>0</v>
      </c>
      <c r="L491">
        <v>0</v>
      </c>
      <c r="M491">
        <v>0</v>
      </c>
    </row>
    <row r="492" spans="1:13">
      <c r="A492">
        <v>5</v>
      </c>
      <c r="B492" t="s">
        <v>243</v>
      </c>
      <c r="C492">
        <v>16</v>
      </c>
      <c r="D492">
        <v>1</v>
      </c>
      <c r="E492">
        <v>0</v>
      </c>
      <c r="F492" t="s">
        <v>244</v>
      </c>
      <c r="G492">
        <v>0</v>
      </c>
      <c r="H492">
        <v>55.98</v>
      </c>
      <c r="I492">
        <v>-11.81</v>
      </c>
      <c r="J492">
        <v>-626.20000000000005</v>
      </c>
      <c r="K492">
        <v>0</v>
      </c>
      <c r="L492">
        <v>0</v>
      </c>
      <c r="M492">
        <v>0</v>
      </c>
    </row>
    <row r="493" spans="1:13">
      <c r="A493">
        <v>5</v>
      </c>
      <c r="B493" t="s">
        <v>243</v>
      </c>
      <c r="C493">
        <v>16</v>
      </c>
      <c r="D493">
        <v>0</v>
      </c>
      <c r="E493">
        <v>1</v>
      </c>
      <c r="F493" t="s">
        <v>245</v>
      </c>
      <c r="G493">
        <v>8.16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-155.84</v>
      </c>
    </row>
    <row r="494" spans="1:13">
      <c r="A494">
        <v>5</v>
      </c>
      <c r="B494" t="s">
        <v>243</v>
      </c>
      <c r="C494">
        <v>17</v>
      </c>
      <c r="D494">
        <v>1</v>
      </c>
      <c r="E494">
        <v>0</v>
      </c>
      <c r="F494" t="s">
        <v>244</v>
      </c>
      <c r="G494">
        <v>0</v>
      </c>
      <c r="H494">
        <v>0</v>
      </c>
      <c r="I494">
        <v>0</v>
      </c>
      <c r="J494">
        <v>-155.84</v>
      </c>
      <c r="K494">
        <v>0</v>
      </c>
      <c r="L494">
        <v>0</v>
      </c>
      <c r="M494">
        <v>0</v>
      </c>
    </row>
    <row r="495" spans="1:13">
      <c r="A495">
        <v>5</v>
      </c>
      <c r="B495" t="s">
        <v>243</v>
      </c>
      <c r="C495">
        <v>17</v>
      </c>
      <c r="D495">
        <v>1</v>
      </c>
      <c r="E495">
        <v>0</v>
      </c>
      <c r="F495" t="s">
        <v>245</v>
      </c>
      <c r="G495">
        <v>1.5</v>
      </c>
      <c r="H495">
        <v>0</v>
      </c>
      <c r="I495">
        <v>0</v>
      </c>
      <c r="J495">
        <v>-75.38</v>
      </c>
      <c r="K495">
        <v>0</v>
      </c>
      <c r="L495">
        <v>0</v>
      </c>
      <c r="M495">
        <v>0</v>
      </c>
    </row>
    <row r="496" spans="1:13">
      <c r="A496">
        <v>5</v>
      </c>
      <c r="B496" t="s">
        <v>246</v>
      </c>
      <c r="C496">
        <v>1</v>
      </c>
      <c r="D496">
        <v>0</v>
      </c>
      <c r="E496">
        <v>1</v>
      </c>
      <c r="F496" t="s">
        <v>244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</row>
    <row r="497" spans="1:13">
      <c r="A497">
        <v>5</v>
      </c>
      <c r="B497" t="s">
        <v>246</v>
      </c>
      <c r="C497">
        <v>1</v>
      </c>
      <c r="D497">
        <v>0</v>
      </c>
      <c r="E497">
        <v>1</v>
      </c>
      <c r="F497" t="s">
        <v>245</v>
      </c>
      <c r="G497">
        <v>1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</row>
    <row r="498" spans="1:13">
      <c r="A498">
        <v>5</v>
      </c>
      <c r="B498" t="s">
        <v>246</v>
      </c>
      <c r="C498">
        <v>2</v>
      </c>
      <c r="D498">
        <v>1</v>
      </c>
      <c r="E498">
        <v>0</v>
      </c>
      <c r="F498" t="s">
        <v>244</v>
      </c>
      <c r="G498">
        <v>0</v>
      </c>
      <c r="H498">
        <v>189.92</v>
      </c>
      <c r="I498">
        <v>292.54000000000002</v>
      </c>
      <c r="J498">
        <v>57.1</v>
      </c>
      <c r="K498">
        <v>0</v>
      </c>
      <c r="L498">
        <v>0</v>
      </c>
      <c r="M498">
        <v>0</v>
      </c>
    </row>
    <row r="499" spans="1:13">
      <c r="A499">
        <v>5</v>
      </c>
      <c r="B499" t="s">
        <v>246</v>
      </c>
      <c r="C499">
        <v>2</v>
      </c>
      <c r="D499">
        <v>1</v>
      </c>
      <c r="E499">
        <v>0</v>
      </c>
      <c r="F499">
        <v>1</v>
      </c>
      <c r="G499">
        <v>2.2000000000000002</v>
      </c>
      <c r="H499">
        <v>833.5</v>
      </c>
      <c r="I499">
        <v>292.54000000000002</v>
      </c>
      <c r="J499">
        <v>57.1</v>
      </c>
      <c r="K499">
        <v>0</v>
      </c>
      <c r="L499">
        <v>0</v>
      </c>
      <c r="M499">
        <v>0</v>
      </c>
    </row>
    <row r="500" spans="1:13">
      <c r="A500">
        <v>5</v>
      </c>
      <c r="B500" t="s">
        <v>246</v>
      </c>
      <c r="C500">
        <v>2</v>
      </c>
      <c r="D500">
        <v>1</v>
      </c>
      <c r="E500">
        <v>0</v>
      </c>
      <c r="F500">
        <v>2</v>
      </c>
      <c r="G500">
        <v>2.2000000000000002</v>
      </c>
      <c r="H500">
        <v>833.5</v>
      </c>
      <c r="I500">
        <v>292.54000000000002</v>
      </c>
      <c r="J500">
        <v>57.1</v>
      </c>
      <c r="K500">
        <v>0</v>
      </c>
      <c r="L500">
        <v>0</v>
      </c>
      <c r="M500">
        <v>0</v>
      </c>
    </row>
    <row r="501" spans="1:13">
      <c r="A501">
        <v>5</v>
      </c>
      <c r="B501" t="s">
        <v>246</v>
      </c>
      <c r="C501">
        <v>2</v>
      </c>
      <c r="D501">
        <v>1</v>
      </c>
      <c r="E501">
        <v>0</v>
      </c>
      <c r="F501" t="s">
        <v>245</v>
      </c>
      <c r="G501">
        <v>3</v>
      </c>
      <c r="H501">
        <v>1067.53</v>
      </c>
      <c r="I501">
        <v>292.54000000000002</v>
      </c>
      <c r="J501">
        <v>57.1</v>
      </c>
      <c r="K501">
        <v>0</v>
      </c>
      <c r="L501">
        <v>0</v>
      </c>
      <c r="M501">
        <v>0</v>
      </c>
    </row>
    <row r="502" spans="1:13">
      <c r="A502">
        <v>5</v>
      </c>
      <c r="B502" t="s">
        <v>246</v>
      </c>
      <c r="C502">
        <v>3</v>
      </c>
      <c r="D502">
        <v>0</v>
      </c>
      <c r="E502">
        <v>1</v>
      </c>
      <c r="F502" t="s">
        <v>244</v>
      </c>
      <c r="G502">
        <v>0</v>
      </c>
      <c r="H502">
        <v>0</v>
      </c>
      <c r="I502">
        <v>0</v>
      </c>
      <c r="J502">
        <v>0</v>
      </c>
      <c r="K502">
        <v>1067.83</v>
      </c>
      <c r="L502">
        <v>-838.87</v>
      </c>
      <c r="M502">
        <v>-57.18</v>
      </c>
    </row>
    <row r="503" spans="1:13">
      <c r="A503">
        <v>5</v>
      </c>
      <c r="B503" t="s">
        <v>246</v>
      </c>
      <c r="C503">
        <v>3</v>
      </c>
      <c r="D503">
        <v>0</v>
      </c>
      <c r="E503">
        <v>1</v>
      </c>
      <c r="F503">
        <v>1</v>
      </c>
      <c r="G503">
        <v>0.8</v>
      </c>
      <c r="H503">
        <v>0</v>
      </c>
      <c r="I503">
        <v>0</v>
      </c>
      <c r="J503">
        <v>0</v>
      </c>
      <c r="K503">
        <v>396.73</v>
      </c>
      <c r="L503">
        <v>-838.87</v>
      </c>
      <c r="M503">
        <v>-57.18</v>
      </c>
    </row>
    <row r="504" spans="1:13">
      <c r="A504">
        <v>5</v>
      </c>
      <c r="B504" t="s">
        <v>246</v>
      </c>
      <c r="C504">
        <v>3</v>
      </c>
      <c r="D504">
        <v>0</v>
      </c>
      <c r="E504">
        <v>1</v>
      </c>
      <c r="F504">
        <v>2</v>
      </c>
      <c r="G504">
        <v>0.8</v>
      </c>
      <c r="H504">
        <v>0</v>
      </c>
      <c r="I504">
        <v>0</v>
      </c>
      <c r="J504">
        <v>0</v>
      </c>
      <c r="K504">
        <v>396.73</v>
      </c>
      <c r="L504">
        <v>-838.87</v>
      </c>
      <c r="M504">
        <v>-57.18</v>
      </c>
    </row>
    <row r="505" spans="1:13">
      <c r="A505">
        <v>5</v>
      </c>
      <c r="B505" t="s">
        <v>246</v>
      </c>
      <c r="C505">
        <v>3</v>
      </c>
      <c r="D505">
        <v>0</v>
      </c>
      <c r="E505">
        <v>1</v>
      </c>
      <c r="F505" t="s">
        <v>245</v>
      </c>
      <c r="G505">
        <v>1.5</v>
      </c>
      <c r="H505">
        <v>0</v>
      </c>
      <c r="I505">
        <v>0</v>
      </c>
      <c r="J505">
        <v>0</v>
      </c>
      <c r="K505">
        <v>-190.48</v>
      </c>
      <c r="L505">
        <v>-838.87</v>
      </c>
      <c r="M505">
        <v>-57.18</v>
      </c>
    </row>
    <row r="506" spans="1:13">
      <c r="A506">
        <v>5</v>
      </c>
      <c r="B506" t="s">
        <v>246</v>
      </c>
      <c r="C506">
        <v>4</v>
      </c>
      <c r="D506">
        <v>1</v>
      </c>
      <c r="E506">
        <v>0</v>
      </c>
      <c r="F506" t="s">
        <v>244</v>
      </c>
      <c r="G506">
        <v>0</v>
      </c>
      <c r="H506">
        <v>-189.92</v>
      </c>
      <c r="I506">
        <v>57.1</v>
      </c>
      <c r="J506">
        <v>-292.54000000000002</v>
      </c>
      <c r="K506">
        <v>0</v>
      </c>
      <c r="L506">
        <v>0</v>
      </c>
      <c r="M506">
        <v>0</v>
      </c>
    </row>
    <row r="507" spans="1:13">
      <c r="A507">
        <v>5</v>
      </c>
      <c r="B507" t="s">
        <v>246</v>
      </c>
      <c r="C507">
        <v>4</v>
      </c>
      <c r="D507">
        <v>1</v>
      </c>
      <c r="E507">
        <v>0</v>
      </c>
      <c r="F507" t="s">
        <v>245</v>
      </c>
      <c r="G507">
        <v>1</v>
      </c>
      <c r="H507">
        <v>-132.82</v>
      </c>
      <c r="I507">
        <v>57.1</v>
      </c>
      <c r="J507">
        <v>-292.54000000000002</v>
      </c>
      <c r="K507">
        <v>0</v>
      </c>
      <c r="L507">
        <v>0</v>
      </c>
      <c r="M507">
        <v>0</v>
      </c>
    </row>
    <row r="508" spans="1:13">
      <c r="A508">
        <v>5</v>
      </c>
      <c r="B508" t="s">
        <v>246</v>
      </c>
      <c r="C508">
        <v>5</v>
      </c>
      <c r="D508">
        <v>1</v>
      </c>
      <c r="E508">
        <v>0</v>
      </c>
      <c r="F508" t="s">
        <v>244</v>
      </c>
      <c r="G508">
        <v>0</v>
      </c>
      <c r="H508">
        <v>-132.82</v>
      </c>
      <c r="I508">
        <v>57.1</v>
      </c>
      <c r="J508">
        <v>-292.54000000000002</v>
      </c>
      <c r="K508">
        <v>0</v>
      </c>
      <c r="L508">
        <v>0</v>
      </c>
      <c r="M508">
        <v>0</v>
      </c>
    </row>
    <row r="509" spans="1:13">
      <c r="A509">
        <v>5</v>
      </c>
      <c r="B509" t="s">
        <v>246</v>
      </c>
      <c r="C509">
        <v>5</v>
      </c>
      <c r="D509">
        <v>1</v>
      </c>
      <c r="E509">
        <v>0</v>
      </c>
      <c r="F509" t="s">
        <v>245</v>
      </c>
      <c r="G509">
        <v>2.2400000000000002</v>
      </c>
      <c r="H509">
        <v>-4.92</v>
      </c>
      <c r="I509">
        <v>57.1</v>
      </c>
      <c r="J509">
        <v>-292.54000000000002</v>
      </c>
      <c r="K509">
        <v>0</v>
      </c>
      <c r="L509">
        <v>0</v>
      </c>
      <c r="M509">
        <v>0</v>
      </c>
    </row>
    <row r="510" spans="1:13">
      <c r="A510">
        <v>5</v>
      </c>
      <c r="B510" t="s">
        <v>246</v>
      </c>
      <c r="C510">
        <v>6</v>
      </c>
      <c r="D510">
        <v>1</v>
      </c>
      <c r="E510">
        <v>0</v>
      </c>
      <c r="F510" t="s">
        <v>244</v>
      </c>
      <c r="G510">
        <v>0</v>
      </c>
      <c r="H510">
        <v>-4.92</v>
      </c>
      <c r="I510">
        <v>57.1</v>
      </c>
      <c r="J510">
        <v>-292.54000000000002</v>
      </c>
      <c r="K510">
        <v>0</v>
      </c>
      <c r="L510">
        <v>0</v>
      </c>
      <c r="M510">
        <v>0</v>
      </c>
    </row>
    <row r="511" spans="1:13">
      <c r="A511">
        <v>5</v>
      </c>
      <c r="B511" t="s">
        <v>246</v>
      </c>
      <c r="C511">
        <v>6</v>
      </c>
      <c r="D511">
        <v>1</v>
      </c>
      <c r="E511">
        <v>0</v>
      </c>
      <c r="F511" t="s">
        <v>245</v>
      </c>
      <c r="G511">
        <v>3.6</v>
      </c>
      <c r="H511">
        <v>85.8</v>
      </c>
      <c r="I511">
        <v>0.9</v>
      </c>
      <c r="J511">
        <v>-259.81</v>
      </c>
      <c r="K511">
        <v>0</v>
      </c>
      <c r="L511">
        <v>0</v>
      </c>
      <c r="M511">
        <v>0</v>
      </c>
    </row>
    <row r="512" spans="1:13">
      <c r="A512">
        <v>5</v>
      </c>
      <c r="B512" t="s">
        <v>246</v>
      </c>
      <c r="C512">
        <v>7</v>
      </c>
      <c r="D512">
        <v>1</v>
      </c>
      <c r="E512">
        <v>0</v>
      </c>
      <c r="F512" t="s">
        <v>244</v>
      </c>
      <c r="G512">
        <v>0</v>
      </c>
      <c r="H512">
        <v>85.8</v>
      </c>
      <c r="I512">
        <v>0.9</v>
      </c>
      <c r="J512">
        <v>-259.81</v>
      </c>
      <c r="K512">
        <v>0</v>
      </c>
      <c r="L512">
        <v>0</v>
      </c>
      <c r="M512">
        <v>0</v>
      </c>
    </row>
    <row r="513" spans="1:13">
      <c r="A513">
        <v>5</v>
      </c>
      <c r="B513" t="s">
        <v>246</v>
      </c>
      <c r="C513">
        <v>7</v>
      </c>
      <c r="D513">
        <v>0</v>
      </c>
      <c r="E513">
        <v>1</v>
      </c>
      <c r="F513" t="s">
        <v>245</v>
      </c>
      <c r="G513">
        <v>2.7</v>
      </c>
      <c r="H513">
        <v>0</v>
      </c>
      <c r="I513">
        <v>0</v>
      </c>
      <c r="J513">
        <v>0</v>
      </c>
      <c r="K513">
        <v>81.08</v>
      </c>
      <c r="L513">
        <v>-3.67</v>
      </c>
      <c r="M513">
        <v>-253.85</v>
      </c>
    </row>
    <row r="514" spans="1:13">
      <c r="A514">
        <v>5</v>
      </c>
      <c r="B514" t="s">
        <v>246</v>
      </c>
      <c r="C514">
        <v>8</v>
      </c>
      <c r="D514">
        <v>0</v>
      </c>
      <c r="E514">
        <v>1</v>
      </c>
      <c r="F514" t="s">
        <v>244</v>
      </c>
      <c r="G514">
        <v>0</v>
      </c>
      <c r="H514">
        <v>0</v>
      </c>
      <c r="I514">
        <v>0</v>
      </c>
      <c r="J514">
        <v>0</v>
      </c>
      <c r="K514">
        <v>81.08</v>
      </c>
      <c r="L514">
        <v>-3.67</v>
      </c>
      <c r="M514">
        <v>-253.85</v>
      </c>
    </row>
    <row r="515" spans="1:13">
      <c r="A515">
        <v>5</v>
      </c>
      <c r="B515" t="s">
        <v>246</v>
      </c>
      <c r="C515">
        <v>8</v>
      </c>
      <c r="D515">
        <v>0</v>
      </c>
      <c r="E515">
        <v>1</v>
      </c>
      <c r="F515" t="s">
        <v>245</v>
      </c>
      <c r="G515">
        <v>2.8</v>
      </c>
      <c r="H515">
        <v>0</v>
      </c>
      <c r="I515">
        <v>0</v>
      </c>
      <c r="J515">
        <v>0</v>
      </c>
      <c r="K515">
        <v>55.93</v>
      </c>
      <c r="L515">
        <v>-11.82</v>
      </c>
      <c r="M515">
        <v>-218.37</v>
      </c>
    </row>
    <row r="516" spans="1:13">
      <c r="A516">
        <v>5</v>
      </c>
      <c r="B516" t="s">
        <v>246</v>
      </c>
      <c r="C516">
        <v>9</v>
      </c>
      <c r="D516">
        <v>0</v>
      </c>
      <c r="E516">
        <v>1</v>
      </c>
      <c r="F516" t="s">
        <v>244</v>
      </c>
      <c r="G516">
        <v>0</v>
      </c>
      <c r="H516">
        <v>0</v>
      </c>
      <c r="I516">
        <v>0</v>
      </c>
      <c r="J516">
        <v>0</v>
      </c>
      <c r="K516">
        <v>55.93</v>
      </c>
      <c r="L516">
        <v>-11.82</v>
      </c>
      <c r="M516">
        <v>-218.37</v>
      </c>
    </row>
    <row r="517" spans="1:13">
      <c r="A517">
        <v>5</v>
      </c>
      <c r="B517" t="s">
        <v>246</v>
      </c>
      <c r="C517">
        <v>9</v>
      </c>
      <c r="D517">
        <v>1</v>
      </c>
      <c r="E517">
        <v>0</v>
      </c>
      <c r="F517" t="s">
        <v>245</v>
      </c>
      <c r="G517">
        <v>8.16</v>
      </c>
      <c r="H517">
        <v>0</v>
      </c>
      <c r="I517">
        <v>0</v>
      </c>
      <c r="J517">
        <v>-54.35</v>
      </c>
      <c r="K517">
        <v>0</v>
      </c>
      <c r="L517">
        <v>0</v>
      </c>
      <c r="M517">
        <v>0</v>
      </c>
    </row>
    <row r="518" spans="1:13">
      <c r="A518">
        <v>5</v>
      </c>
      <c r="B518" t="s">
        <v>246</v>
      </c>
      <c r="C518">
        <v>10</v>
      </c>
      <c r="D518">
        <v>1</v>
      </c>
      <c r="E518">
        <v>0</v>
      </c>
      <c r="F518" t="s">
        <v>244</v>
      </c>
      <c r="G518">
        <v>0</v>
      </c>
      <c r="H518">
        <v>0</v>
      </c>
      <c r="I518">
        <v>0</v>
      </c>
      <c r="J518">
        <v>-54.35</v>
      </c>
      <c r="K518">
        <v>0</v>
      </c>
      <c r="L518">
        <v>0</v>
      </c>
      <c r="M518">
        <v>0</v>
      </c>
    </row>
    <row r="519" spans="1:13">
      <c r="A519">
        <v>5</v>
      </c>
      <c r="B519" t="s">
        <v>246</v>
      </c>
      <c r="C519">
        <v>10</v>
      </c>
      <c r="D519">
        <v>1</v>
      </c>
      <c r="E519">
        <v>0</v>
      </c>
      <c r="F519" t="s">
        <v>245</v>
      </c>
      <c r="G519">
        <v>1.5</v>
      </c>
      <c r="H519">
        <v>0</v>
      </c>
      <c r="I519">
        <v>0</v>
      </c>
      <c r="J519">
        <v>-26.29</v>
      </c>
      <c r="K519">
        <v>0</v>
      </c>
      <c r="L519">
        <v>0</v>
      </c>
      <c r="M519">
        <v>0</v>
      </c>
    </row>
    <row r="520" spans="1:13">
      <c r="A520">
        <v>5</v>
      </c>
      <c r="B520" t="s">
        <v>246</v>
      </c>
      <c r="C520">
        <v>11</v>
      </c>
      <c r="D520">
        <v>1</v>
      </c>
      <c r="E520">
        <v>0</v>
      </c>
      <c r="F520" t="s">
        <v>244</v>
      </c>
      <c r="G520">
        <v>0</v>
      </c>
      <c r="H520">
        <v>-190.48</v>
      </c>
      <c r="I520">
        <v>57.18</v>
      </c>
      <c r="J520">
        <v>-838.87</v>
      </c>
      <c r="K520">
        <v>0</v>
      </c>
      <c r="L520">
        <v>0</v>
      </c>
      <c r="M520">
        <v>0</v>
      </c>
    </row>
    <row r="521" spans="1:13">
      <c r="A521">
        <v>5</v>
      </c>
      <c r="B521" t="s">
        <v>246</v>
      </c>
      <c r="C521">
        <v>11</v>
      </c>
      <c r="D521">
        <v>1</v>
      </c>
      <c r="E521">
        <v>0</v>
      </c>
      <c r="F521" t="s">
        <v>245</v>
      </c>
      <c r="G521">
        <v>1</v>
      </c>
      <c r="H521">
        <v>-133.29</v>
      </c>
      <c r="I521">
        <v>57.18</v>
      </c>
      <c r="J521">
        <v>-838.87</v>
      </c>
      <c r="K521">
        <v>0</v>
      </c>
      <c r="L521">
        <v>0</v>
      </c>
      <c r="M521">
        <v>0</v>
      </c>
    </row>
    <row r="522" spans="1:13">
      <c r="A522">
        <v>5</v>
      </c>
      <c r="B522" t="s">
        <v>246</v>
      </c>
      <c r="C522">
        <v>12</v>
      </c>
      <c r="D522">
        <v>1</v>
      </c>
      <c r="E522">
        <v>0</v>
      </c>
      <c r="F522" t="s">
        <v>244</v>
      </c>
      <c r="G522">
        <v>0</v>
      </c>
      <c r="H522">
        <v>-133.29</v>
      </c>
      <c r="I522">
        <v>57.18</v>
      </c>
      <c r="J522">
        <v>-838.87</v>
      </c>
      <c r="K522">
        <v>0</v>
      </c>
      <c r="L522">
        <v>0</v>
      </c>
      <c r="M522">
        <v>0</v>
      </c>
    </row>
    <row r="523" spans="1:13">
      <c r="A523">
        <v>5</v>
      </c>
      <c r="B523" t="s">
        <v>246</v>
      </c>
      <c r="C523">
        <v>12</v>
      </c>
      <c r="D523">
        <v>1</v>
      </c>
      <c r="E523">
        <v>0</v>
      </c>
      <c r="F523" t="s">
        <v>245</v>
      </c>
      <c r="G523">
        <v>2.2400000000000002</v>
      </c>
      <c r="H523">
        <v>-5.2</v>
      </c>
      <c r="I523">
        <v>57.18</v>
      </c>
      <c r="J523">
        <v>-838.87</v>
      </c>
      <c r="K523">
        <v>0</v>
      </c>
      <c r="L523">
        <v>0</v>
      </c>
      <c r="M523">
        <v>0</v>
      </c>
    </row>
    <row r="524" spans="1:13">
      <c r="A524">
        <v>5</v>
      </c>
      <c r="B524" t="s">
        <v>246</v>
      </c>
      <c r="C524">
        <v>13</v>
      </c>
      <c r="D524">
        <v>1</v>
      </c>
      <c r="E524">
        <v>0</v>
      </c>
      <c r="F524" t="s">
        <v>244</v>
      </c>
      <c r="G524">
        <v>0</v>
      </c>
      <c r="H524">
        <v>-5.2</v>
      </c>
      <c r="I524">
        <v>57.18</v>
      </c>
      <c r="J524">
        <v>-838.87</v>
      </c>
      <c r="K524">
        <v>0</v>
      </c>
      <c r="L524">
        <v>0</v>
      </c>
      <c r="M524">
        <v>0</v>
      </c>
    </row>
    <row r="525" spans="1:13">
      <c r="A525">
        <v>5</v>
      </c>
      <c r="B525" t="s">
        <v>246</v>
      </c>
      <c r="C525">
        <v>13</v>
      </c>
      <c r="D525">
        <v>1</v>
      </c>
      <c r="E525">
        <v>0</v>
      </c>
      <c r="F525" t="s">
        <v>245</v>
      </c>
      <c r="G525">
        <v>3.6</v>
      </c>
      <c r="H525">
        <v>85.74</v>
      </c>
      <c r="I525">
        <v>0.94</v>
      </c>
      <c r="J525">
        <v>-745.02</v>
      </c>
      <c r="K525">
        <v>0</v>
      </c>
      <c r="L525">
        <v>0</v>
      </c>
      <c r="M525">
        <v>0</v>
      </c>
    </row>
    <row r="526" spans="1:13">
      <c r="A526">
        <v>5</v>
      </c>
      <c r="B526" t="s">
        <v>246</v>
      </c>
      <c r="C526">
        <v>14</v>
      </c>
      <c r="D526">
        <v>1</v>
      </c>
      <c r="E526">
        <v>0</v>
      </c>
      <c r="F526" t="s">
        <v>244</v>
      </c>
      <c r="G526">
        <v>0</v>
      </c>
      <c r="H526">
        <v>85.74</v>
      </c>
      <c r="I526">
        <v>0.94</v>
      </c>
      <c r="J526">
        <v>-745.02</v>
      </c>
      <c r="K526">
        <v>0</v>
      </c>
      <c r="L526">
        <v>0</v>
      </c>
      <c r="M526">
        <v>0</v>
      </c>
    </row>
    <row r="527" spans="1:13">
      <c r="A527">
        <v>5</v>
      </c>
      <c r="B527" t="s">
        <v>246</v>
      </c>
      <c r="C527">
        <v>14</v>
      </c>
      <c r="D527">
        <v>0</v>
      </c>
      <c r="E527">
        <v>1</v>
      </c>
      <c r="F527" t="s">
        <v>245</v>
      </c>
      <c r="G527">
        <v>2.7</v>
      </c>
      <c r="H527">
        <v>0</v>
      </c>
      <c r="I527">
        <v>0</v>
      </c>
      <c r="J527">
        <v>0</v>
      </c>
      <c r="K527">
        <v>81.099999999999994</v>
      </c>
      <c r="L527">
        <v>-3.65</v>
      </c>
      <c r="M527">
        <v>-727.94</v>
      </c>
    </row>
    <row r="528" spans="1:13">
      <c r="A528">
        <v>5</v>
      </c>
      <c r="B528" t="s">
        <v>246</v>
      </c>
      <c r="C528">
        <v>15</v>
      </c>
      <c r="D528">
        <v>0</v>
      </c>
      <c r="E528">
        <v>1</v>
      </c>
      <c r="F528" t="s">
        <v>244</v>
      </c>
      <c r="G528">
        <v>0</v>
      </c>
      <c r="H528">
        <v>0</v>
      </c>
      <c r="I528">
        <v>0</v>
      </c>
      <c r="J528">
        <v>0</v>
      </c>
      <c r="K528">
        <v>81.099999999999994</v>
      </c>
      <c r="L528">
        <v>-3.65</v>
      </c>
      <c r="M528">
        <v>-727.94</v>
      </c>
    </row>
    <row r="529" spans="1:13">
      <c r="A529">
        <v>5</v>
      </c>
      <c r="B529" t="s">
        <v>246</v>
      </c>
      <c r="C529">
        <v>15</v>
      </c>
      <c r="D529">
        <v>0</v>
      </c>
      <c r="E529">
        <v>1</v>
      </c>
      <c r="F529" t="s">
        <v>245</v>
      </c>
      <c r="G529">
        <v>2.8</v>
      </c>
      <c r="H529">
        <v>0</v>
      </c>
      <c r="I529">
        <v>0</v>
      </c>
      <c r="J529">
        <v>0</v>
      </c>
      <c r="K529">
        <v>55.98</v>
      </c>
      <c r="L529">
        <v>-11.81</v>
      </c>
      <c r="M529">
        <v>-626.20000000000005</v>
      </c>
    </row>
    <row r="530" spans="1:13">
      <c r="A530">
        <v>5</v>
      </c>
      <c r="B530" t="s">
        <v>246</v>
      </c>
      <c r="C530">
        <v>16</v>
      </c>
      <c r="D530">
        <v>0</v>
      </c>
      <c r="E530">
        <v>1</v>
      </c>
      <c r="F530" t="s">
        <v>244</v>
      </c>
      <c r="G530">
        <v>0</v>
      </c>
      <c r="H530">
        <v>0</v>
      </c>
      <c r="I530">
        <v>0</v>
      </c>
      <c r="J530">
        <v>0</v>
      </c>
      <c r="K530">
        <v>55.98</v>
      </c>
      <c r="L530">
        <v>-11.81</v>
      </c>
      <c r="M530">
        <v>-626.20000000000005</v>
      </c>
    </row>
    <row r="531" spans="1:13">
      <c r="A531">
        <v>5</v>
      </c>
      <c r="B531" t="s">
        <v>246</v>
      </c>
      <c r="C531">
        <v>16</v>
      </c>
      <c r="D531">
        <v>1</v>
      </c>
      <c r="E531">
        <v>0</v>
      </c>
      <c r="F531" t="s">
        <v>245</v>
      </c>
      <c r="G531">
        <v>8.16</v>
      </c>
      <c r="H531">
        <v>0</v>
      </c>
      <c r="I531">
        <v>0</v>
      </c>
      <c r="J531">
        <v>-155.84</v>
      </c>
      <c r="K531">
        <v>0</v>
      </c>
      <c r="L531">
        <v>0</v>
      </c>
      <c r="M531">
        <v>0</v>
      </c>
    </row>
    <row r="532" spans="1:13">
      <c r="A532">
        <v>5</v>
      </c>
      <c r="B532" t="s">
        <v>246</v>
      </c>
      <c r="C532">
        <v>17</v>
      </c>
      <c r="D532">
        <v>1</v>
      </c>
      <c r="E532">
        <v>0</v>
      </c>
      <c r="F532" t="s">
        <v>244</v>
      </c>
      <c r="G532">
        <v>0</v>
      </c>
      <c r="H532">
        <v>0</v>
      </c>
      <c r="I532">
        <v>0</v>
      </c>
      <c r="J532">
        <v>-155.84</v>
      </c>
      <c r="K532">
        <v>0</v>
      </c>
      <c r="L532">
        <v>0</v>
      </c>
      <c r="M532">
        <v>0</v>
      </c>
    </row>
    <row r="533" spans="1:13">
      <c r="A533">
        <v>5</v>
      </c>
      <c r="B533" t="s">
        <v>246</v>
      </c>
      <c r="C533">
        <v>17</v>
      </c>
      <c r="D533">
        <v>1</v>
      </c>
      <c r="E533">
        <v>0</v>
      </c>
      <c r="F533" t="s">
        <v>245</v>
      </c>
      <c r="G533">
        <v>1.5</v>
      </c>
      <c r="H533">
        <v>0</v>
      </c>
      <c r="I533">
        <v>0</v>
      </c>
      <c r="J533">
        <v>-75.38</v>
      </c>
      <c r="K533">
        <v>0</v>
      </c>
      <c r="L533">
        <v>0</v>
      </c>
      <c r="M533">
        <v>0</v>
      </c>
    </row>
    <row r="534" spans="1:13">
      <c r="A534">
        <v>5</v>
      </c>
      <c r="B534" t="s">
        <v>247</v>
      </c>
      <c r="C534">
        <v>1</v>
      </c>
      <c r="D534">
        <v>0</v>
      </c>
      <c r="E534">
        <v>0</v>
      </c>
      <c r="F534" t="s">
        <v>244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</row>
    <row r="535" spans="1:13">
      <c r="A535">
        <v>5</v>
      </c>
      <c r="B535" t="s">
        <v>247</v>
      </c>
      <c r="C535">
        <v>1</v>
      </c>
      <c r="D535">
        <v>0</v>
      </c>
      <c r="E535">
        <v>0</v>
      </c>
      <c r="F535" t="s">
        <v>245</v>
      </c>
      <c r="G535">
        <v>1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</row>
    <row r="536" spans="1:13">
      <c r="A536">
        <v>5</v>
      </c>
      <c r="B536" t="s">
        <v>247</v>
      </c>
      <c r="C536">
        <v>2</v>
      </c>
      <c r="D536">
        <v>1</v>
      </c>
      <c r="E536">
        <v>0</v>
      </c>
      <c r="F536" t="s">
        <v>244</v>
      </c>
      <c r="G536">
        <v>0</v>
      </c>
      <c r="H536">
        <v>189.92</v>
      </c>
      <c r="I536">
        <v>292.54000000000002</v>
      </c>
      <c r="J536">
        <v>57.1</v>
      </c>
      <c r="K536">
        <v>0</v>
      </c>
      <c r="L536">
        <v>0</v>
      </c>
      <c r="M536">
        <v>0</v>
      </c>
    </row>
    <row r="537" spans="1:13">
      <c r="A537">
        <v>5</v>
      </c>
      <c r="B537" t="s">
        <v>247</v>
      </c>
      <c r="C537">
        <v>2</v>
      </c>
      <c r="D537">
        <v>1</v>
      </c>
      <c r="E537">
        <v>0</v>
      </c>
      <c r="F537">
        <v>1</v>
      </c>
      <c r="G537">
        <v>2.2000000000000002</v>
      </c>
      <c r="H537">
        <v>833.5</v>
      </c>
      <c r="I537">
        <v>292.54000000000002</v>
      </c>
      <c r="J537">
        <v>57.1</v>
      </c>
      <c r="K537">
        <v>0</v>
      </c>
      <c r="L537">
        <v>0</v>
      </c>
      <c r="M537">
        <v>0</v>
      </c>
    </row>
    <row r="538" spans="1:13">
      <c r="A538">
        <v>5</v>
      </c>
      <c r="B538" t="s">
        <v>247</v>
      </c>
      <c r="C538">
        <v>2</v>
      </c>
      <c r="D538">
        <v>1</v>
      </c>
      <c r="E538">
        <v>0</v>
      </c>
      <c r="F538">
        <v>2</v>
      </c>
      <c r="G538">
        <v>2.2000000000000002</v>
      </c>
      <c r="H538">
        <v>833.5</v>
      </c>
      <c r="I538">
        <v>292.54000000000002</v>
      </c>
      <c r="J538">
        <v>57.1</v>
      </c>
      <c r="K538">
        <v>0</v>
      </c>
      <c r="L538">
        <v>0</v>
      </c>
      <c r="M538">
        <v>0</v>
      </c>
    </row>
    <row r="539" spans="1:13">
      <c r="A539">
        <v>5</v>
      </c>
      <c r="B539" t="s">
        <v>247</v>
      </c>
      <c r="C539">
        <v>2</v>
      </c>
      <c r="D539">
        <v>1</v>
      </c>
      <c r="E539">
        <v>0</v>
      </c>
      <c r="F539" t="s">
        <v>245</v>
      </c>
      <c r="G539">
        <v>3</v>
      </c>
      <c r="H539">
        <v>1067.53</v>
      </c>
      <c r="I539">
        <v>292.54000000000002</v>
      </c>
      <c r="J539">
        <v>57.1</v>
      </c>
      <c r="K539">
        <v>0</v>
      </c>
      <c r="L539">
        <v>0</v>
      </c>
      <c r="M539">
        <v>0</v>
      </c>
    </row>
    <row r="540" spans="1:13">
      <c r="A540">
        <v>5</v>
      </c>
      <c r="B540" t="s">
        <v>247</v>
      </c>
      <c r="C540">
        <v>3</v>
      </c>
      <c r="D540">
        <v>0</v>
      </c>
      <c r="E540">
        <v>1</v>
      </c>
      <c r="F540" t="s">
        <v>244</v>
      </c>
      <c r="G540">
        <v>0</v>
      </c>
      <c r="H540">
        <v>0</v>
      </c>
      <c r="I540">
        <v>0</v>
      </c>
      <c r="J540">
        <v>0</v>
      </c>
      <c r="K540">
        <v>1067.83</v>
      </c>
      <c r="L540">
        <v>-838.87</v>
      </c>
      <c r="M540">
        <v>-57.18</v>
      </c>
    </row>
    <row r="541" spans="1:13">
      <c r="A541">
        <v>5</v>
      </c>
      <c r="B541" t="s">
        <v>247</v>
      </c>
      <c r="C541">
        <v>3</v>
      </c>
      <c r="D541">
        <v>0</v>
      </c>
      <c r="E541">
        <v>1</v>
      </c>
      <c r="F541">
        <v>1</v>
      </c>
      <c r="G541">
        <v>0.8</v>
      </c>
      <c r="H541">
        <v>0</v>
      </c>
      <c r="I541">
        <v>0</v>
      </c>
      <c r="J541">
        <v>0</v>
      </c>
      <c r="K541">
        <v>396.73</v>
      </c>
      <c r="L541">
        <v>-838.87</v>
      </c>
      <c r="M541">
        <v>-57.18</v>
      </c>
    </row>
    <row r="542" spans="1:13">
      <c r="A542">
        <v>5</v>
      </c>
      <c r="B542" t="s">
        <v>247</v>
      </c>
      <c r="C542">
        <v>3</v>
      </c>
      <c r="D542">
        <v>0</v>
      </c>
      <c r="E542">
        <v>1</v>
      </c>
      <c r="F542">
        <v>2</v>
      </c>
      <c r="G542">
        <v>0.8</v>
      </c>
      <c r="H542">
        <v>0</v>
      </c>
      <c r="I542">
        <v>0</v>
      </c>
      <c r="J542">
        <v>0</v>
      </c>
      <c r="K542">
        <v>396.73</v>
      </c>
      <c r="L542">
        <v>-838.87</v>
      </c>
      <c r="M542">
        <v>-57.18</v>
      </c>
    </row>
    <row r="543" spans="1:13">
      <c r="A543">
        <v>5</v>
      </c>
      <c r="B543" t="s">
        <v>247</v>
      </c>
      <c r="C543">
        <v>3</v>
      </c>
      <c r="D543">
        <v>0</v>
      </c>
      <c r="E543">
        <v>1</v>
      </c>
      <c r="F543" t="s">
        <v>245</v>
      </c>
      <c r="G543">
        <v>1.5</v>
      </c>
      <c r="H543">
        <v>0</v>
      </c>
      <c r="I543">
        <v>0</v>
      </c>
      <c r="J543">
        <v>0</v>
      </c>
      <c r="K543">
        <v>-190.48</v>
      </c>
      <c r="L543">
        <v>-838.87</v>
      </c>
      <c r="M543">
        <v>-57.18</v>
      </c>
    </row>
    <row r="544" spans="1:13">
      <c r="A544">
        <v>5</v>
      </c>
      <c r="B544" t="s">
        <v>247</v>
      </c>
      <c r="C544">
        <v>4</v>
      </c>
      <c r="D544">
        <v>0</v>
      </c>
      <c r="E544">
        <v>1</v>
      </c>
      <c r="F544" t="s">
        <v>244</v>
      </c>
      <c r="G544">
        <v>0</v>
      </c>
      <c r="H544">
        <v>0</v>
      </c>
      <c r="I544">
        <v>0</v>
      </c>
      <c r="J544">
        <v>0</v>
      </c>
      <c r="K544">
        <v>-189.92</v>
      </c>
      <c r="L544">
        <v>57.1</v>
      </c>
      <c r="M544">
        <v>-292.54000000000002</v>
      </c>
    </row>
    <row r="545" spans="1:13">
      <c r="A545">
        <v>5</v>
      </c>
      <c r="B545" t="s">
        <v>247</v>
      </c>
      <c r="C545">
        <v>4</v>
      </c>
      <c r="D545">
        <v>0</v>
      </c>
      <c r="E545">
        <v>1</v>
      </c>
      <c r="F545" t="s">
        <v>245</v>
      </c>
      <c r="G545">
        <v>1</v>
      </c>
      <c r="H545">
        <v>0</v>
      </c>
      <c r="I545">
        <v>0</v>
      </c>
      <c r="J545">
        <v>0</v>
      </c>
      <c r="K545">
        <v>-132.82</v>
      </c>
      <c r="L545">
        <v>57.1</v>
      </c>
      <c r="M545">
        <v>-292.54000000000002</v>
      </c>
    </row>
    <row r="546" spans="1:13">
      <c r="A546">
        <v>5</v>
      </c>
      <c r="B546" t="s">
        <v>247</v>
      </c>
      <c r="C546">
        <v>5</v>
      </c>
      <c r="D546">
        <v>0</v>
      </c>
      <c r="E546">
        <v>1</v>
      </c>
      <c r="F546" t="s">
        <v>244</v>
      </c>
      <c r="G546">
        <v>0</v>
      </c>
      <c r="H546">
        <v>0</v>
      </c>
      <c r="I546">
        <v>0</v>
      </c>
      <c r="J546">
        <v>0</v>
      </c>
      <c r="K546">
        <v>-132.82</v>
      </c>
      <c r="L546">
        <v>57.1</v>
      </c>
      <c r="M546">
        <v>-292.54000000000002</v>
      </c>
    </row>
    <row r="547" spans="1:13">
      <c r="A547">
        <v>5</v>
      </c>
      <c r="B547" t="s">
        <v>247</v>
      </c>
      <c r="C547">
        <v>5</v>
      </c>
      <c r="D547">
        <v>0</v>
      </c>
      <c r="E547">
        <v>1</v>
      </c>
      <c r="F547" t="s">
        <v>245</v>
      </c>
      <c r="G547">
        <v>2.2400000000000002</v>
      </c>
      <c r="H547">
        <v>0</v>
      </c>
      <c r="I547">
        <v>0</v>
      </c>
      <c r="J547">
        <v>0</v>
      </c>
      <c r="K547">
        <v>-4.92</v>
      </c>
      <c r="L547">
        <v>57.1</v>
      </c>
      <c r="M547">
        <v>-292.54000000000002</v>
      </c>
    </row>
    <row r="548" spans="1:13">
      <c r="A548">
        <v>5</v>
      </c>
      <c r="B548" t="s">
        <v>247</v>
      </c>
      <c r="C548">
        <v>6</v>
      </c>
      <c r="D548">
        <v>0</v>
      </c>
      <c r="E548">
        <v>1</v>
      </c>
      <c r="F548" t="s">
        <v>244</v>
      </c>
      <c r="G548">
        <v>0</v>
      </c>
      <c r="H548">
        <v>0</v>
      </c>
      <c r="I548">
        <v>0</v>
      </c>
      <c r="J548">
        <v>0</v>
      </c>
      <c r="K548">
        <v>-4.92</v>
      </c>
      <c r="L548">
        <v>57.1</v>
      </c>
      <c r="M548">
        <v>-292.54000000000002</v>
      </c>
    </row>
    <row r="549" spans="1:13">
      <c r="A549">
        <v>5</v>
      </c>
      <c r="B549" t="s">
        <v>247</v>
      </c>
      <c r="C549">
        <v>6</v>
      </c>
      <c r="D549">
        <v>0</v>
      </c>
      <c r="E549">
        <v>1</v>
      </c>
      <c r="F549" t="s">
        <v>245</v>
      </c>
      <c r="G549">
        <v>3.6</v>
      </c>
      <c r="H549">
        <v>0</v>
      </c>
      <c r="I549">
        <v>0</v>
      </c>
      <c r="J549">
        <v>0</v>
      </c>
      <c r="K549">
        <v>85.8</v>
      </c>
      <c r="L549">
        <v>0.9</v>
      </c>
      <c r="M549">
        <v>-259.81</v>
      </c>
    </row>
    <row r="550" spans="1:13">
      <c r="A550">
        <v>5</v>
      </c>
      <c r="B550" t="s">
        <v>247</v>
      </c>
      <c r="C550">
        <v>7</v>
      </c>
      <c r="D550">
        <v>0</v>
      </c>
      <c r="E550">
        <v>1</v>
      </c>
      <c r="F550" t="s">
        <v>244</v>
      </c>
      <c r="G550">
        <v>0</v>
      </c>
      <c r="H550">
        <v>0</v>
      </c>
      <c r="I550">
        <v>0</v>
      </c>
      <c r="J550">
        <v>0</v>
      </c>
      <c r="K550">
        <v>85.8</v>
      </c>
      <c r="L550">
        <v>0.9</v>
      </c>
      <c r="M550">
        <v>-259.81</v>
      </c>
    </row>
    <row r="551" spans="1:13">
      <c r="A551">
        <v>5</v>
      </c>
      <c r="B551" t="s">
        <v>247</v>
      </c>
      <c r="C551">
        <v>7</v>
      </c>
      <c r="D551">
        <v>0</v>
      </c>
      <c r="E551">
        <v>1</v>
      </c>
      <c r="F551" t="s">
        <v>245</v>
      </c>
      <c r="G551">
        <v>2.7</v>
      </c>
      <c r="H551">
        <v>0</v>
      </c>
      <c r="I551">
        <v>0</v>
      </c>
      <c r="J551">
        <v>0</v>
      </c>
      <c r="K551">
        <v>81.08</v>
      </c>
      <c r="L551">
        <v>-3.67</v>
      </c>
      <c r="M551">
        <v>-253.85</v>
      </c>
    </row>
    <row r="552" spans="1:13">
      <c r="A552">
        <v>5</v>
      </c>
      <c r="B552" t="s">
        <v>247</v>
      </c>
      <c r="C552">
        <v>8</v>
      </c>
      <c r="D552">
        <v>0</v>
      </c>
      <c r="E552">
        <v>1</v>
      </c>
      <c r="F552" t="s">
        <v>244</v>
      </c>
      <c r="G552">
        <v>0</v>
      </c>
      <c r="H552">
        <v>0</v>
      </c>
      <c r="I552">
        <v>0</v>
      </c>
      <c r="J552">
        <v>0</v>
      </c>
      <c r="K552">
        <v>81.08</v>
      </c>
      <c r="L552">
        <v>-3.67</v>
      </c>
      <c r="M552">
        <v>-253.85</v>
      </c>
    </row>
    <row r="553" spans="1:13">
      <c r="A553">
        <v>5</v>
      </c>
      <c r="B553" t="s">
        <v>247</v>
      </c>
      <c r="C553">
        <v>8</v>
      </c>
      <c r="D553">
        <v>0</v>
      </c>
      <c r="E553">
        <v>1</v>
      </c>
      <c r="F553" t="s">
        <v>245</v>
      </c>
      <c r="G553">
        <v>2.8</v>
      </c>
      <c r="H553">
        <v>0</v>
      </c>
      <c r="I553">
        <v>0</v>
      </c>
      <c r="J553">
        <v>0</v>
      </c>
      <c r="K553">
        <v>55.93</v>
      </c>
      <c r="L553">
        <v>-11.82</v>
      </c>
      <c r="M553">
        <v>-218.37</v>
      </c>
    </row>
    <row r="554" spans="1:13">
      <c r="A554">
        <v>5</v>
      </c>
      <c r="B554" t="s">
        <v>247</v>
      </c>
      <c r="C554">
        <v>9</v>
      </c>
      <c r="D554">
        <v>0</v>
      </c>
      <c r="E554">
        <v>1</v>
      </c>
      <c r="F554" t="s">
        <v>244</v>
      </c>
      <c r="G554">
        <v>0</v>
      </c>
      <c r="H554">
        <v>0</v>
      </c>
      <c r="I554">
        <v>0</v>
      </c>
      <c r="J554">
        <v>0</v>
      </c>
      <c r="K554">
        <v>55.93</v>
      </c>
      <c r="L554">
        <v>-11.82</v>
      </c>
      <c r="M554">
        <v>-218.37</v>
      </c>
    </row>
    <row r="555" spans="1:13">
      <c r="A555">
        <v>5</v>
      </c>
      <c r="B555" t="s">
        <v>247</v>
      </c>
      <c r="C555">
        <v>9</v>
      </c>
      <c r="D555">
        <v>0</v>
      </c>
      <c r="E555">
        <v>1</v>
      </c>
      <c r="F555" t="s">
        <v>245</v>
      </c>
      <c r="G555">
        <v>8.16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-54.35</v>
      </c>
    </row>
    <row r="556" spans="1:13">
      <c r="A556">
        <v>5</v>
      </c>
      <c r="B556" t="s">
        <v>247</v>
      </c>
      <c r="C556">
        <v>10</v>
      </c>
      <c r="D556">
        <v>0</v>
      </c>
      <c r="E556">
        <v>1</v>
      </c>
      <c r="F556" t="s">
        <v>244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-54.35</v>
      </c>
    </row>
    <row r="557" spans="1:13">
      <c r="A557">
        <v>5</v>
      </c>
      <c r="B557" t="s">
        <v>247</v>
      </c>
      <c r="C557">
        <v>10</v>
      </c>
      <c r="D557">
        <v>0</v>
      </c>
      <c r="E557">
        <v>1</v>
      </c>
      <c r="F557" t="s">
        <v>245</v>
      </c>
      <c r="G557">
        <v>1.5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-26.29</v>
      </c>
    </row>
    <row r="558" spans="1:13">
      <c r="A558">
        <v>5</v>
      </c>
      <c r="B558" t="s">
        <v>247</v>
      </c>
      <c r="C558">
        <v>11</v>
      </c>
      <c r="D558">
        <v>0</v>
      </c>
      <c r="E558">
        <v>1</v>
      </c>
      <c r="F558" t="s">
        <v>244</v>
      </c>
      <c r="G558">
        <v>0</v>
      </c>
      <c r="H558">
        <v>0</v>
      </c>
      <c r="I558">
        <v>0</v>
      </c>
      <c r="J558">
        <v>0</v>
      </c>
      <c r="K558">
        <v>-190.48</v>
      </c>
      <c r="L558">
        <v>57.18</v>
      </c>
      <c r="M558">
        <v>-838.87</v>
      </c>
    </row>
    <row r="559" spans="1:13">
      <c r="A559">
        <v>5</v>
      </c>
      <c r="B559" t="s">
        <v>247</v>
      </c>
      <c r="C559">
        <v>11</v>
      </c>
      <c r="D559">
        <v>0</v>
      </c>
      <c r="E559">
        <v>1</v>
      </c>
      <c r="F559" t="s">
        <v>245</v>
      </c>
      <c r="G559">
        <v>1</v>
      </c>
      <c r="H559">
        <v>0</v>
      </c>
      <c r="I559">
        <v>0</v>
      </c>
      <c r="J559">
        <v>0</v>
      </c>
      <c r="K559">
        <v>-133.29</v>
      </c>
      <c r="L559">
        <v>57.18</v>
      </c>
      <c r="M559">
        <v>-838.87</v>
      </c>
    </row>
    <row r="560" spans="1:13">
      <c r="A560">
        <v>5</v>
      </c>
      <c r="B560" t="s">
        <v>247</v>
      </c>
      <c r="C560">
        <v>12</v>
      </c>
      <c r="D560">
        <v>0</v>
      </c>
      <c r="E560">
        <v>1</v>
      </c>
      <c r="F560" t="s">
        <v>244</v>
      </c>
      <c r="G560">
        <v>0</v>
      </c>
      <c r="H560">
        <v>0</v>
      </c>
      <c r="I560">
        <v>0</v>
      </c>
      <c r="J560">
        <v>0</v>
      </c>
      <c r="K560">
        <v>-133.29</v>
      </c>
      <c r="L560">
        <v>57.18</v>
      </c>
      <c r="M560">
        <v>-838.87</v>
      </c>
    </row>
    <row r="561" spans="1:13">
      <c r="A561">
        <v>5</v>
      </c>
      <c r="B561" t="s">
        <v>247</v>
      </c>
      <c r="C561">
        <v>12</v>
      </c>
      <c r="D561">
        <v>0</v>
      </c>
      <c r="E561">
        <v>1</v>
      </c>
      <c r="F561" t="s">
        <v>245</v>
      </c>
      <c r="G561">
        <v>2.2400000000000002</v>
      </c>
      <c r="H561">
        <v>0</v>
      </c>
      <c r="I561">
        <v>0</v>
      </c>
      <c r="J561">
        <v>0</v>
      </c>
      <c r="K561">
        <v>-5.2</v>
      </c>
      <c r="L561">
        <v>57.18</v>
      </c>
      <c r="M561">
        <v>-838.87</v>
      </c>
    </row>
    <row r="562" spans="1:13">
      <c r="A562">
        <v>5</v>
      </c>
      <c r="B562" t="s">
        <v>247</v>
      </c>
      <c r="C562">
        <v>13</v>
      </c>
      <c r="D562">
        <v>0</v>
      </c>
      <c r="E562">
        <v>1</v>
      </c>
      <c r="F562" t="s">
        <v>244</v>
      </c>
      <c r="G562">
        <v>0</v>
      </c>
      <c r="H562">
        <v>0</v>
      </c>
      <c r="I562">
        <v>0</v>
      </c>
      <c r="J562">
        <v>0</v>
      </c>
      <c r="K562">
        <v>-5.2</v>
      </c>
      <c r="L562">
        <v>57.18</v>
      </c>
      <c r="M562">
        <v>-838.87</v>
      </c>
    </row>
    <row r="563" spans="1:13">
      <c r="A563">
        <v>5</v>
      </c>
      <c r="B563" t="s">
        <v>247</v>
      </c>
      <c r="C563">
        <v>13</v>
      </c>
      <c r="D563">
        <v>0</v>
      </c>
      <c r="E563">
        <v>1</v>
      </c>
      <c r="F563" t="s">
        <v>245</v>
      </c>
      <c r="G563">
        <v>3.6</v>
      </c>
      <c r="H563">
        <v>0</v>
      </c>
      <c r="I563">
        <v>0</v>
      </c>
      <c r="J563">
        <v>0</v>
      </c>
      <c r="K563">
        <v>85.74</v>
      </c>
      <c r="L563">
        <v>0.94</v>
      </c>
      <c r="M563">
        <v>-745.02</v>
      </c>
    </row>
    <row r="564" spans="1:13">
      <c r="A564">
        <v>5</v>
      </c>
      <c r="B564" t="s">
        <v>247</v>
      </c>
      <c r="C564">
        <v>14</v>
      </c>
      <c r="D564">
        <v>0</v>
      </c>
      <c r="E564">
        <v>1</v>
      </c>
      <c r="F564" t="s">
        <v>244</v>
      </c>
      <c r="G564">
        <v>0</v>
      </c>
      <c r="H564">
        <v>0</v>
      </c>
      <c r="I564">
        <v>0</v>
      </c>
      <c r="J564">
        <v>0</v>
      </c>
      <c r="K564">
        <v>85.74</v>
      </c>
      <c r="L564">
        <v>0.94</v>
      </c>
      <c r="M564">
        <v>-745.02</v>
      </c>
    </row>
    <row r="565" spans="1:13">
      <c r="A565">
        <v>5</v>
      </c>
      <c r="B565" t="s">
        <v>247</v>
      </c>
      <c r="C565">
        <v>14</v>
      </c>
      <c r="D565">
        <v>0</v>
      </c>
      <c r="E565">
        <v>1</v>
      </c>
      <c r="F565" t="s">
        <v>245</v>
      </c>
      <c r="G565">
        <v>2.7</v>
      </c>
      <c r="H565">
        <v>0</v>
      </c>
      <c r="I565">
        <v>0</v>
      </c>
      <c r="J565">
        <v>0</v>
      </c>
      <c r="K565">
        <v>81.099999999999994</v>
      </c>
      <c r="L565">
        <v>-3.65</v>
      </c>
      <c r="M565">
        <v>-727.94</v>
      </c>
    </row>
    <row r="566" spans="1:13">
      <c r="A566">
        <v>5</v>
      </c>
      <c r="B566" t="s">
        <v>247</v>
      </c>
      <c r="C566">
        <v>15</v>
      </c>
      <c r="D566">
        <v>0</v>
      </c>
      <c r="E566">
        <v>1</v>
      </c>
      <c r="F566" t="s">
        <v>244</v>
      </c>
      <c r="G566">
        <v>0</v>
      </c>
      <c r="H566">
        <v>0</v>
      </c>
      <c r="I566">
        <v>0</v>
      </c>
      <c r="J566">
        <v>0</v>
      </c>
      <c r="K566">
        <v>81.099999999999994</v>
      </c>
      <c r="L566">
        <v>-3.65</v>
      </c>
      <c r="M566">
        <v>-727.94</v>
      </c>
    </row>
    <row r="567" spans="1:13">
      <c r="A567">
        <v>5</v>
      </c>
      <c r="B567" t="s">
        <v>247</v>
      </c>
      <c r="C567">
        <v>15</v>
      </c>
      <c r="D567">
        <v>0</v>
      </c>
      <c r="E567">
        <v>1</v>
      </c>
      <c r="F567" t="s">
        <v>245</v>
      </c>
      <c r="G567">
        <v>2.8</v>
      </c>
      <c r="H567">
        <v>0</v>
      </c>
      <c r="I567">
        <v>0</v>
      </c>
      <c r="J567">
        <v>0</v>
      </c>
      <c r="K567">
        <v>55.98</v>
      </c>
      <c r="L567">
        <v>-11.81</v>
      </c>
      <c r="M567">
        <v>-626.20000000000005</v>
      </c>
    </row>
    <row r="568" spans="1:13">
      <c r="A568">
        <v>5</v>
      </c>
      <c r="B568" t="s">
        <v>247</v>
      </c>
      <c r="C568">
        <v>16</v>
      </c>
      <c r="D568">
        <v>0</v>
      </c>
      <c r="E568">
        <v>1</v>
      </c>
      <c r="F568" t="s">
        <v>244</v>
      </c>
      <c r="G568">
        <v>0</v>
      </c>
      <c r="H568">
        <v>0</v>
      </c>
      <c r="I568">
        <v>0</v>
      </c>
      <c r="J568">
        <v>0</v>
      </c>
      <c r="K568">
        <v>55.98</v>
      </c>
      <c r="L568">
        <v>-11.81</v>
      </c>
      <c r="M568">
        <v>-626.20000000000005</v>
      </c>
    </row>
    <row r="569" spans="1:13">
      <c r="A569">
        <v>5</v>
      </c>
      <c r="B569" t="s">
        <v>247</v>
      </c>
      <c r="C569">
        <v>16</v>
      </c>
      <c r="D569">
        <v>0</v>
      </c>
      <c r="E569">
        <v>1</v>
      </c>
      <c r="F569" t="s">
        <v>245</v>
      </c>
      <c r="G569">
        <v>8.16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-155.84</v>
      </c>
    </row>
    <row r="570" spans="1:13">
      <c r="A570">
        <v>5</v>
      </c>
      <c r="B570" t="s">
        <v>247</v>
      </c>
      <c r="C570">
        <v>17</v>
      </c>
      <c r="D570">
        <v>0</v>
      </c>
      <c r="E570">
        <v>1</v>
      </c>
      <c r="F570" t="s">
        <v>244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-155.84</v>
      </c>
    </row>
    <row r="571" spans="1:13">
      <c r="A571">
        <v>5</v>
      </c>
      <c r="B571" t="s">
        <v>247</v>
      </c>
      <c r="C571">
        <v>17</v>
      </c>
      <c r="D571">
        <v>0</v>
      </c>
      <c r="E571">
        <v>1</v>
      </c>
      <c r="F571" t="s">
        <v>245</v>
      </c>
      <c r="G571">
        <v>1.5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-75.38</v>
      </c>
    </row>
    <row r="572" spans="1:13">
      <c r="A572">
        <v>6</v>
      </c>
      <c r="B572" t="s">
        <v>243</v>
      </c>
      <c r="C572">
        <v>1</v>
      </c>
      <c r="D572">
        <v>0</v>
      </c>
      <c r="E572">
        <v>2</v>
      </c>
      <c r="F572" t="s">
        <v>244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</row>
    <row r="573" spans="1:13">
      <c r="A573">
        <v>6</v>
      </c>
      <c r="B573" t="s">
        <v>243</v>
      </c>
      <c r="C573">
        <v>1</v>
      </c>
      <c r="D573">
        <v>2</v>
      </c>
      <c r="E573">
        <v>3</v>
      </c>
      <c r="F573" t="s">
        <v>245</v>
      </c>
      <c r="G573">
        <v>1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</row>
    <row r="574" spans="1:13">
      <c r="A574">
        <v>6</v>
      </c>
      <c r="B574" t="s">
        <v>243</v>
      </c>
      <c r="C574">
        <v>2</v>
      </c>
      <c r="D574">
        <v>2</v>
      </c>
      <c r="E574">
        <v>0</v>
      </c>
      <c r="F574" t="s">
        <v>244</v>
      </c>
      <c r="G574">
        <v>0</v>
      </c>
      <c r="H574">
        <v>2650.94</v>
      </c>
      <c r="I574">
        <v>5164.62</v>
      </c>
      <c r="J574">
        <v>641.52</v>
      </c>
      <c r="K574">
        <v>0</v>
      </c>
      <c r="L574">
        <v>0</v>
      </c>
      <c r="M574">
        <v>0</v>
      </c>
    </row>
    <row r="575" spans="1:13">
      <c r="A575">
        <v>6</v>
      </c>
      <c r="B575" t="s">
        <v>243</v>
      </c>
      <c r="C575">
        <v>2</v>
      </c>
      <c r="D575">
        <v>2</v>
      </c>
      <c r="E575">
        <v>0</v>
      </c>
      <c r="F575">
        <v>1</v>
      </c>
      <c r="G575">
        <v>2.2000000000000002</v>
      </c>
      <c r="H575">
        <v>16617.77</v>
      </c>
      <c r="I575">
        <v>7141.15</v>
      </c>
      <c r="J575">
        <v>151.08000000000001</v>
      </c>
      <c r="K575">
        <v>0</v>
      </c>
      <c r="L575">
        <v>0</v>
      </c>
      <c r="M575">
        <v>0</v>
      </c>
    </row>
    <row r="576" spans="1:13">
      <c r="A576">
        <v>6</v>
      </c>
      <c r="B576" t="s">
        <v>243</v>
      </c>
      <c r="C576">
        <v>2</v>
      </c>
      <c r="D576">
        <v>2</v>
      </c>
      <c r="E576">
        <v>0</v>
      </c>
      <c r="F576">
        <v>2</v>
      </c>
      <c r="G576">
        <v>2.2000000000000002</v>
      </c>
      <c r="H576">
        <v>16617.77</v>
      </c>
      <c r="I576">
        <v>7141.15</v>
      </c>
      <c r="J576">
        <v>151.08000000000001</v>
      </c>
      <c r="K576">
        <v>0</v>
      </c>
      <c r="L576">
        <v>0</v>
      </c>
      <c r="M576">
        <v>0</v>
      </c>
    </row>
    <row r="577" spans="1:13">
      <c r="A577">
        <v>6</v>
      </c>
      <c r="B577" t="s">
        <v>243</v>
      </c>
      <c r="C577">
        <v>2</v>
      </c>
      <c r="D577">
        <v>2</v>
      </c>
      <c r="E577">
        <v>0</v>
      </c>
      <c r="F577" t="s">
        <v>245</v>
      </c>
      <c r="G577">
        <v>3</v>
      </c>
      <c r="H577">
        <v>22330.69</v>
      </c>
      <c r="I577">
        <v>7141.15</v>
      </c>
      <c r="J577">
        <v>151.08000000000001</v>
      </c>
      <c r="K577">
        <v>0</v>
      </c>
      <c r="L577">
        <v>0</v>
      </c>
      <c r="M577">
        <v>0</v>
      </c>
    </row>
    <row r="578" spans="1:13">
      <c r="A578">
        <v>6</v>
      </c>
      <c r="B578" t="s">
        <v>243</v>
      </c>
      <c r="C578">
        <v>3</v>
      </c>
      <c r="D578">
        <v>1</v>
      </c>
      <c r="E578">
        <v>0</v>
      </c>
      <c r="F578" t="s">
        <v>244</v>
      </c>
      <c r="G578">
        <v>0</v>
      </c>
      <c r="H578">
        <v>10380.99</v>
      </c>
      <c r="I578">
        <v>-8626.74</v>
      </c>
      <c r="J578">
        <v>-615.24</v>
      </c>
      <c r="K578">
        <v>0</v>
      </c>
      <c r="L578">
        <v>0</v>
      </c>
      <c r="M578">
        <v>0</v>
      </c>
    </row>
    <row r="579" spans="1:13">
      <c r="A579">
        <v>6</v>
      </c>
      <c r="B579" t="s">
        <v>243</v>
      </c>
      <c r="C579">
        <v>3</v>
      </c>
      <c r="D579">
        <v>1</v>
      </c>
      <c r="E579">
        <v>0</v>
      </c>
      <c r="F579">
        <v>1</v>
      </c>
      <c r="G579">
        <v>0.8</v>
      </c>
      <c r="H579">
        <v>3787.65</v>
      </c>
      <c r="I579">
        <v>-6912.28</v>
      </c>
      <c r="J579">
        <v>-190.69</v>
      </c>
      <c r="K579">
        <v>0</v>
      </c>
      <c r="L579">
        <v>0</v>
      </c>
      <c r="M579">
        <v>0</v>
      </c>
    </row>
    <row r="580" spans="1:13">
      <c r="A580">
        <v>6</v>
      </c>
      <c r="B580" t="s">
        <v>243</v>
      </c>
      <c r="C580">
        <v>3</v>
      </c>
      <c r="D580">
        <v>1</v>
      </c>
      <c r="E580">
        <v>0</v>
      </c>
      <c r="F580">
        <v>2</v>
      </c>
      <c r="G580">
        <v>0.8</v>
      </c>
      <c r="H580">
        <v>3787.65</v>
      </c>
      <c r="I580">
        <v>-6912.28</v>
      </c>
      <c r="J580">
        <v>-190.69</v>
      </c>
      <c r="K580">
        <v>0</v>
      </c>
      <c r="L580">
        <v>0</v>
      </c>
      <c r="M580">
        <v>0</v>
      </c>
    </row>
    <row r="581" spans="1:13">
      <c r="A581">
        <v>6</v>
      </c>
      <c r="B581" t="s">
        <v>243</v>
      </c>
      <c r="C581">
        <v>3</v>
      </c>
      <c r="D581">
        <v>0</v>
      </c>
      <c r="E581">
        <v>2</v>
      </c>
      <c r="F581" t="s">
        <v>245</v>
      </c>
      <c r="G581">
        <v>1.5</v>
      </c>
      <c r="H581">
        <v>0</v>
      </c>
      <c r="I581">
        <v>0</v>
      </c>
      <c r="J581">
        <v>0</v>
      </c>
      <c r="K581">
        <v>-2657.62</v>
      </c>
      <c r="L581">
        <v>-8671.18</v>
      </c>
      <c r="M581">
        <v>-642.41</v>
      </c>
    </row>
    <row r="582" spans="1:13">
      <c r="A582">
        <v>6</v>
      </c>
      <c r="B582" t="s">
        <v>243</v>
      </c>
      <c r="C582">
        <v>4</v>
      </c>
      <c r="D582">
        <v>0</v>
      </c>
      <c r="E582">
        <v>2</v>
      </c>
      <c r="F582" t="s">
        <v>244</v>
      </c>
      <c r="G582">
        <v>0</v>
      </c>
      <c r="H582">
        <v>0</v>
      </c>
      <c r="I582">
        <v>0</v>
      </c>
      <c r="J582">
        <v>0</v>
      </c>
      <c r="K582">
        <v>-2650.94</v>
      </c>
      <c r="L582">
        <v>641.52</v>
      </c>
      <c r="M582">
        <v>-5164.62</v>
      </c>
    </row>
    <row r="583" spans="1:13">
      <c r="A583">
        <v>6</v>
      </c>
      <c r="B583" t="s">
        <v>243</v>
      </c>
      <c r="C583">
        <v>4</v>
      </c>
      <c r="D583">
        <v>0</v>
      </c>
      <c r="E583">
        <v>2</v>
      </c>
      <c r="F583" t="s">
        <v>245</v>
      </c>
      <c r="G583">
        <v>1</v>
      </c>
      <c r="H583">
        <v>0</v>
      </c>
      <c r="I583">
        <v>0</v>
      </c>
      <c r="J583">
        <v>0</v>
      </c>
      <c r="K583">
        <v>-2009.42</v>
      </c>
      <c r="L583">
        <v>641.52</v>
      </c>
      <c r="M583">
        <v>-5164.62</v>
      </c>
    </row>
    <row r="584" spans="1:13">
      <c r="A584">
        <v>6</v>
      </c>
      <c r="B584" t="s">
        <v>243</v>
      </c>
      <c r="C584">
        <v>5</v>
      </c>
      <c r="D584">
        <v>0</v>
      </c>
      <c r="E584">
        <v>2</v>
      </c>
      <c r="F584" t="s">
        <v>244</v>
      </c>
      <c r="G584">
        <v>0</v>
      </c>
      <c r="H584">
        <v>0</v>
      </c>
      <c r="I584">
        <v>0</v>
      </c>
      <c r="J584">
        <v>0</v>
      </c>
      <c r="K584">
        <v>-2009.42</v>
      </c>
      <c r="L584">
        <v>641.52</v>
      </c>
      <c r="M584">
        <v>-5164.62</v>
      </c>
    </row>
    <row r="585" spans="1:13">
      <c r="A585">
        <v>6</v>
      </c>
      <c r="B585" t="s">
        <v>243</v>
      </c>
      <c r="C585">
        <v>5</v>
      </c>
      <c r="D585">
        <v>0</v>
      </c>
      <c r="E585">
        <v>2</v>
      </c>
      <c r="F585" t="s">
        <v>245</v>
      </c>
      <c r="G585">
        <v>2.2400000000000002</v>
      </c>
      <c r="H585">
        <v>0</v>
      </c>
      <c r="I585">
        <v>0</v>
      </c>
      <c r="J585">
        <v>0</v>
      </c>
      <c r="K585">
        <v>-572.4</v>
      </c>
      <c r="L585">
        <v>641.52</v>
      </c>
      <c r="M585">
        <v>-5164.62</v>
      </c>
    </row>
    <row r="586" spans="1:13">
      <c r="A586">
        <v>6</v>
      </c>
      <c r="B586" t="s">
        <v>243</v>
      </c>
      <c r="C586">
        <v>6</v>
      </c>
      <c r="D586">
        <v>0</v>
      </c>
      <c r="E586">
        <v>2</v>
      </c>
      <c r="F586" t="s">
        <v>244</v>
      </c>
      <c r="G586">
        <v>0</v>
      </c>
      <c r="H586">
        <v>0</v>
      </c>
      <c r="I586">
        <v>0</v>
      </c>
      <c r="J586">
        <v>0</v>
      </c>
      <c r="K586">
        <v>-572.4</v>
      </c>
      <c r="L586">
        <v>641.52</v>
      </c>
      <c r="M586">
        <v>-5164.62</v>
      </c>
    </row>
    <row r="587" spans="1:13">
      <c r="A587">
        <v>6</v>
      </c>
      <c r="B587" t="s">
        <v>243</v>
      </c>
      <c r="C587">
        <v>6</v>
      </c>
      <c r="D587">
        <v>2</v>
      </c>
      <c r="E587">
        <v>4</v>
      </c>
      <c r="F587" t="s">
        <v>245</v>
      </c>
      <c r="G587">
        <v>3.6</v>
      </c>
      <c r="H587">
        <v>640.79999999999995</v>
      </c>
      <c r="I587">
        <v>93.36</v>
      </c>
      <c r="J587">
        <v>-4664.43</v>
      </c>
      <c r="K587">
        <v>-79.38</v>
      </c>
      <c r="L587">
        <v>33.86</v>
      </c>
      <c r="M587">
        <v>-3623.17</v>
      </c>
    </row>
    <row r="588" spans="1:13">
      <c r="A588">
        <v>6</v>
      </c>
      <c r="B588" t="s">
        <v>243</v>
      </c>
      <c r="C588">
        <v>7</v>
      </c>
      <c r="D588">
        <v>2</v>
      </c>
      <c r="E588">
        <v>4</v>
      </c>
      <c r="F588" t="s">
        <v>244</v>
      </c>
      <c r="G588">
        <v>0</v>
      </c>
      <c r="H588">
        <v>640.79999999999995</v>
      </c>
      <c r="I588">
        <v>93.36</v>
      </c>
      <c r="J588">
        <v>-4664.43</v>
      </c>
      <c r="K588">
        <v>-79.38</v>
      </c>
      <c r="L588">
        <v>33.86</v>
      </c>
      <c r="M588">
        <v>-3623.17</v>
      </c>
    </row>
    <row r="589" spans="1:13">
      <c r="A589">
        <v>6</v>
      </c>
      <c r="B589" t="s">
        <v>243</v>
      </c>
      <c r="C589">
        <v>7</v>
      </c>
      <c r="D589">
        <v>2</v>
      </c>
      <c r="E589">
        <v>0</v>
      </c>
      <c r="F589" t="s">
        <v>245</v>
      </c>
      <c r="G589">
        <v>2.7</v>
      </c>
      <c r="H589">
        <v>812.24</v>
      </c>
      <c r="I589">
        <v>40.35</v>
      </c>
      <c r="J589">
        <v>-4569.05</v>
      </c>
      <c r="K589">
        <v>0</v>
      </c>
      <c r="L589">
        <v>0</v>
      </c>
      <c r="M589">
        <v>0</v>
      </c>
    </row>
    <row r="590" spans="1:13">
      <c r="A590">
        <v>6</v>
      </c>
      <c r="B590" t="s">
        <v>243</v>
      </c>
      <c r="C590">
        <v>8</v>
      </c>
      <c r="D590">
        <v>2</v>
      </c>
      <c r="E590">
        <v>0</v>
      </c>
      <c r="F590" t="s">
        <v>244</v>
      </c>
      <c r="G590">
        <v>0</v>
      </c>
      <c r="H590">
        <v>812.24</v>
      </c>
      <c r="I590">
        <v>40.35</v>
      </c>
      <c r="J590">
        <v>-4569.05</v>
      </c>
      <c r="K590">
        <v>0</v>
      </c>
      <c r="L590">
        <v>0</v>
      </c>
      <c r="M590">
        <v>0</v>
      </c>
    </row>
    <row r="591" spans="1:13">
      <c r="A591">
        <v>6</v>
      </c>
      <c r="B591" t="s">
        <v>243</v>
      </c>
      <c r="C591">
        <v>8</v>
      </c>
      <c r="D591">
        <v>2</v>
      </c>
      <c r="E591">
        <v>0</v>
      </c>
      <c r="F591" t="s">
        <v>245</v>
      </c>
      <c r="G591">
        <v>2.8</v>
      </c>
      <c r="H591">
        <v>703.66</v>
      </c>
      <c r="I591">
        <v>-90.88</v>
      </c>
      <c r="J591">
        <v>-3974.8</v>
      </c>
      <c r="K591">
        <v>0</v>
      </c>
      <c r="L591">
        <v>0</v>
      </c>
      <c r="M591">
        <v>0</v>
      </c>
    </row>
    <row r="592" spans="1:13">
      <c r="A592">
        <v>6</v>
      </c>
      <c r="B592" t="s">
        <v>243</v>
      </c>
      <c r="C592">
        <v>9</v>
      </c>
      <c r="D592">
        <v>2</v>
      </c>
      <c r="E592">
        <v>0</v>
      </c>
      <c r="F592" t="s">
        <v>244</v>
      </c>
      <c r="G592">
        <v>0</v>
      </c>
      <c r="H592">
        <v>703.66</v>
      </c>
      <c r="I592">
        <v>-90.88</v>
      </c>
      <c r="J592">
        <v>-3974.8</v>
      </c>
      <c r="K592">
        <v>0</v>
      </c>
      <c r="L592">
        <v>0</v>
      </c>
      <c r="M592">
        <v>0</v>
      </c>
    </row>
    <row r="593" spans="1:13">
      <c r="A593">
        <v>6</v>
      </c>
      <c r="B593" t="s">
        <v>243</v>
      </c>
      <c r="C593">
        <v>9</v>
      </c>
      <c r="D593">
        <v>0</v>
      </c>
      <c r="E593">
        <v>2</v>
      </c>
      <c r="F593" t="s">
        <v>245</v>
      </c>
      <c r="G593">
        <v>8.16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-1020.15</v>
      </c>
    </row>
    <row r="594" spans="1:13">
      <c r="A594">
        <v>6</v>
      </c>
      <c r="B594" t="s">
        <v>243</v>
      </c>
      <c r="C594">
        <v>10</v>
      </c>
      <c r="D594">
        <v>0</v>
      </c>
      <c r="E594">
        <v>1</v>
      </c>
      <c r="F594" t="s">
        <v>244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-1368.67</v>
      </c>
    </row>
    <row r="595" spans="1:13">
      <c r="A595">
        <v>6</v>
      </c>
      <c r="B595" t="s">
        <v>243</v>
      </c>
      <c r="C595">
        <v>10</v>
      </c>
      <c r="D595">
        <v>3</v>
      </c>
      <c r="E595">
        <v>0</v>
      </c>
      <c r="F595" t="s">
        <v>245</v>
      </c>
      <c r="G595">
        <v>1.5</v>
      </c>
      <c r="H595">
        <v>0</v>
      </c>
      <c r="I595">
        <v>0</v>
      </c>
      <c r="J595">
        <v>-367.92</v>
      </c>
      <c r="K595">
        <v>0</v>
      </c>
      <c r="L595">
        <v>0</v>
      </c>
      <c r="M595">
        <v>0</v>
      </c>
    </row>
    <row r="596" spans="1:13">
      <c r="A596">
        <v>6</v>
      </c>
      <c r="B596" t="s">
        <v>243</v>
      </c>
      <c r="C596">
        <v>11</v>
      </c>
      <c r="D596">
        <v>0</v>
      </c>
      <c r="E596">
        <v>2</v>
      </c>
      <c r="F596" t="s">
        <v>244</v>
      </c>
      <c r="G596">
        <v>0</v>
      </c>
      <c r="H596">
        <v>0</v>
      </c>
      <c r="I596">
        <v>0</v>
      </c>
      <c r="J596">
        <v>0</v>
      </c>
      <c r="K596">
        <v>-2657.62</v>
      </c>
      <c r="L596">
        <v>642.41</v>
      </c>
      <c r="M596">
        <v>-8671.18</v>
      </c>
    </row>
    <row r="597" spans="1:13">
      <c r="A597">
        <v>6</v>
      </c>
      <c r="B597" t="s">
        <v>243</v>
      </c>
      <c r="C597">
        <v>11</v>
      </c>
      <c r="D597">
        <v>0</v>
      </c>
      <c r="E597">
        <v>2</v>
      </c>
      <c r="F597" t="s">
        <v>245</v>
      </c>
      <c r="G597">
        <v>1</v>
      </c>
      <c r="H597">
        <v>0</v>
      </c>
      <c r="I597">
        <v>0</v>
      </c>
      <c r="J597">
        <v>0</v>
      </c>
      <c r="K597">
        <v>-2015.22</v>
      </c>
      <c r="L597">
        <v>642.41</v>
      </c>
      <c r="M597">
        <v>-8671.18</v>
      </c>
    </row>
    <row r="598" spans="1:13">
      <c r="A598">
        <v>6</v>
      </c>
      <c r="B598" t="s">
        <v>243</v>
      </c>
      <c r="C598">
        <v>12</v>
      </c>
      <c r="D598">
        <v>0</v>
      </c>
      <c r="E598">
        <v>2</v>
      </c>
      <c r="F598" t="s">
        <v>244</v>
      </c>
      <c r="G598">
        <v>0</v>
      </c>
      <c r="H598">
        <v>0</v>
      </c>
      <c r="I598">
        <v>0</v>
      </c>
      <c r="J598">
        <v>0</v>
      </c>
      <c r="K598">
        <v>-2015.22</v>
      </c>
      <c r="L598">
        <v>642.41</v>
      </c>
      <c r="M598">
        <v>-8671.18</v>
      </c>
    </row>
    <row r="599" spans="1:13">
      <c r="A599">
        <v>6</v>
      </c>
      <c r="B599" t="s">
        <v>243</v>
      </c>
      <c r="C599">
        <v>12</v>
      </c>
      <c r="D599">
        <v>0</v>
      </c>
      <c r="E599">
        <v>2</v>
      </c>
      <c r="F599" t="s">
        <v>245</v>
      </c>
      <c r="G599">
        <v>2.2400000000000002</v>
      </c>
      <c r="H599">
        <v>0</v>
      </c>
      <c r="I599">
        <v>0</v>
      </c>
      <c r="J599">
        <v>0</v>
      </c>
      <c r="K599">
        <v>-576.22</v>
      </c>
      <c r="L599">
        <v>642.41</v>
      </c>
      <c r="M599">
        <v>-8671.18</v>
      </c>
    </row>
    <row r="600" spans="1:13">
      <c r="A600">
        <v>6</v>
      </c>
      <c r="B600" t="s">
        <v>243</v>
      </c>
      <c r="C600">
        <v>13</v>
      </c>
      <c r="D600">
        <v>0</v>
      </c>
      <c r="E600">
        <v>2</v>
      </c>
      <c r="F600" t="s">
        <v>244</v>
      </c>
      <c r="G600">
        <v>0</v>
      </c>
      <c r="H600">
        <v>0</v>
      </c>
      <c r="I600">
        <v>0</v>
      </c>
      <c r="J600">
        <v>0</v>
      </c>
      <c r="K600">
        <v>-576.22</v>
      </c>
      <c r="L600">
        <v>642.41</v>
      </c>
      <c r="M600">
        <v>-8671.18</v>
      </c>
    </row>
    <row r="601" spans="1:13">
      <c r="A601">
        <v>6</v>
      </c>
      <c r="B601" t="s">
        <v>243</v>
      </c>
      <c r="C601">
        <v>13</v>
      </c>
      <c r="D601">
        <v>2</v>
      </c>
      <c r="E601">
        <v>4</v>
      </c>
      <c r="F601" t="s">
        <v>245</v>
      </c>
      <c r="G601">
        <v>3.6</v>
      </c>
      <c r="H601">
        <v>639.42999999999995</v>
      </c>
      <c r="I601">
        <v>93.83</v>
      </c>
      <c r="J601">
        <v>-7791.57</v>
      </c>
      <c r="K601">
        <v>-80.17</v>
      </c>
      <c r="L601">
        <v>34.15</v>
      </c>
      <c r="M601">
        <v>-3033.25</v>
      </c>
    </row>
    <row r="602" spans="1:13">
      <c r="A602">
        <v>6</v>
      </c>
      <c r="B602" t="s">
        <v>243</v>
      </c>
      <c r="C602">
        <v>14</v>
      </c>
      <c r="D602">
        <v>2</v>
      </c>
      <c r="E602">
        <v>4</v>
      </c>
      <c r="F602" t="s">
        <v>244</v>
      </c>
      <c r="G602">
        <v>0</v>
      </c>
      <c r="H602">
        <v>639.42999999999995</v>
      </c>
      <c r="I602">
        <v>93.83</v>
      </c>
      <c r="J602">
        <v>-7791.57</v>
      </c>
      <c r="K602">
        <v>-80.17</v>
      </c>
      <c r="L602">
        <v>34.15</v>
      </c>
      <c r="M602">
        <v>-3033.25</v>
      </c>
    </row>
    <row r="603" spans="1:13">
      <c r="A603">
        <v>6</v>
      </c>
      <c r="B603" t="s">
        <v>243</v>
      </c>
      <c r="C603">
        <v>14</v>
      </c>
      <c r="D603">
        <v>2</v>
      </c>
      <c r="E603">
        <v>0</v>
      </c>
      <c r="F603" t="s">
        <v>245</v>
      </c>
      <c r="G603">
        <v>2.7</v>
      </c>
      <c r="H603">
        <v>812.03</v>
      </c>
      <c r="I603">
        <v>40.75</v>
      </c>
      <c r="J603">
        <v>-7626.4</v>
      </c>
      <c r="K603">
        <v>0</v>
      </c>
      <c r="L603">
        <v>0</v>
      </c>
      <c r="M603">
        <v>0</v>
      </c>
    </row>
    <row r="604" spans="1:13">
      <c r="A604">
        <v>6</v>
      </c>
      <c r="B604" t="s">
        <v>243</v>
      </c>
      <c r="C604">
        <v>15</v>
      </c>
      <c r="D604">
        <v>2</v>
      </c>
      <c r="E604">
        <v>0</v>
      </c>
      <c r="F604" t="s">
        <v>244</v>
      </c>
      <c r="G604">
        <v>0</v>
      </c>
      <c r="H604">
        <v>812.03</v>
      </c>
      <c r="I604">
        <v>40.75</v>
      </c>
      <c r="J604">
        <v>-7626.4</v>
      </c>
      <c r="K604">
        <v>0</v>
      </c>
      <c r="L604">
        <v>0</v>
      </c>
      <c r="M604">
        <v>0</v>
      </c>
    </row>
    <row r="605" spans="1:13">
      <c r="A605">
        <v>6</v>
      </c>
      <c r="B605" t="s">
        <v>243</v>
      </c>
      <c r="C605">
        <v>15</v>
      </c>
      <c r="D605">
        <v>2</v>
      </c>
      <c r="E605">
        <v>0</v>
      </c>
      <c r="F605" t="s">
        <v>245</v>
      </c>
      <c r="G605">
        <v>2.8</v>
      </c>
      <c r="H605">
        <v>704.16</v>
      </c>
      <c r="I605">
        <v>-90.76</v>
      </c>
      <c r="J605">
        <v>-6612.2</v>
      </c>
      <c r="K605">
        <v>0</v>
      </c>
      <c r="L605">
        <v>0</v>
      </c>
      <c r="M605">
        <v>0</v>
      </c>
    </row>
    <row r="606" spans="1:13">
      <c r="A606">
        <v>6</v>
      </c>
      <c r="B606" t="s">
        <v>243</v>
      </c>
      <c r="C606">
        <v>16</v>
      </c>
      <c r="D606">
        <v>2</v>
      </c>
      <c r="E606">
        <v>0</v>
      </c>
      <c r="F606" t="s">
        <v>244</v>
      </c>
      <c r="G606">
        <v>0</v>
      </c>
      <c r="H606">
        <v>704.16</v>
      </c>
      <c r="I606">
        <v>-90.76</v>
      </c>
      <c r="J606">
        <v>-6612.2</v>
      </c>
      <c r="K606">
        <v>0</v>
      </c>
      <c r="L606">
        <v>0</v>
      </c>
      <c r="M606">
        <v>0</v>
      </c>
    </row>
    <row r="607" spans="1:13">
      <c r="A607">
        <v>6</v>
      </c>
      <c r="B607" t="s">
        <v>243</v>
      </c>
      <c r="C607">
        <v>16</v>
      </c>
      <c r="D607">
        <v>2</v>
      </c>
      <c r="E607">
        <v>0</v>
      </c>
      <c r="F607" t="s">
        <v>245</v>
      </c>
      <c r="G607">
        <v>8.16</v>
      </c>
      <c r="H607">
        <v>0</v>
      </c>
      <c r="I607">
        <v>0</v>
      </c>
      <c r="J607">
        <v>-1314.45</v>
      </c>
      <c r="K607">
        <v>0</v>
      </c>
      <c r="L607">
        <v>0</v>
      </c>
      <c r="M607">
        <v>0</v>
      </c>
    </row>
    <row r="608" spans="1:13">
      <c r="A608">
        <v>6</v>
      </c>
      <c r="B608" t="s">
        <v>243</v>
      </c>
      <c r="C608">
        <v>17</v>
      </c>
      <c r="D608">
        <v>1</v>
      </c>
      <c r="E608">
        <v>0</v>
      </c>
      <c r="F608" t="s">
        <v>244</v>
      </c>
      <c r="G608">
        <v>0</v>
      </c>
      <c r="H608">
        <v>0</v>
      </c>
      <c r="I608">
        <v>0</v>
      </c>
      <c r="J608">
        <v>-1673.39</v>
      </c>
      <c r="K608">
        <v>0</v>
      </c>
      <c r="L608">
        <v>0</v>
      </c>
      <c r="M608">
        <v>0</v>
      </c>
    </row>
    <row r="609" spans="1:13">
      <c r="A609">
        <v>6</v>
      </c>
      <c r="B609" t="s">
        <v>243</v>
      </c>
      <c r="C609">
        <v>17</v>
      </c>
      <c r="D609">
        <v>0</v>
      </c>
      <c r="E609">
        <v>4</v>
      </c>
      <c r="F609" t="s">
        <v>245</v>
      </c>
      <c r="G609">
        <v>1.5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-320.07</v>
      </c>
    </row>
    <row r="610" spans="1:13">
      <c r="A610">
        <v>6</v>
      </c>
      <c r="B610" t="s">
        <v>246</v>
      </c>
      <c r="C610">
        <v>1</v>
      </c>
      <c r="D610">
        <v>1</v>
      </c>
      <c r="E610">
        <v>3</v>
      </c>
      <c r="F610" t="s">
        <v>244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</row>
    <row r="611" spans="1:13">
      <c r="A611">
        <v>6</v>
      </c>
      <c r="B611" t="s">
        <v>246</v>
      </c>
      <c r="C611">
        <v>1</v>
      </c>
      <c r="D611">
        <v>1</v>
      </c>
      <c r="E611">
        <v>3</v>
      </c>
      <c r="F611" t="s">
        <v>245</v>
      </c>
      <c r="G611">
        <v>1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</row>
    <row r="612" spans="1:13">
      <c r="A612">
        <v>6</v>
      </c>
      <c r="B612" t="s">
        <v>246</v>
      </c>
      <c r="C612">
        <v>2</v>
      </c>
      <c r="D612">
        <v>2</v>
      </c>
      <c r="E612">
        <v>0</v>
      </c>
      <c r="F612" t="s">
        <v>244</v>
      </c>
      <c r="G612">
        <v>0</v>
      </c>
      <c r="H612">
        <v>907.24</v>
      </c>
      <c r="I612">
        <v>7141.15</v>
      </c>
      <c r="J612">
        <v>151.08000000000001</v>
      </c>
      <c r="K612">
        <v>0</v>
      </c>
      <c r="L612">
        <v>0</v>
      </c>
      <c r="M612">
        <v>0</v>
      </c>
    </row>
    <row r="613" spans="1:13">
      <c r="A613">
        <v>6</v>
      </c>
      <c r="B613" t="s">
        <v>246</v>
      </c>
      <c r="C613">
        <v>2</v>
      </c>
      <c r="D613">
        <v>2</v>
      </c>
      <c r="E613">
        <v>0</v>
      </c>
      <c r="F613">
        <v>1</v>
      </c>
      <c r="G613">
        <v>2.2000000000000002</v>
      </c>
      <c r="H613">
        <v>16617.77</v>
      </c>
      <c r="I613">
        <v>7141.15</v>
      </c>
      <c r="J613">
        <v>151.08000000000001</v>
      </c>
      <c r="K613">
        <v>0</v>
      </c>
      <c r="L613">
        <v>0</v>
      </c>
      <c r="M613">
        <v>0</v>
      </c>
    </row>
    <row r="614" spans="1:13">
      <c r="A614">
        <v>6</v>
      </c>
      <c r="B614" t="s">
        <v>246</v>
      </c>
      <c r="C614">
        <v>2</v>
      </c>
      <c r="D614">
        <v>2</v>
      </c>
      <c r="E614">
        <v>0</v>
      </c>
      <c r="F614">
        <v>2</v>
      </c>
      <c r="G614">
        <v>2.2000000000000002</v>
      </c>
      <c r="H614">
        <v>16617.77</v>
      </c>
      <c r="I614">
        <v>7141.15</v>
      </c>
      <c r="J614">
        <v>151.08000000000001</v>
      </c>
      <c r="K614">
        <v>0</v>
      </c>
      <c r="L614">
        <v>0</v>
      </c>
      <c r="M614">
        <v>0</v>
      </c>
    </row>
    <row r="615" spans="1:13">
      <c r="A615">
        <v>6</v>
      </c>
      <c r="B615" t="s">
        <v>246</v>
      </c>
      <c r="C615">
        <v>2</v>
      </c>
      <c r="D615">
        <v>2</v>
      </c>
      <c r="E615">
        <v>0</v>
      </c>
      <c r="F615" t="s">
        <v>245</v>
      </c>
      <c r="G615">
        <v>3</v>
      </c>
      <c r="H615">
        <v>22330.69</v>
      </c>
      <c r="I615">
        <v>7141.15</v>
      </c>
      <c r="J615">
        <v>151.08000000000001</v>
      </c>
      <c r="K615">
        <v>0</v>
      </c>
      <c r="L615">
        <v>0</v>
      </c>
      <c r="M615">
        <v>0</v>
      </c>
    </row>
    <row r="616" spans="1:13">
      <c r="A616">
        <v>6</v>
      </c>
      <c r="B616" t="s">
        <v>246</v>
      </c>
      <c r="C616">
        <v>3</v>
      </c>
      <c r="D616">
        <v>0</v>
      </c>
      <c r="E616">
        <v>2</v>
      </c>
      <c r="F616" t="s">
        <v>244</v>
      </c>
      <c r="G616">
        <v>0</v>
      </c>
      <c r="H616">
        <v>0</v>
      </c>
      <c r="I616">
        <v>0</v>
      </c>
      <c r="J616">
        <v>0</v>
      </c>
      <c r="K616">
        <v>10349.15</v>
      </c>
      <c r="L616">
        <v>-8671.18</v>
      </c>
      <c r="M616">
        <v>-642.41</v>
      </c>
    </row>
    <row r="617" spans="1:13">
      <c r="A617">
        <v>6</v>
      </c>
      <c r="B617" t="s">
        <v>246</v>
      </c>
      <c r="C617">
        <v>3</v>
      </c>
      <c r="D617">
        <v>0</v>
      </c>
      <c r="E617">
        <v>2</v>
      </c>
      <c r="F617">
        <v>1</v>
      </c>
      <c r="G617">
        <v>0.8</v>
      </c>
      <c r="H617">
        <v>0</v>
      </c>
      <c r="I617">
        <v>0</v>
      </c>
      <c r="J617">
        <v>0</v>
      </c>
      <c r="K617">
        <v>3412.2</v>
      </c>
      <c r="L617">
        <v>-8671.18</v>
      </c>
      <c r="M617">
        <v>-642.41</v>
      </c>
    </row>
    <row r="618" spans="1:13">
      <c r="A618">
        <v>6</v>
      </c>
      <c r="B618" t="s">
        <v>246</v>
      </c>
      <c r="C618">
        <v>3</v>
      </c>
      <c r="D618">
        <v>0</v>
      </c>
      <c r="E618">
        <v>2</v>
      </c>
      <c r="F618">
        <v>2</v>
      </c>
      <c r="G618">
        <v>0.8</v>
      </c>
      <c r="H618">
        <v>0</v>
      </c>
      <c r="I618">
        <v>0</v>
      </c>
      <c r="J618">
        <v>0</v>
      </c>
      <c r="K618">
        <v>3412.2</v>
      </c>
      <c r="L618">
        <v>-8671.18</v>
      </c>
      <c r="M618">
        <v>-642.41</v>
      </c>
    </row>
    <row r="619" spans="1:13">
      <c r="A619">
        <v>6</v>
      </c>
      <c r="B619" t="s">
        <v>246</v>
      </c>
      <c r="C619">
        <v>3</v>
      </c>
      <c r="D619">
        <v>0</v>
      </c>
      <c r="E619">
        <v>2</v>
      </c>
      <c r="F619" t="s">
        <v>245</v>
      </c>
      <c r="G619">
        <v>1.5</v>
      </c>
      <c r="H619">
        <v>0</v>
      </c>
      <c r="I619">
        <v>0</v>
      </c>
      <c r="J619">
        <v>0</v>
      </c>
      <c r="K619">
        <v>-2657.62</v>
      </c>
      <c r="L619">
        <v>-8671.18</v>
      </c>
      <c r="M619">
        <v>-642.41</v>
      </c>
    </row>
    <row r="620" spans="1:13">
      <c r="A620">
        <v>6</v>
      </c>
      <c r="B620" t="s">
        <v>246</v>
      </c>
      <c r="C620">
        <v>4</v>
      </c>
      <c r="D620">
        <v>2</v>
      </c>
      <c r="E620">
        <v>0</v>
      </c>
      <c r="F620" t="s">
        <v>244</v>
      </c>
      <c r="G620">
        <v>0</v>
      </c>
      <c r="H620">
        <v>-2650.94</v>
      </c>
      <c r="I620">
        <v>641.52</v>
      </c>
      <c r="J620">
        <v>-5164.62</v>
      </c>
      <c r="K620">
        <v>0</v>
      </c>
      <c r="L620">
        <v>0</v>
      </c>
      <c r="M620">
        <v>0</v>
      </c>
    </row>
    <row r="621" spans="1:13">
      <c r="A621">
        <v>6</v>
      </c>
      <c r="B621" t="s">
        <v>246</v>
      </c>
      <c r="C621">
        <v>4</v>
      </c>
      <c r="D621">
        <v>2</v>
      </c>
      <c r="E621">
        <v>0</v>
      </c>
      <c r="F621" t="s">
        <v>245</v>
      </c>
      <c r="G621">
        <v>1</v>
      </c>
      <c r="H621">
        <v>-2009.42</v>
      </c>
      <c r="I621">
        <v>641.52</v>
      </c>
      <c r="J621">
        <v>-5164.62</v>
      </c>
      <c r="K621">
        <v>0</v>
      </c>
      <c r="L621">
        <v>0</v>
      </c>
      <c r="M621">
        <v>0</v>
      </c>
    </row>
    <row r="622" spans="1:13">
      <c r="A622">
        <v>6</v>
      </c>
      <c r="B622" t="s">
        <v>246</v>
      </c>
      <c r="C622">
        <v>5</v>
      </c>
      <c r="D622">
        <v>2</v>
      </c>
      <c r="E622">
        <v>0</v>
      </c>
      <c r="F622" t="s">
        <v>244</v>
      </c>
      <c r="G622">
        <v>0</v>
      </c>
      <c r="H622">
        <v>-2009.42</v>
      </c>
      <c r="I622">
        <v>641.52</v>
      </c>
      <c r="J622">
        <v>-5164.62</v>
      </c>
      <c r="K622">
        <v>0</v>
      </c>
      <c r="L622">
        <v>0</v>
      </c>
      <c r="M622">
        <v>0</v>
      </c>
    </row>
    <row r="623" spans="1:13">
      <c r="A623">
        <v>6</v>
      </c>
      <c r="B623" t="s">
        <v>246</v>
      </c>
      <c r="C623">
        <v>5</v>
      </c>
      <c r="D623">
        <v>2</v>
      </c>
      <c r="E623">
        <v>0</v>
      </c>
      <c r="F623" t="s">
        <v>245</v>
      </c>
      <c r="G623">
        <v>2.2400000000000002</v>
      </c>
      <c r="H623">
        <v>-572.4</v>
      </c>
      <c r="I623">
        <v>641.52</v>
      </c>
      <c r="J623">
        <v>-5164.62</v>
      </c>
      <c r="K623">
        <v>0</v>
      </c>
      <c r="L623">
        <v>0</v>
      </c>
      <c r="M623">
        <v>0</v>
      </c>
    </row>
    <row r="624" spans="1:13">
      <c r="A624">
        <v>6</v>
      </c>
      <c r="B624" t="s">
        <v>246</v>
      </c>
      <c r="C624">
        <v>6</v>
      </c>
      <c r="D624">
        <v>2</v>
      </c>
      <c r="E624">
        <v>0</v>
      </c>
      <c r="F624" t="s">
        <v>244</v>
      </c>
      <c r="G624">
        <v>0</v>
      </c>
      <c r="H624">
        <v>-572.4</v>
      </c>
      <c r="I624">
        <v>641.52</v>
      </c>
      <c r="J624">
        <v>-5164.62</v>
      </c>
      <c r="K624">
        <v>0</v>
      </c>
      <c r="L624">
        <v>0</v>
      </c>
      <c r="M624">
        <v>0</v>
      </c>
    </row>
    <row r="625" spans="1:13">
      <c r="A625">
        <v>6</v>
      </c>
      <c r="B625" t="s">
        <v>246</v>
      </c>
      <c r="C625">
        <v>6</v>
      </c>
      <c r="D625">
        <v>2</v>
      </c>
      <c r="E625">
        <v>0</v>
      </c>
      <c r="F625" t="s">
        <v>245</v>
      </c>
      <c r="G625">
        <v>3.6</v>
      </c>
      <c r="H625">
        <v>640.79999999999995</v>
      </c>
      <c r="I625">
        <v>93.36</v>
      </c>
      <c r="J625">
        <v>-4664.43</v>
      </c>
      <c r="K625">
        <v>0</v>
      </c>
      <c r="L625">
        <v>0</v>
      </c>
      <c r="M625">
        <v>0</v>
      </c>
    </row>
    <row r="626" spans="1:13">
      <c r="A626">
        <v>6</v>
      </c>
      <c r="B626" t="s">
        <v>246</v>
      </c>
      <c r="C626">
        <v>7</v>
      </c>
      <c r="D626">
        <v>2</v>
      </c>
      <c r="E626">
        <v>0</v>
      </c>
      <c r="F626" t="s">
        <v>244</v>
      </c>
      <c r="G626">
        <v>0</v>
      </c>
      <c r="H626">
        <v>640.79999999999995</v>
      </c>
      <c r="I626">
        <v>93.36</v>
      </c>
      <c r="J626">
        <v>-4664.43</v>
      </c>
      <c r="K626">
        <v>0</v>
      </c>
      <c r="L626">
        <v>0</v>
      </c>
      <c r="M626">
        <v>0</v>
      </c>
    </row>
    <row r="627" spans="1:13">
      <c r="A627">
        <v>6</v>
      </c>
      <c r="B627" t="s">
        <v>246</v>
      </c>
      <c r="C627">
        <v>7</v>
      </c>
      <c r="D627">
        <v>2</v>
      </c>
      <c r="E627">
        <v>0</v>
      </c>
      <c r="F627" t="s">
        <v>245</v>
      </c>
      <c r="G627">
        <v>2.7</v>
      </c>
      <c r="H627">
        <v>159.07</v>
      </c>
      <c r="I627">
        <v>58.43</v>
      </c>
      <c r="J627">
        <v>-6284.21</v>
      </c>
      <c r="K627">
        <v>0</v>
      </c>
      <c r="L627">
        <v>0</v>
      </c>
      <c r="M627">
        <v>0</v>
      </c>
    </row>
    <row r="628" spans="1:13">
      <c r="A628">
        <v>6</v>
      </c>
      <c r="B628" t="s">
        <v>246</v>
      </c>
      <c r="C628">
        <v>8</v>
      </c>
      <c r="D628">
        <v>2</v>
      </c>
      <c r="E628">
        <v>0</v>
      </c>
      <c r="F628" t="s">
        <v>244</v>
      </c>
      <c r="G628">
        <v>0</v>
      </c>
      <c r="H628">
        <v>159.07</v>
      </c>
      <c r="I628">
        <v>58.43</v>
      </c>
      <c r="J628">
        <v>-6284.21</v>
      </c>
      <c r="K628">
        <v>0</v>
      </c>
      <c r="L628">
        <v>0</v>
      </c>
      <c r="M628">
        <v>0</v>
      </c>
    </row>
    <row r="629" spans="1:13">
      <c r="A629">
        <v>6</v>
      </c>
      <c r="B629" t="s">
        <v>246</v>
      </c>
      <c r="C629">
        <v>8</v>
      </c>
      <c r="D629">
        <v>4</v>
      </c>
      <c r="E629">
        <v>2</v>
      </c>
      <c r="F629" t="s">
        <v>245</v>
      </c>
      <c r="G629">
        <v>2.8</v>
      </c>
      <c r="H629">
        <v>72.650000000000006</v>
      </c>
      <c r="I629">
        <v>12.31</v>
      </c>
      <c r="J629">
        <v>-3070.8</v>
      </c>
      <c r="K629">
        <v>703.66</v>
      </c>
      <c r="L629">
        <v>-90.88</v>
      </c>
      <c r="M629">
        <v>-3974.8</v>
      </c>
    </row>
    <row r="630" spans="1:13">
      <c r="A630">
        <v>6</v>
      </c>
      <c r="B630" t="s">
        <v>246</v>
      </c>
      <c r="C630">
        <v>9</v>
      </c>
      <c r="D630">
        <v>4</v>
      </c>
      <c r="E630">
        <v>2</v>
      </c>
      <c r="F630" t="s">
        <v>244</v>
      </c>
      <c r="G630">
        <v>0</v>
      </c>
      <c r="H630">
        <v>72.650000000000006</v>
      </c>
      <c r="I630">
        <v>12.31</v>
      </c>
      <c r="J630">
        <v>-3070.8</v>
      </c>
      <c r="K630">
        <v>703.66</v>
      </c>
      <c r="L630">
        <v>-90.88</v>
      </c>
      <c r="M630">
        <v>-3974.8</v>
      </c>
    </row>
    <row r="631" spans="1:13">
      <c r="A631">
        <v>6</v>
      </c>
      <c r="B631" t="s">
        <v>246</v>
      </c>
      <c r="C631">
        <v>9</v>
      </c>
      <c r="D631">
        <v>2</v>
      </c>
      <c r="E631">
        <v>0</v>
      </c>
      <c r="F631" t="s">
        <v>245</v>
      </c>
      <c r="G631">
        <v>8.16</v>
      </c>
      <c r="H631">
        <v>0</v>
      </c>
      <c r="I631">
        <v>0</v>
      </c>
      <c r="J631">
        <v>-1020.15</v>
      </c>
      <c r="K631">
        <v>0</v>
      </c>
      <c r="L631">
        <v>0</v>
      </c>
      <c r="M631">
        <v>0</v>
      </c>
    </row>
    <row r="632" spans="1:13">
      <c r="A632">
        <v>6</v>
      </c>
      <c r="B632" t="s">
        <v>246</v>
      </c>
      <c r="C632">
        <v>10</v>
      </c>
      <c r="D632">
        <v>2</v>
      </c>
      <c r="E632">
        <v>0</v>
      </c>
      <c r="F632" t="s">
        <v>244</v>
      </c>
      <c r="G632">
        <v>0</v>
      </c>
      <c r="H632">
        <v>0</v>
      </c>
      <c r="I632">
        <v>0</v>
      </c>
      <c r="J632">
        <v>-1020.15</v>
      </c>
      <c r="K632">
        <v>0</v>
      </c>
      <c r="L632">
        <v>0</v>
      </c>
      <c r="M632">
        <v>0</v>
      </c>
    </row>
    <row r="633" spans="1:13">
      <c r="A633">
        <v>6</v>
      </c>
      <c r="B633" t="s">
        <v>246</v>
      </c>
      <c r="C633">
        <v>10</v>
      </c>
      <c r="D633">
        <v>2</v>
      </c>
      <c r="E633">
        <v>0</v>
      </c>
      <c r="F633" t="s">
        <v>245</v>
      </c>
      <c r="G633">
        <v>1.5</v>
      </c>
      <c r="H633">
        <v>0</v>
      </c>
      <c r="I633">
        <v>0</v>
      </c>
      <c r="J633">
        <v>-494.03</v>
      </c>
      <c r="K633">
        <v>0</v>
      </c>
      <c r="L633">
        <v>0</v>
      </c>
      <c r="M633">
        <v>0</v>
      </c>
    </row>
    <row r="634" spans="1:13">
      <c r="A634">
        <v>6</v>
      </c>
      <c r="B634" t="s">
        <v>246</v>
      </c>
      <c r="C634">
        <v>11</v>
      </c>
      <c r="D634">
        <v>2</v>
      </c>
      <c r="E634">
        <v>0</v>
      </c>
      <c r="F634" t="s">
        <v>244</v>
      </c>
      <c r="G634">
        <v>0</v>
      </c>
      <c r="H634">
        <v>-2657.62</v>
      </c>
      <c r="I634">
        <v>642.41</v>
      </c>
      <c r="J634">
        <v>-8671.18</v>
      </c>
      <c r="K634">
        <v>0</v>
      </c>
      <c r="L634">
        <v>0</v>
      </c>
      <c r="M634">
        <v>0</v>
      </c>
    </row>
    <row r="635" spans="1:13">
      <c r="A635">
        <v>6</v>
      </c>
      <c r="B635" t="s">
        <v>246</v>
      </c>
      <c r="C635">
        <v>11</v>
      </c>
      <c r="D635">
        <v>2</v>
      </c>
      <c r="E635">
        <v>0</v>
      </c>
      <c r="F635" t="s">
        <v>245</v>
      </c>
      <c r="G635">
        <v>1</v>
      </c>
      <c r="H635">
        <v>-2015.22</v>
      </c>
      <c r="I635">
        <v>642.41</v>
      </c>
      <c r="J635">
        <v>-8671.18</v>
      </c>
      <c r="K635">
        <v>0</v>
      </c>
      <c r="L635">
        <v>0</v>
      </c>
      <c r="M635">
        <v>0</v>
      </c>
    </row>
    <row r="636" spans="1:13">
      <c r="A636">
        <v>6</v>
      </c>
      <c r="B636" t="s">
        <v>246</v>
      </c>
      <c r="C636">
        <v>12</v>
      </c>
      <c r="D636">
        <v>2</v>
      </c>
      <c r="E636">
        <v>0</v>
      </c>
      <c r="F636" t="s">
        <v>244</v>
      </c>
      <c r="G636">
        <v>0</v>
      </c>
      <c r="H636">
        <v>-2015.22</v>
      </c>
      <c r="I636">
        <v>642.41</v>
      </c>
      <c r="J636">
        <v>-8671.18</v>
      </c>
      <c r="K636">
        <v>0</v>
      </c>
      <c r="L636">
        <v>0</v>
      </c>
      <c r="M636">
        <v>0</v>
      </c>
    </row>
    <row r="637" spans="1:13">
      <c r="A637">
        <v>6</v>
      </c>
      <c r="B637" t="s">
        <v>246</v>
      </c>
      <c r="C637">
        <v>12</v>
      </c>
      <c r="D637">
        <v>2</v>
      </c>
      <c r="E637">
        <v>0</v>
      </c>
      <c r="F637" t="s">
        <v>245</v>
      </c>
      <c r="G637">
        <v>2.2400000000000002</v>
      </c>
      <c r="H637">
        <v>-576.22</v>
      </c>
      <c r="I637">
        <v>642.41</v>
      </c>
      <c r="J637">
        <v>-8671.18</v>
      </c>
      <c r="K637">
        <v>0</v>
      </c>
      <c r="L637">
        <v>0</v>
      </c>
      <c r="M637">
        <v>0</v>
      </c>
    </row>
    <row r="638" spans="1:13">
      <c r="A638">
        <v>6</v>
      </c>
      <c r="B638" t="s">
        <v>246</v>
      </c>
      <c r="C638">
        <v>13</v>
      </c>
      <c r="D638">
        <v>2</v>
      </c>
      <c r="E638">
        <v>0</v>
      </c>
      <c r="F638" t="s">
        <v>244</v>
      </c>
      <c r="G638">
        <v>0</v>
      </c>
      <c r="H638">
        <v>-576.22</v>
      </c>
      <c r="I638">
        <v>642.41</v>
      </c>
      <c r="J638">
        <v>-8671.18</v>
      </c>
      <c r="K638">
        <v>0</v>
      </c>
      <c r="L638">
        <v>0</v>
      </c>
      <c r="M638">
        <v>0</v>
      </c>
    </row>
    <row r="639" spans="1:13">
      <c r="A639">
        <v>6</v>
      </c>
      <c r="B639" t="s">
        <v>246</v>
      </c>
      <c r="C639">
        <v>13</v>
      </c>
      <c r="D639">
        <v>2</v>
      </c>
      <c r="E639">
        <v>0</v>
      </c>
      <c r="F639" t="s">
        <v>245</v>
      </c>
      <c r="G639">
        <v>3.6</v>
      </c>
      <c r="H639">
        <v>639.42999999999995</v>
      </c>
      <c r="I639">
        <v>93.83</v>
      </c>
      <c r="J639">
        <v>-7791.57</v>
      </c>
      <c r="K639">
        <v>0</v>
      </c>
      <c r="L639">
        <v>0</v>
      </c>
      <c r="M639">
        <v>0</v>
      </c>
    </row>
    <row r="640" spans="1:13">
      <c r="A640">
        <v>6</v>
      </c>
      <c r="B640" t="s">
        <v>246</v>
      </c>
      <c r="C640">
        <v>14</v>
      </c>
      <c r="D640">
        <v>2</v>
      </c>
      <c r="E640">
        <v>0</v>
      </c>
      <c r="F640" t="s">
        <v>244</v>
      </c>
      <c r="G640">
        <v>0</v>
      </c>
      <c r="H640">
        <v>639.42999999999995</v>
      </c>
      <c r="I640">
        <v>93.83</v>
      </c>
      <c r="J640">
        <v>-7791.57</v>
      </c>
      <c r="K640">
        <v>0</v>
      </c>
      <c r="L640">
        <v>0</v>
      </c>
      <c r="M640">
        <v>0</v>
      </c>
    </row>
    <row r="641" spans="1:13">
      <c r="A641">
        <v>6</v>
      </c>
      <c r="B641" t="s">
        <v>246</v>
      </c>
      <c r="C641">
        <v>14</v>
      </c>
      <c r="D641">
        <v>2</v>
      </c>
      <c r="E641">
        <v>0</v>
      </c>
      <c r="F641" t="s">
        <v>245</v>
      </c>
      <c r="G641">
        <v>2.7</v>
      </c>
      <c r="H641">
        <v>158.88</v>
      </c>
      <c r="I641">
        <v>58.87</v>
      </c>
      <c r="J641">
        <v>-5911.24</v>
      </c>
      <c r="K641">
        <v>0</v>
      </c>
      <c r="L641">
        <v>0</v>
      </c>
      <c r="M641">
        <v>0</v>
      </c>
    </row>
    <row r="642" spans="1:13">
      <c r="A642">
        <v>6</v>
      </c>
      <c r="B642" t="s">
        <v>246</v>
      </c>
      <c r="C642">
        <v>15</v>
      </c>
      <c r="D642">
        <v>2</v>
      </c>
      <c r="E642">
        <v>0</v>
      </c>
      <c r="F642" t="s">
        <v>244</v>
      </c>
      <c r="G642">
        <v>0</v>
      </c>
      <c r="H642">
        <v>158.88</v>
      </c>
      <c r="I642">
        <v>58.87</v>
      </c>
      <c r="J642">
        <v>-5911.24</v>
      </c>
      <c r="K642">
        <v>0</v>
      </c>
      <c r="L642">
        <v>0</v>
      </c>
      <c r="M642">
        <v>0</v>
      </c>
    </row>
    <row r="643" spans="1:13">
      <c r="A643">
        <v>6</v>
      </c>
      <c r="B643" t="s">
        <v>246</v>
      </c>
      <c r="C643">
        <v>15</v>
      </c>
      <c r="D643">
        <v>4</v>
      </c>
      <c r="E643">
        <v>2</v>
      </c>
      <c r="F643" t="s">
        <v>245</v>
      </c>
      <c r="G643">
        <v>2.8</v>
      </c>
      <c r="H643">
        <v>72.97</v>
      </c>
      <c r="I643">
        <v>12.38</v>
      </c>
      <c r="J643">
        <v>-2581.85</v>
      </c>
      <c r="K643">
        <v>704.16</v>
      </c>
      <c r="L643">
        <v>-90.76</v>
      </c>
      <c r="M643">
        <v>-6612.2</v>
      </c>
    </row>
    <row r="644" spans="1:13">
      <c r="A644">
        <v>6</v>
      </c>
      <c r="B644" t="s">
        <v>246</v>
      </c>
      <c r="C644">
        <v>16</v>
      </c>
      <c r="D644">
        <v>4</v>
      </c>
      <c r="E644">
        <v>2</v>
      </c>
      <c r="F644" t="s">
        <v>244</v>
      </c>
      <c r="G644">
        <v>0</v>
      </c>
      <c r="H644">
        <v>72.97</v>
      </c>
      <c r="I644">
        <v>12.38</v>
      </c>
      <c r="J644">
        <v>-2581.85</v>
      </c>
      <c r="K644">
        <v>704.16</v>
      </c>
      <c r="L644">
        <v>-90.76</v>
      </c>
      <c r="M644">
        <v>-6612.2</v>
      </c>
    </row>
    <row r="645" spans="1:13">
      <c r="A645">
        <v>6</v>
      </c>
      <c r="B645" t="s">
        <v>246</v>
      </c>
      <c r="C645">
        <v>16</v>
      </c>
      <c r="D645">
        <v>0</v>
      </c>
      <c r="E645">
        <v>2</v>
      </c>
      <c r="F645" t="s">
        <v>245</v>
      </c>
      <c r="G645">
        <v>8.16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-1314.45</v>
      </c>
    </row>
    <row r="646" spans="1:13">
      <c r="A646">
        <v>6</v>
      </c>
      <c r="B646" t="s">
        <v>246</v>
      </c>
      <c r="C646">
        <v>17</v>
      </c>
      <c r="D646">
        <v>0</v>
      </c>
      <c r="E646">
        <v>2</v>
      </c>
      <c r="F646" t="s">
        <v>244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-1314.45</v>
      </c>
    </row>
    <row r="647" spans="1:13">
      <c r="A647">
        <v>6</v>
      </c>
      <c r="B647" t="s">
        <v>246</v>
      </c>
      <c r="C647">
        <v>17</v>
      </c>
      <c r="D647">
        <v>0</v>
      </c>
      <c r="E647">
        <v>2</v>
      </c>
      <c r="F647" t="s">
        <v>245</v>
      </c>
      <c r="G647">
        <v>1.5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-636.48</v>
      </c>
    </row>
    <row r="648" spans="1:13">
      <c r="A648">
        <v>6</v>
      </c>
      <c r="B648" t="s">
        <v>247</v>
      </c>
      <c r="C648">
        <v>1</v>
      </c>
      <c r="D648">
        <v>0</v>
      </c>
      <c r="E648">
        <v>0</v>
      </c>
      <c r="F648" t="s">
        <v>244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</row>
    <row r="649" spans="1:13">
      <c r="A649">
        <v>6</v>
      </c>
      <c r="B649" t="s">
        <v>247</v>
      </c>
      <c r="C649">
        <v>1</v>
      </c>
      <c r="D649">
        <v>0</v>
      </c>
      <c r="E649">
        <v>0</v>
      </c>
      <c r="F649" t="s">
        <v>245</v>
      </c>
      <c r="G649">
        <v>1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</row>
    <row r="650" spans="1:13">
      <c r="A650">
        <v>6</v>
      </c>
      <c r="B650" t="s">
        <v>247</v>
      </c>
      <c r="C650">
        <v>2</v>
      </c>
      <c r="D650">
        <v>2</v>
      </c>
      <c r="E650">
        <v>0</v>
      </c>
      <c r="F650" t="s">
        <v>244</v>
      </c>
      <c r="G650">
        <v>0</v>
      </c>
      <c r="H650">
        <v>2650.94</v>
      </c>
      <c r="I650">
        <v>5164.62</v>
      </c>
      <c r="J650">
        <v>641.52</v>
      </c>
      <c r="K650">
        <v>0</v>
      </c>
      <c r="L650">
        <v>0</v>
      </c>
      <c r="M650">
        <v>0</v>
      </c>
    </row>
    <row r="651" spans="1:13">
      <c r="A651">
        <v>6</v>
      </c>
      <c r="B651" t="s">
        <v>247</v>
      </c>
      <c r="C651">
        <v>2</v>
      </c>
      <c r="D651">
        <v>2</v>
      </c>
      <c r="E651">
        <v>0</v>
      </c>
      <c r="F651">
        <v>1</v>
      </c>
      <c r="G651">
        <v>2.2000000000000002</v>
      </c>
      <c r="H651">
        <v>14013.1</v>
      </c>
      <c r="I651">
        <v>5164.62</v>
      </c>
      <c r="J651">
        <v>641.52</v>
      </c>
      <c r="K651">
        <v>0</v>
      </c>
      <c r="L651">
        <v>0</v>
      </c>
      <c r="M651">
        <v>0</v>
      </c>
    </row>
    <row r="652" spans="1:13">
      <c r="A652">
        <v>6</v>
      </c>
      <c r="B652" t="s">
        <v>247</v>
      </c>
      <c r="C652">
        <v>2</v>
      </c>
      <c r="D652">
        <v>2</v>
      </c>
      <c r="E652">
        <v>0</v>
      </c>
      <c r="F652">
        <v>2</v>
      </c>
      <c r="G652">
        <v>2.2000000000000002</v>
      </c>
      <c r="H652">
        <v>14013.1</v>
      </c>
      <c r="I652">
        <v>5164.62</v>
      </c>
      <c r="J652">
        <v>641.52</v>
      </c>
      <c r="K652">
        <v>0</v>
      </c>
      <c r="L652">
        <v>0</v>
      </c>
      <c r="M652">
        <v>0</v>
      </c>
    </row>
    <row r="653" spans="1:13">
      <c r="A653">
        <v>6</v>
      </c>
      <c r="B653" t="s">
        <v>247</v>
      </c>
      <c r="C653">
        <v>2</v>
      </c>
      <c r="D653">
        <v>2</v>
      </c>
      <c r="E653">
        <v>0</v>
      </c>
      <c r="F653" t="s">
        <v>245</v>
      </c>
      <c r="G653">
        <v>3</v>
      </c>
      <c r="H653">
        <v>18144.79</v>
      </c>
      <c r="I653">
        <v>5164.62</v>
      </c>
      <c r="J653">
        <v>641.52</v>
      </c>
      <c r="K653">
        <v>0</v>
      </c>
      <c r="L653">
        <v>0</v>
      </c>
      <c r="M653">
        <v>0</v>
      </c>
    </row>
    <row r="654" spans="1:13">
      <c r="A654">
        <v>6</v>
      </c>
      <c r="B654" t="s">
        <v>247</v>
      </c>
      <c r="C654">
        <v>3</v>
      </c>
      <c r="D654">
        <v>0</v>
      </c>
      <c r="E654">
        <v>2</v>
      </c>
      <c r="F654" t="s">
        <v>244</v>
      </c>
      <c r="G654">
        <v>0</v>
      </c>
      <c r="H654">
        <v>0</v>
      </c>
      <c r="I654">
        <v>0</v>
      </c>
      <c r="J654">
        <v>0</v>
      </c>
      <c r="K654">
        <v>10349.15</v>
      </c>
      <c r="L654">
        <v>-8671.18</v>
      </c>
      <c r="M654">
        <v>-642.41</v>
      </c>
    </row>
    <row r="655" spans="1:13">
      <c r="A655">
        <v>6</v>
      </c>
      <c r="B655" t="s">
        <v>247</v>
      </c>
      <c r="C655">
        <v>3</v>
      </c>
      <c r="D655">
        <v>0</v>
      </c>
      <c r="E655">
        <v>2</v>
      </c>
      <c r="F655">
        <v>1</v>
      </c>
      <c r="G655">
        <v>0.8</v>
      </c>
      <c r="H655">
        <v>0</v>
      </c>
      <c r="I655">
        <v>0</v>
      </c>
      <c r="J655">
        <v>0</v>
      </c>
      <c r="K655">
        <v>3412.2</v>
      </c>
      <c r="L655">
        <v>-8671.18</v>
      </c>
      <c r="M655">
        <v>-642.41</v>
      </c>
    </row>
    <row r="656" spans="1:13">
      <c r="A656">
        <v>6</v>
      </c>
      <c r="B656" t="s">
        <v>247</v>
      </c>
      <c r="C656">
        <v>3</v>
      </c>
      <c r="D656">
        <v>0</v>
      </c>
      <c r="E656">
        <v>2</v>
      </c>
      <c r="F656">
        <v>2</v>
      </c>
      <c r="G656">
        <v>0.8</v>
      </c>
      <c r="H656">
        <v>0</v>
      </c>
      <c r="I656">
        <v>0</v>
      </c>
      <c r="J656">
        <v>0</v>
      </c>
      <c r="K656">
        <v>3412.2</v>
      </c>
      <c r="L656">
        <v>-8671.18</v>
      </c>
      <c r="M656">
        <v>-642.41</v>
      </c>
    </row>
    <row r="657" spans="1:13">
      <c r="A657">
        <v>6</v>
      </c>
      <c r="B657" t="s">
        <v>247</v>
      </c>
      <c r="C657">
        <v>3</v>
      </c>
      <c r="D657">
        <v>0</v>
      </c>
      <c r="E657">
        <v>2</v>
      </c>
      <c r="F657" t="s">
        <v>245</v>
      </c>
      <c r="G657">
        <v>1.5</v>
      </c>
      <c r="H657">
        <v>0</v>
      </c>
      <c r="I657">
        <v>0</v>
      </c>
      <c r="J657">
        <v>0</v>
      </c>
      <c r="K657">
        <v>-2657.62</v>
      </c>
      <c r="L657">
        <v>-8671.18</v>
      </c>
      <c r="M657">
        <v>-642.41</v>
      </c>
    </row>
    <row r="658" spans="1:13">
      <c r="A658">
        <v>6</v>
      </c>
      <c r="B658" t="s">
        <v>247</v>
      </c>
      <c r="C658">
        <v>4</v>
      </c>
      <c r="D658">
        <v>0</v>
      </c>
      <c r="E658">
        <v>2</v>
      </c>
      <c r="F658" t="s">
        <v>244</v>
      </c>
      <c r="G658">
        <v>0</v>
      </c>
      <c r="H658">
        <v>0</v>
      </c>
      <c r="I658">
        <v>0</v>
      </c>
      <c r="J658">
        <v>0</v>
      </c>
      <c r="K658">
        <v>-907.24</v>
      </c>
      <c r="L658">
        <v>151.08000000000001</v>
      </c>
      <c r="M658">
        <v>-7141.15</v>
      </c>
    </row>
    <row r="659" spans="1:13">
      <c r="A659">
        <v>6</v>
      </c>
      <c r="B659" t="s">
        <v>247</v>
      </c>
      <c r="C659">
        <v>4</v>
      </c>
      <c r="D659">
        <v>0</v>
      </c>
      <c r="E659">
        <v>2</v>
      </c>
      <c r="F659" t="s">
        <v>245</v>
      </c>
      <c r="G659">
        <v>1</v>
      </c>
      <c r="H659">
        <v>0</v>
      </c>
      <c r="I659">
        <v>0</v>
      </c>
      <c r="J659">
        <v>0</v>
      </c>
      <c r="K659">
        <v>-756.16</v>
      </c>
      <c r="L659">
        <v>151.08000000000001</v>
      </c>
      <c r="M659">
        <v>-7141.15</v>
      </c>
    </row>
    <row r="660" spans="1:13">
      <c r="A660">
        <v>6</v>
      </c>
      <c r="B660" t="s">
        <v>247</v>
      </c>
      <c r="C660">
        <v>5</v>
      </c>
      <c r="D660">
        <v>0</v>
      </c>
      <c r="E660">
        <v>2</v>
      </c>
      <c r="F660" t="s">
        <v>244</v>
      </c>
      <c r="G660">
        <v>0</v>
      </c>
      <c r="H660">
        <v>0</v>
      </c>
      <c r="I660">
        <v>0</v>
      </c>
      <c r="J660">
        <v>0</v>
      </c>
      <c r="K660">
        <v>-756.16</v>
      </c>
      <c r="L660">
        <v>151.08000000000001</v>
      </c>
      <c r="M660">
        <v>-7141.15</v>
      </c>
    </row>
    <row r="661" spans="1:13">
      <c r="A661">
        <v>6</v>
      </c>
      <c r="B661" t="s">
        <v>247</v>
      </c>
      <c r="C661">
        <v>5</v>
      </c>
      <c r="D661">
        <v>0</v>
      </c>
      <c r="E661">
        <v>2</v>
      </c>
      <c r="F661" t="s">
        <v>245</v>
      </c>
      <c r="G661">
        <v>2.2400000000000002</v>
      </c>
      <c r="H661">
        <v>0</v>
      </c>
      <c r="I661">
        <v>0</v>
      </c>
      <c r="J661">
        <v>0</v>
      </c>
      <c r="K661">
        <v>-417.74</v>
      </c>
      <c r="L661">
        <v>151.08000000000001</v>
      </c>
      <c r="M661">
        <v>-7141.15</v>
      </c>
    </row>
    <row r="662" spans="1:13">
      <c r="A662">
        <v>6</v>
      </c>
      <c r="B662" t="s">
        <v>247</v>
      </c>
      <c r="C662">
        <v>6</v>
      </c>
      <c r="D662">
        <v>0</v>
      </c>
      <c r="E662">
        <v>2</v>
      </c>
      <c r="F662" t="s">
        <v>244</v>
      </c>
      <c r="G662">
        <v>0</v>
      </c>
      <c r="H662">
        <v>0</v>
      </c>
      <c r="I662">
        <v>0</v>
      </c>
      <c r="J662">
        <v>0</v>
      </c>
      <c r="K662">
        <v>-417.74</v>
      </c>
      <c r="L662">
        <v>151.08000000000001</v>
      </c>
      <c r="M662">
        <v>-7141.15</v>
      </c>
    </row>
    <row r="663" spans="1:13">
      <c r="A663">
        <v>6</v>
      </c>
      <c r="B663" t="s">
        <v>247</v>
      </c>
      <c r="C663">
        <v>6</v>
      </c>
      <c r="D663">
        <v>0</v>
      </c>
      <c r="E663">
        <v>2</v>
      </c>
      <c r="F663" t="s">
        <v>245</v>
      </c>
      <c r="G663">
        <v>3.6</v>
      </c>
      <c r="H663">
        <v>0</v>
      </c>
      <c r="I663">
        <v>0</v>
      </c>
      <c r="J663">
        <v>0</v>
      </c>
      <c r="K663">
        <v>-16.02</v>
      </c>
      <c r="L663">
        <v>71.930000000000007</v>
      </c>
      <c r="M663">
        <v>-6419.84</v>
      </c>
    </row>
    <row r="664" spans="1:13">
      <c r="A664">
        <v>6</v>
      </c>
      <c r="B664" t="s">
        <v>247</v>
      </c>
      <c r="C664">
        <v>7</v>
      </c>
      <c r="D664">
        <v>0</v>
      </c>
      <c r="E664">
        <v>2</v>
      </c>
      <c r="F664" t="s">
        <v>244</v>
      </c>
      <c r="G664">
        <v>0</v>
      </c>
      <c r="H664">
        <v>0</v>
      </c>
      <c r="I664">
        <v>0</v>
      </c>
      <c r="J664">
        <v>0</v>
      </c>
      <c r="K664">
        <v>-16.02</v>
      </c>
      <c r="L664">
        <v>71.930000000000007</v>
      </c>
      <c r="M664">
        <v>-6419.84</v>
      </c>
    </row>
    <row r="665" spans="1:13">
      <c r="A665">
        <v>6</v>
      </c>
      <c r="B665" t="s">
        <v>247</v>
      </c>
      <c r="C665">
        <v>7</v>
      </c>
      <c r="D665">
        <v>0</v>
      </c>
      <c r="E665">
        <v>2</v>
      </c>
      <c r="F665" t="s">
        <v>245</v>
      </c>
      <c r="G665">
        <v>2.7</v>
      </c>
      <c r="H665">
        <v>0</v>
      </c>
      <c r="I665">
        <v>0</v>
      </c>
      <c r="J665">
        <v>0</v>
      </c>
      <c r="K665">
        <v>159.07</v>
      </c>
      <c r="L665">
        <v>58.43</v>
      </c>
      <c r="M665">
        <v>-6284.21</v>
      </c>
    </row>
    <row r="666" spans="1:13">
      <c r="A666">
        <v>6</v>
      </c>
      <c r="B666" t="s">
        <v>247</v>
      </c>
      <c r="C666">
        <v>8</v>
      </c>
      <c r="D666">
        <v>0</v>
      </c>
      <c r="E666">
        <v>2</v>
      </c>
      <c r="F666" t="s">
        <v>244</v>
      </c>
      <c r="G666">
        <v>0</v>
      </c>
      <c r="H666">
        <v>0</v>
      </c>
      <c r="I666">
        <v>0</v>
      </c>
      <c r="J666">
        <v>0</v>
      </c>
      <c r="K666">
        <v>159.07</v>
      </c>
      <c r="L666">
        <v>58.43</v>
      </c>
      <c r="M666">
        <v>-6284.21</v>
      </c>
    </row>
    <row r="667" spans="1:13">
      <c r="A667">
        <v>6</v>
      </c>
      <c r="B667" t="s">
        <v>247</v>
      </c>
      <c r="C667">
        <v>8</v>
      </c>
      <c r="D667">
        <v>0</v>
      </c>
      <c r="E667">
        <v>2</v>
      </c>
      <c r="F667" t="s">
        <v>245</v>
      </c>
      <c r="G667">
        <v>2.8</v>
      </c>
      <c r="H667">
        <v>0</v>
      </c>
      <c r="I667">
        <v>0</v>
      </c>
      <c r="J667">
        <v>0</v>
      </c>
      <c r="K667">
        <v>235.69</v>
      </c>
      <c r="L667">
        <v>2.0699999999999998</v>
      </c>
      <c r="M667">
        <v>-5450.24</v>
      </c>
    </row>
    <row r="668" spans="1:13">
      <c r="A668">
        <v>6</v>
      </c>
      <c r="B668" t="s">
        <v>247</v>
      </c>
      <c r="C668">
        <v>9</v>
      </c>
      <c r="D668">
        <v>0</v>
      </c>
      <c r="E668">
        <v>2</v>
      </c>
      <c r="F668" t="s">
        <v>244</v>
      </c>
      <c r="G668">
        <v>0</v>
      </c>
      <c r="H668">
        <v>0</v>
      </c>
      <c r="I668">
        <v>0</v>
      </c>
      <c r="J668">
        <v>0</v>
      </c>
      <c r="K668">
        <v>235.69</v>
      </c>
      <c r="L668">
        <v>2.0699999999999998</v>
      </c>
      <c r="M668">
        <v>-5450.24</v>
      </c>
    </row>
    <row r="669" spans="1:13">
      <c r="A669">
        <v>6</v>
      </c>
      <c r="B669" t="s">
        <v>247</v>
      </c>
      <c r="C669">
        <v>9</v>
      </c>
      <c r="D669">
        <v>0</v>
      </c>
      <c r="E669">
        <v>2</v>
      </c>
      <c r="F669" t="s">
        <v>245</v>
      </c>
      <c r="G669">
        <v>8.16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-1387.34</v>
      </c>
    </row>
    <row r="670" spans="1:13">
      <c r="A670">
        <v>6</v>
      </c>
      <c r="B670" t="s">
        <v>247</v>
      </c>
      <c r="C670">
        <v>10</v>
      </c>
      <c r="D670">
        <v>0</v>
      </c>
      <c r="E670">
        <v>2</v>
      </c>
      <c r="F670" t="s">
        <v>244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-1387.34</v>
      </c>
    </row>
    <row r="671" spans="1:13">
      <c r="A671">
        <v>6</v>
      </c>
      <c r="B671" t="s">
        <v>247</v>
      </c>
      <c r="C671">
        <v>10</v>
      </c>
      <c r="D671">
        <v>0</v>
      </c>
      <c r="E671">
        <v>2</v>
      </c>
      <c r="F671" t="s">
        <v>245</v>
      </c>
      <c r="G671">
        <v>1.5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-671.63</v>
      </c>
    </row>
    <row r="672" spans="1:13">
      <c r="A672">
        <v>6</v>
      </c>
      <c r="B672" t="s">
        <v>247</v>
      </c>
      <c r="C672">
        <v>11</v>
      </c>
      <c r="D672">
        <v>0</v>
      </c>
      <c r="E672">
        <v>2</v>
      </c>
      <c r="F672" t="s">
        <v>244</v>
      </c>
      <c r="G672">
        <v>0</v>
      </c>
      <c r="H672">
        <v>0</v>
      </c>
      <c r="I672">
        <v>0</v>
      </c>
      <c r="J672">
        <v>0</v>
      </c>
      <c r="K672">
        <v>-2657.62</v>
      </c>
      <c r="L672">
        <v>642.41</v>
      </c>
      <c r="M672">
        <v>-8671.18</v>
      </c>
    </row>
    <row r="673" spans="1:13">
      <c r="A673">
        <v>6</v>
      </c>
      <c r="B673" t="s">
        <v>247</v>
      </c>
      <c r="C673">
        <v>11</v>
      </c>
      <c r="D673">
        <v>0</v>
      </c>
      <c r="E673">
        <v>2</v>
      </c>
      <c r="F673" t="s">
        <v>245</v>
      </c>
      <c r="G673">
        <v>1</v>
      </c>
      <c r="H673">
        <v>0</v>
      </c>
      <c r="I673">
        <v>0</v>
      </c>
      <c r="J673">
        <v>0</v>
      </c>
      <c r="K673">
        <v>-2015.22</v>
      </c>
      <c r="L673">
        <v>642.41</v>
      </c>
      <c r="M673">
        <v>-8671.18</v>
      </c>
    </row>
    <row r="674" spans="1:13">
      <c r="A674">
        <v>6</v>
      </c>
      <c r="B674" t="s">
        <v>247</v>
      </c>
      <c r="C674">
        <v>12</v>
      </c>
      <c r="D674">
        <v>0</v>
      </c>
      <c r="E674">
        <v>2</v>
      </c>
      <c r="F674" t="s">
        <v>244</v>
      </c>
      <c r="G674">
        <v>0</v>
      </c>
      <c r="H674">
        <v>0</v>
      </c>
      <c r="I674">
        <v>0</v>
      </c>
      <c r="J674">
        <v>0</v>
      </c>
      <c r="K674">
        <v>-2015.22</v>
      </c>
      <c r="L674">
        <v>642.41</v>
      </c>
      <c r="M674">
        <v>-8671.18</v>
      </c>
    </row>
    <row r="675" spans="1:13">
      <c r="A675">
        <v>6</v>
      </c>
      <c r="B675" t="s">
        <v>247</v>
      </c>
      <c r="C675">
        <v>12</v>
      </c>
      <c r="D675">
        <v>0</v>
      </c>
      <c r="E675">
        <v>2</v>
      </c>
      <c r="F675" t="s">
        <v>245</v>
      </c>
      <c r="G675">
        <v>2.2400000000000002</v>
      </c>
      <c r="H675">
        <v>0</v>
      </c>
      <c r="I675">
        <v>0</v>
      </c>
      <c r="J675">
        <v>0</v>
      </c>
      <c r="K675">
        <v>-576.22</v>
      </c>
      <c r="L675">
        <v>642.41</v>
      </c>
      <c r="M675">
        <v>-8671.18</v>
      </c>
    </row>
    <row r="676" spans="1:13">
      <c r="A676">
        <v>6</v>
      </c>
      <c r="B676" t="s">
        <v>247</v>
      </c>
      <c r="C676">
        <v>13</v>
      </c>
      <c r="D676">
        <v>0</v>
      </c>
      <c r="E676">
        <v>2</v>
      </c>
      <c r="F676" t="s">
        <v>244</v>
      </c>
      <c r="G676">
        <v>0</v>
      </c>
      <c r="H676">
        <v>0</v>
      </c>
      <c r="I676">
        <v>0</v>
      </c>
      <c r="J676">
        <v>0</v>
      </c>
      <c r="K676">
        <v>-576.22</v>
      </c>
      <c r="L676">
        <v>642.41</v>
      </c>
      <c r="M676">
        <v>-8671.18</v>
      </c>
    </row>
    <row r="677" spans="1:13">
      <c r="A677">
        <v>6</v>
      </c>
      <c r="B677" t="s">
        <v>247</v>
      </c>
      <c r="C677">
        <v>13</v>
      </c>
      <c r="D677">
        <v>0</v>
      </c>
      <c r="E677">
        <v>2</v>
      </c>
      <c r="F677" t="s">
        <v>245</v>
      </c>
      <c r="G677">
        <v>3.6</v>
      </c>
      <c r="H677">
        <v>0</v>
      </c>
      <c r="I677">
        <v>0</v>
      </c>
      <c r="J677">
        <v>0</v>
      </c>
      <c r="K677">
        <v>639.42999999999995</v>
      </c>
      <c r="L677">
        <v>93.83</v>
      </c>
      <c r="M677">
        <v>-7791.57</v>
      </c>
    </row>
    <row r="678" spans="1:13">
      <c r="A678">
        <v>6</v>
      </c>
      <c r="B678" t="s">
        <v>247</v>
      </c>
      <c r="C678">
        <v>14</v>
      </c>
      <c r="D678">
        <v>0</v>
      </c>
      <c r="E678">
        <v>2</v>
      </c>
      <c r="F678" t="s">
        <v>244</v>
      </c>
      <c r="G678">
        <v>0</v>
      </c>
      <c r="H678">
        <v>0</v>
      </c>
      <c r="I678">
        <v>0</v>
      </c>
      <c r="J678">
        <v>0</v>
      </c>
      <c r="K678">
        <v>639.42999999999995</v>
      </c>
      <c r="L678">
        <v>93.83</v>
      </c>
      <c r="M678">
        <v>-7791.57</v>
      </c>
    </row>
    <row r="679" spans="1:13">
      <c r="A679">
        <v>6</v>
      </c>
      <c r="B679" t="s">
        <v>247</v>
      </c>
      <c r="C679">
        <v>14</v>
      </c>
      <c r="D679">
        <v>0</v>
      </c>
      <c r="E679">
        <v>2</v>
      </c>
      <c r="F679" t="s">
        <v>245</v>
      </c>
      <c r="G679">
        <v>2.7</v>
      </c>
      <c r="H679">
        <v>0</v>
      </c>
      <c r="I679">
        <v>0</v>
      </c>
      <c r="J679">
        <v>0</v>
      </c>
      <c r="K679">
        <v>812.03</v>
      </c>
      <c r="L679">
        <v>40.75</v>
      </c>
      <c r="M679">
        <v>-7626.4</v>
      </c>
    </row>
    <row r="680" spans="1:13">
      <c r="A680">
        <v>6</v>
      </c>
      <c r="B680" t="s">
        <v>247</v>
      </c>
      <c r="C680">
        <v>15</v>
      </c>
      <c r="D680">
        <v>0</v>
      </c>
      <c r="E680">
        <v>2</v>
      </c>
      <c r="F680" t="s">
        <v>244</v>
      </c>
      <c r="G680">
        <v>0</v>
      </c>
      <c r="H680">
        <v>0</v>
      </c>
      <c r="I680">
        <v>0</v>
      </c>
      <c r="J680">
        <v>0</v>
      </c>
      <c r="K680">
        <v>812.03</v>
      </c>
      <c r="L680">
        <v>40.75</v>
      </c>
      <c r="M680">
        <v>-7626.4</v>
      </c>
    </row>
    <row r="681" spans="1:13">
      <c r="A681">
        <v>6</v>
      </c>
      <c r="B681" t="s">
        <v>247</v>
      </c>
      <c r="C681">
        <v>15</v>
      </c>
      <c r="D681">
        <v>0</v>
      </c>
      <c r="E681">
        <v>2</v>
      </c>
      <c r="F681" t="s">
        <v>245</v>
      </c>
      <c r="G681">
        <v>2.8</v>
      </c>
      <c r="H681">
        <v>0</v>
      </c>
      <c r="I681">
        <v>0</v>
      </c>
      <c r="J681">
        <v>0</v>
      </c>
      <c r="K681">
        <v>704.16</v>
      </c>
      <c r="L681">
        <v>-90.76</v>
      </c>
      <c r="M681">
        <v>-6612.2</v>
      </c>
    </row>
    <row r="682" spans="1:13">
      <c r="A682">
        <v>6</v>
      </c>
      <c r="B682" t="s">
        <v>247</v>
      </c>
      <c r="C682">
        <v>16</v>
      </c>
      <c r="D682">
        <v>0</v>
      </c>
      <c r="E682">
        <v>2</v>
      </c>
      <c r="F682" t="s">
        <v>244</v>
      </c>
      <c r="G682">
        <v>0</v>
      </c>
      <c r="H682">
        <v>0</v>
      </c>
      <c r="I682">
        <v>0</v>
      </c>
      <c r="J682">
        <v>0</v>
      </c>
      <c r="K682">
        <v>704.16</v>
      </c>
      <c r="L682">
        <v>-90.76</v>
      </c>
      <c r="M682">
        <v>-6612.2</v>
      </c>
    </row>
    <row r="683" spans="1:13">
      <c r="A683">
        <v>6</v>
      </c>
      <c r="B683" t="s">
        <v>247</v>
      </c>
      <c r="C683">
        <v>16</v>
      </c>
      <c r="D683">
        <v>0</v>
      </c>
      <c r="E683">
        <v>2</v>
      </c>
      <c r="F683" t="s">
        <v>245</v>
      </c>
      <c r="G683">
        <v>8.16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-1681.65</v>
      </c>
    </row>
    <row r="684" spans="1:13">
      <c r="A684">
        <v>6</v>
      </c>
      <c r="B684" t="s">
        <v>247</v>
      </c>
      <c r="C684">
        <v>17</v>
      </c>
      <c r="D684">
        <v>0</v>
      </c>
      <c r="E684">
        <v>2</v>
      </c>
      <c r="F684" t="s">
        <v>244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-1681.65</v>
      </c>
    </row>
    <row r="685" spans="1:13">
      <c r="A685">
        <v>6</v>
      </c>
      <c r="B685" t="s">
        <v>247</v>
      </c>
      <c r="C685">
        <v>17</v>
      </c>
      <c r="D685">
        <v>0</v>
      </c>
      <c r="E685">
        <v>2</v>
      </c>
      <c r="F685" t="s">
        <v>245</v>
      </c>
      <c r="G685">
        <v>1.5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-814.08</v>
      </c>
    </row>
    <row r="686" spans="1:13">
      <c r="A686">
        <v>7</v>
      </c>
      <c r="B686" t="s">
        <v>243</v>
      </c>
      <c r="C686">
        <v>1</v>
      </c>
      <c r="D686">
        <v>0</v>
      </c>
      <c r="E686">
        <v>1</v>
      </c>
      <c r="F686" t="s">
        <v>244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</row>
    <row r="687" spans="1:13">
      <c r="A687">
        <v>7</v>
      </c>
      <c r="B687" t="s">
        <v>243</v>
      </c>
      <c r="C687">
        <v>1</v>
      </c>
      <c r="D687">
        <v>0</v>
      </c>
      <c r="E687">
        <v>1</v>
      </c>
      <c r="F687" t="s">
        <v>245</v>
      </c>
      <c r="G687">
        <v>1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</row>
    <row r="688" spans="1:13">
      <c r="A688">
        <v>7</v>
      </c>
      <c r="B688" t="s">
        <v>243</v>
      </c>
      <c r="C688">
        <v>2</v>
      </c>
      <c r="D688">
        <v>1</v>
      </c>
      <c r="E688">
        <v>0</v>
      </c>
      <c r="F688" t="s">
        <v>244</v>
      </c>
      <c r="G688">
        <v>0</v>
      </c>
      <c r="H688">
        <v>1343.28</v>
      </c>
      <c r="I688">
        <v>3978.21</v>
      </c>
      <c r="J688">
        <v>321.27999999999997</v>
      </c>
      <c r="K688">
        <v>0</v>
      </c>
      <c r="L688">
        <v>0</v>
      </c>
      <c r="M688">
        <v>0</v>
      </c>
    </row>
    <row r="689" spans="1:13">
      <c r="A689">
        <v>7</v>
      </c>
      <c r="B689" t="s">
        <v>243</v>
      </c>
      <c r="C689">
        <v>2</v>
      </c>
      <c r="D689">
        <v>1</v>
      </c>
      <c r="E689">
        <v>0</v>
      </c>
      <c r="F689">
        <v>1</v>
      </c>
      <c r="G689">
        <v>2.2000000000000002</v>
      </c>
      <c r="H689">
        <v>10590.81</v>
      </c>
      <c r="I689">
        <v>4367.01</v>
      </c>
      <c r="J689">
        <v>221.27</v>
      </c>
      <c r="K689">
        <v>0</v>
      </c>
      <c r="L689">
        <v>0</v>
      </c>
      <c r="M689">
        <v>0</v>
      </c>
    </row>
    <row r="690" spans="1:13">
      <c r="A690">
        <v>7</v>
      </c>
      <c r="B690" t="s">
        <v>243</v>
      </c>
      <c r="C690">
        <v>2</v>
      </c>
      <c r="D690">
        <v>1</v>
      </c>
      <c r="E690">
        <v>0</v>
      </c>
      <c r="F690">
        <v>2</v>
      </c>
      <c r="G690">
        <v>2.2000000000000002</v>
      </c>
      <c r="H690">
        <v>10590.81</v>
      </c>
      <c r="I690">
        <v>4367.01</v>
      </c>
      <c r="J690">
        <v>221.27</v>
      </c>
      <c r="K690">
        <v>0</v>
      </c>
      <c r="L690">
        <v>0</v>
      </c>
      <c r="M690">
        <v>0</v>
      </c>
    </row>
    <row r="691" spans="1:13">
      <c r="A691">
        <v>7</v>
      </c>
      <c r="B691" t="s">
        <v>243</v>
      </c>
      <c r="C691">
        <v>2</v>
      </c>
      <c r="D691">
        <v>1</v>
      </c>
      <c r="E691">
        <v>0</v>
      </c>
      <c r="F691" t="s">
        <v>245</v>
      </c>
      <c r="G691">
        <v>3</v>
      </c>
      <c r="H691">
        <v>14084.41</v>
      </c>
      <c r="I691">
        <v>4367.01</v>
      </c>
      <c r="J691">
        <v>221.27</v>
      </c>
      <c r="K691">
        <v>0</v>
      </c>
      <c r="L691">
        <v>0</v>
      </c>
      <c r="M691">
        <v>0</v>
      </c>
    </row>
    <row r="692" spans="1:13">
      <c r="A692">
        <v>7</v>
      </c>
      <c r="B692" t="s">
        <v>243</v>
      </c>
      <c r="C692">
        <v>3</v>
      </c>
      <c r="D692">
        <v>1</v>
      </c>
      <c r="E692">
        <v>0</v>
      </c>
      <c r="F692" t="s">
        <v>244</v>
      </c>
      <c r="G692">
        <v>0</v>
      </c>
      <c r="H692">
        <v>7149.62</v>
      </c>
      <c r="I692">
        <v>-5665.14</v>
      </c>
      <c r="J692">
        <v>-321.93</v>
      </c>
      <c r="K692">
        <v>0</v>
      </c>
      <c r="L692">
        <v>0</v>
      </c>
      <c r="M692">
        <v>0</v>
      </c>
    </row>
    <row r="693" spans="1:13">
      <c r="A693">
        <v>7</v>
      </c>
      <c r="B693" t="s">
        <v>243</v>
      </c>
      <c r="C693">
        <v>3</v>
      </c>
      <c r="D693">
        <v>1</v>
      </c>
      <c r="E693">
        <v>0</v>
      </c>
      <c r="F693">
        <v>1</v>
      </c>
      <c r="G693">
        <v>0.8</v>
      </c>
      <c r="H693">
        <v>2705.07</v>
      </c>
      <c r="I693">
        <v>-5276.34</v>
      </c>
      <c r="J693">
        <v>-221.94</v>
      </c>
      <c r="K693">
        <v>0</v>
      </c>
      <c r="L693">
        <v>0</v>
      </c>
      <c r="M693">
        <v>0</v>
      </c>
    </row>
    <row r="694" spans="1:13">
      <c r="A694">
        <v>7</v>
      </c>
      <c r="B694" t="s">
        <v>243</v>
      </c>
      <c r="C694">
        <v>3</v>
      </c>
      <c r="D694">
        <v>1</v>
      </c>
      <c r="E694">
        <v>0</v>
      </c>
      <c r="F694">
        <v>2</v>
      </c>
      <c r="G694">
        <v>0.8</v>
      </c>
      <c r="H694">
        <v>2705.07</v>
      </c>
      <c r="I694">
        <v>-5276.34</v>
      </c>
      <c r="J694">
        <v>-221.94</v>
      </c>
      <c r="K694">
        <v>0</v>
      </c>
      <c r="L694">
        <v>0</v>
      </c>
      <c r="M694">
        <v>0</v>
      </c>
    </row>
    <row r="695" spans="1:13">
      <c r="A695">
        <v>7</v>
      </c>
      <c r="B695" t="s">
        <v>243</v>
      </c>
      <c r="C695">
        <v>3</v>
      </c>
      <c r="D695">
        <v>0</v>
      </c>
      <c r="E695">
        <v>1</v>
      </c>
      <c r="F695" t="s">
        <v>245</v>
      </c>
      <c r="G695">
        <v>1.5</v>
      </c>
      <c r="H695">
        <v>0</v>
      </c>
      <c r="I695">
        <v>0</v>
      </c>
      <c r="J695">
        <v>0</v>
      </c>
      <c r="K695">
        <v>-1348.09</v>
      </c>
      <c r="L695">
        <v>-5665.14</v>
      </c>
      <c r="M695">
        <v>-321.93</v>
      </c>
    </row>
    <row r="696" spans="1:13">
      <c r="A696">
        <v>7</v>
      </c>
      <c r="B696" t="s">
        <v>243</v>
      </c>
      <c r="C696">
        <v>4</v>
      </c>
      <c r="D696">
        <v>0</v>
      </c>
      <c r="E696">
        <v>1</v>
      </c>
      <c r="F696" t="s">
        <v>244</v>
      </c>
      <c r="G696">
        <v>0</v>
      </c>
      <c r="H696">
        <v>0</v>
      </c>
      <c r="I696">
        <v>0</v>
      </c>
      <c r="J696">
        <v>0</v>
      </c>
      <c r="K696">
        <v>-1343.28</v>
      </c>
      <c r="L696">
        <v>321.27999999999997</v>
      </c>
      <c r="M696">
        <v>-3978.21</v>
      </c>
    </row>
    <row r="697" spans="1:13">
      <c r="A697">
        <v>7</v>
      </c>
      <c r="B697" t="s">
        <v>243</v>
      </c>
      <c r="C697">
        <v>4</v>
      </c>
      <c r="D697">
        <v>0</v>
      </c>
      <c r="E697">
        <v>1</v>
      </c>
      <c r="F697" t="s">
        <v>245</v>
      </c>
      <c r="G697">
        <v>1</v>
      </c>
      <c r="H697">
        <v>0</v>
      </c>
      <c r="I697">
        <v>0</v>
      </c>
      <c r="J697">
        <v>0</v>
      </c>
      <c r="K697">
        <v>-1021.99</v>
      </c>
      <c r="L697">
        <v>321.27999999999997</v>
      </c>
      <c r="M697">
        <v>-3978.21</v>
      </c>
    </row>
    <row r="698" spans="1:13">
      <c r="A698">
        <v>7</v>
      </c>
      <c r="B698" t="s">
        <v>243</v>
      </c>
      <c r="C698">
        <v>5</v>
      </c>
      <c r="D698">
        <v>0</v>
      </c>
      <c r="E698">
        <v>1</v>
      </c>
      <c r="F698" t="s">
        <v>244</v>
      </c>
      <c r="G698">
        <v>0</v>
      </c>
      <c r="H698">
        <v>0</v>
      </c>
      <c r="I698">
        <v>0</v>
      </c>
      <c r="J698">
        <v>0</v>
      </c>
      <c r="K698">
        <v>-1021.99</v>
      </c>
      <c r="L698">
        <v>321.27999999999997</v>
      </c>
      <c r="M698">
        <v>-3978.21</v>
      </c>
    </row>
    <row r="699" spans="1:13">
      <c r="A699">
        <v>7</v>
      </c>
      <c r="B699" t="s">
        <v>243</v>
      </c>
      <c r="C699">
        <v>5</v>
      </c>
      <c r="D699">
        <v>0</v>
      </c>
      <c r="E699">
        <v>1</v>
      </c>
      <c r="F699" t="s">
        <v>245</v>
      </c>
      <c r="G699">
        <v>2.2400000000000002</v>
      </c>
      <c r="H699">
        <v>0</v>
      </c>
      <c r="I699">
        <v>0</v>
      </c>
      <c r="J699">
        <v>0</v>
      </c>
      <c r="K699">
        <v>-302.32</v>
      </c>
      <c r="L699">
        <v>321.27999999999997</v>
      </c>
      <c r="M699">
        <v>-3978.21</v>
      </c>
    </row>
    <row r="700" spans="1:13">
      <c r="A700">
        <v>7</v>
      </c>
      <c r="B700" t="s">
        <v>243</v>
      </c>
      <c r="C700">
        <v>6</v>
      </c>
      <c r="D700">
        <v>0</v>
      </c>
      <c r="E700">
        <v>1</v>
      </c>
      <c r="F700" t="s">
        <v>244</v>
      </c>
      <c r="G700">
        <v>0</v>
      </c>
      <c r="H700">
        <v>0</v>
      </c>
      <c r="I700">
        <v>0</v>
      </c>
      <c r="J700">
        <v>0</v>
      </c>
      <c r="K700">
        <v>-302.32</v>
      </c>
      <c r="L700">
        <v>321.27999999999997</v>
      </c>
      <c r="M700">
        <v>-3978.21</v>
      </c>
    </row>
    <row r="701" spans="1:13">
      <c r="A701">
        <v>7</v>
      </c>
      <c r="B701" t="s">
        <v>243</v>
      </c>
      <c r="C701">
        <v>6</v>
      </c>
      <c r="D701">
        <v>1</v>
      </c>
      <c r="E701">
        <v>0</v>
      </c>
      <c r="F701" t="s">
        <v>245</v>
      </c>
      <c r="G701">
        <v>3.6</v>
      </c>
      <c r="H701">
        <v>317.63</v>
      </c>
      <c r="I701">
        <v>51.94</v>
      </c>
      <c r="J701">
        <v>-3584.64</v>
      </c>
      <c r="K701">
        <v>0</v>
      </c>
      <c r="L701">
        <v>0</v>
      </c>
      <c r="M701">
        <v>0</v>
      </c>
    </row>
    <row r="702" spans="1:13">
      <c r="A702">
        <v>7</v>
      </c>
      <c r="B702" t="s">
        <v>243</v>
      </c>
      <c r="C702">
        <v>7</v>
      </c>
      <c r="D702">
        <v>1</v>
      </c>
      <c r="E702">
        <v>0</v>
      </c>
      <c r="F702" t="s">
        <v>244</v>
      </c>
      <c r="G702">
        <v>0</v>
      </c>
      <c r="H702">
        <v>317.63</v>
      </c>
      <c r="I702">
        <v>51.94</v>
      </c>
      <c r="J702">
        <v>-3584.64</v>
      </c>
      <c r="K702">
        <v>0</v>
      </c>
      <c r="L702">
        <v>0</v>
      </c>
      <c r="M702">
        <v>0</v>
      </c>
    </row>
    <row r="703" spans="1:13">
      <c r="A703">
        <v>7</v>
      </c>
      <c r="B703" t="s">
        <v>243</v>
      </c>
      <c r="C703">
        <v>7</v>
      </c>
      <c r="D703">
        <v>1</v>
      </c>
      <c r="E703">
        <v>0</v>
      </c>
      <c r="F703" t="s">
        <v>245</v>
      </c>
      <c r="G703">
        <v>2.7</v>
      </c>
      <c r="H703">
        <v>417.29</v>
      </c>
      <c r="I703">
        <v>25.14</v>
      </c>
      <c r="J703">
        <v>-3510.13</v>
      </c>
      <c r="K703">
        <v>0</v>
      </c>
      <c r="L703">
        <v>0</v>
      </c>
      <c r="M703">
        <v>0</v>
      </c>
    </row>
    <row r="704" spans="1:13">
      <c r="A704">
        <v>7</v>
      </c>
      <c r="B704" t="s">
        <v>243</v>
      </c>
      <c r="C704">
        <v>8</v>
      </c>
      <c r="D704">
        <v>1</v>
      </c>
      <c r="E704">
        <v>0</v>
      </c>
      <c r="F704" t="s">
        <v>244</v>
      </c>
      <c r="G704">
        <v>0</v>
      </c>
      <c r="H704">
        <v>417.29</v>
      </c>
      <c r="I704">
        <v>25.14</v>
      </c>
      <c r="J704">
        <v>-3510.13</v>
      </c>
      <c r="K704">
        <v>0</v>
      </c>
      <c r="L704">
        <v>0</v>
      </c>
      <c r="M704">
        <v>0</v>
      </c>
    </row>
    <row r="705" spans="1:13">
      <c r="A705">
        <v>7</v>
      </c>
      <c r="B705" t="s">
        <v>243</v>
      </c>
      <c r="C705">
        <v>8</v>
      </c>
      <c r="D705">
        <v>1</v>
      </c>
      <c r="E705">
        <v>0</v>
      </c>
      <c r="F705" t="s">
        <v>245</v>
      </c>
      <c r="G705">
        <v>2.8</v>
      </c>
      <c r="H705">
        <v>371.68</v>
      </c>
      <c r="I705">
        <v>-44.21</v>
      </c>
      <c r="J705">
        <v>-3048.96</v>
      </c>
      <c r="K705">
        <v>0</v>
      </c>
      <c r="L705">
        <v>0</v>
      </c>
      <c r="M705">
        <v>0</v>
      </c>
    </row>
    <row r="706" spans="1:13">
      <c r="A706">
        <v>7</v>
      </c>
      <c r="B706" t="s">
        <v>243</v>
      </c>
      <c r="C706">
        <v>9</v>
      </c>
      <c r="D706">
        <v>1</v>
      </c>
      <c r="E706">
        <v>0</v>
      </c>
      <c r="F706" t="s">
        <v>244</v>
      </c>
      <c r="G706">
        <v>0</v>
      </c>
      <c r="H706">
        <v>371.68</v>
      </c>
      <c r="I706">
        <v>-44.21</v>
      </c>
      <c r="J706">
        <v>-3048.96</v>
      </c>
      <c r="K706">
        <v>0</v>
      </c>
      <c r="L706">
        <v>0</v>
      </c>
      <c r="M706">
        <v>0</v>
      </c>
    </row>
    <row r="707" spans="1:13">
      <c r="A707">
        <v>7</v>
      </c>
      <c r="B707" t="s">
        <v>243</v>
      </c>
      <c r="C707">
        <v>9</v>
      </c>
      <c r="D707">
        <v>0</v>
      </c>
      <c r="E707">
        <v>1</v>
      </c>
      <c r="F707" t="s">
        <v>245</v>
      </c>
      <c r="G707">
        <v>8.16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-779.32</v>
      </c>
    </row>
    <row r="708" spans="1:13">
      <c r="A708">
        <v>7</v>
      </c>
      <c r="B708" t="s">
        <v>243</v>
      </c>
      <c r="C708">
        <v>10</v>
      </c>
      <c r="D708">
        <v>0</v>
      </c>
      <c r="E708">
        <v>1</v>
      </c>
      <c r="F708" t="s">
        <v>244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-779.32</v>
      </c>
    </row>
    <row r="709" spans="1:13">
      <c r="A709">
        <v>7</v>
      </c>
      <c r="B709" t="s">
        <v>243</v>
      </c>
      <c r="C709">
        <v>10</v>
      </c>
      <c r="D709">
        <v>1</v>
      </c>
      <c r="E709">
        <v>0</v>
      </c>
      <c r="F709" t="s">
        <v>245</v>
      </c>
      <c r="G709">
        <v>1.5</v>
      </c>
      <c r="H709">
        <v>0</v>
      </c>
      <c r="I709">
        <v>0</v>
      </c>
      <c r="J709">
        <v>-377.34</v>
      </c>
      <c r="K709">
        <v>0</v>
      </c>
      <c r="L709">
        <v>0</v>
      </c>
      <c r="M709">
        <v>0</v>
      </c>
    </row>
    <row r="710" spans="1:13">
      <c r="A710">
        <v>7</v>
      </c>
      <c r="B710" t="s">
        <v>243</v>
      </c>
      <c r="C710">
        <v>11</v>
      </c>
      <c r="D710">
        <v>0</v>
      </c>
      <c r="E710">
        <v>1</v>
      </c>
      <c r="F710" t="s">
        <v>244</v>
      </c>
      <c r="G710">
        <v>0</v>
      </c>
      <c r="H710">
        <v>0</v>
      </c>
      <c r="I710">
        <v>0</v>
      </c>
      <c r="J710">
        <v>0</v>
      </c>
      <c r="K710">
        <v>-1348.09</v>
      </c>
      <c r="L710">
        <v>321.93</v>
      </c>
      <c r="M710">
        <v>-5665.14</v>
      </c>
    </row>
    <row r="711" spans="1:13">
      <c r="A711">
        <v>7</v>
      </c>
      <c r="B711" t="s">
        <v>243</v>
      </c>
      <c r="C711">
        <v>11</v>
      </c>
      <c r="D711">
        <v>0</v>
      </c>
      <c r="E711">
        <v>1</v>
      </c>
      <c r="F711" t="s">
        <v>245</v>
      </c>
      <c r="G711">
        <v>1</v>
      </c>
      <c r="H711">
        <v>0</v>
      </c>
      <c r="I711">
        <v>0</v>
      </c>
      <c r="J711">
        <v>0</v>
      </c>
      <c r="K711">
        <v>-1026.1600000000001</v>
      </c>
      <c r="L711">
        <v>321.93</v>
      </c>
      <c r="M711">
        <v>-5665.14</v>
      </c>
    </row>
    <row r="712" spans="1:13">
      <c r="A712">
        <v>7</v>
      </c>
      <c r="B712" t="s">
        <v>243</v>
      </c>
      <c r="C712">
        <v>12</v>
      </c>
      <c r="D712">
        <v>0</v>
      </c>
      <c r="E712">
        <v>1</v>
      </c>
      <c r="F712" t="s">
        <v>244</v>
      </c>
      <c r="G712">
        <v>0</v>
      </c>
      <c r="H712">
        <v>0</v>
      </c>
      <c r="I712">
        <v>0</v>
      </c>
      <c r="J712">
        <v>0</v>
      </c>
      <c r="K712">
        <v>-1026.1600000000001</v>
      </c>
      <c r="L712">
        <v>321.93</v>
      </c>
      <c r="M712">
        <v>-5665.14</v>
      </c>
    </row>
    <row r="713" spans="1:13">
      <c r="A713">
        <v>7</v>
      </c>
      <c r="B713" t="s">
        <v>243</v>
      </c>
      <c r="C713">
        <v>12</v>
      </c>
      <c r="D713">
        <v>0</v>
      </c>
      <c r="E713">
        <v>1</v>
      </c>
      <c r="F713" t="s">
        <v>245</v>
      </c>
      <c r="G713">
        <v>2.2400000000000002</v>
      </c>
      <c r="H713">
        <v>0</v>
      </c>
      <c r="I713">
        <v>0</v>
      </c>
      <c r="J713">
        <v>0</v>
      </c>
      <c r="K713">
        <v>-305.04000000000002</v>
      </c>
      <c r="L713">
        <v>321.93</v>
      </c>
      <c r="M713">
        <v>-5665.14</v>
      </c>
    </row>
    <row r="714" spans="1:13">
      <c r="A714">
        <v>7</v>
      </c>
      <c r="B714" t="s">
        <v>243</v>
      </c>
      <c r="C714">
        <v>13</v>
      </c>
      <c r="D714">
        <v>0</v>
      </c>
      <c r="E714">
        <v>1</v>
      </c>
      <c r="F714" t="s">
        <v>244</v>
      </c>
      <c r="G714">
        <v>0</v>
      </c>
      <c r="H714">
        <v>0</v>
      </c>
      <c r="I714">
        <v>0</v>
      </c>
      <c r="J714">
        <v>0</v>
      </c>
      <c r="K714">
        <v>-305.04000000000002</v>
      </c>
      <c r="L714">
        <v>321.93</v>
      </c>
      <c r="M714">
        <v>-5665.14</v>
      </c>
    </row>
    <row r="715" spans="1:13">
      <c r="A715">
        <v>7</v>
      </c>
      <c r="B715" t="s">
        <v>243</v>
      </c>
      <c r="C715">
        <v>13</v>
      </c>
      <c r="D715">
        <v>1</v>
      </c>
      <c r="E715">
        <v>0</v>
      </c>
      <c r="F715" t="s">
        <v>245</v>
      </c>
      <c r="G715">
        <v>3.6</v>
      </c>
      <c r="H715">
        <v>316.67</v>
      </c>
      <c r="I715">
        <v>52.28</v>
      </c>
      <c r="J715">
        <v>-5092.83</v>
      </c>
      <c r="K715">
        <v>0</v>
      </c>
      <c r="L715">
        <v>0</v>
      </c>
      <c r="M715">
        <v>0</v>
      </c>
    </row>
    <row r="716" spans="1:13">
      <c r="A716">
        <v>7</v>
      </c>
      <c r="B716" t="s">
        <v>243</v>
      </c>
      <c r="C716">
        <v>14</v>
      </c>
      <c r="D716">
        <v>1</v>
      </c>
      <c r="E716">
        <v>0</v>
      </c>
      <c r="F716" t="s">
        <v>244</v>
      </c>
      <c r="G716">
        <v>0</v>
      </c>
      <c r="H716">
        <v>316.67</v>
      </c>
      <c r="I716">
        <v>52.28</v>
      </c>
      <c r="J716">
        <v>-5092.83</v>
      </c>
      <c r="K716">
        <v>0</v>
      </c>
      <c r="L716">
        <v>0</v>
      </c>
      <c r="M716">
        <v>0</v>
      </c>
    </row>
    <row r="717" spans="1:13">
      <c r="A717">
        <v>7</v>
      </c>
      <c r="B717" t="s">
        <v>243</v>
      </c>
      <c r="C717">
        <v>14</v>
      </c>
      <c r="D717">
        <v>1</v>
      </c>
      <c r="E717">
        <v>0</v>
      </c>
      <c r="F717" t="s">
        <v>245</v>
      </c>
      <c r="G717">
        <v>2.7</v>
      </c>
      <c r="H717">
        <v>417.17</v>
      </c>
      <c r="I717">
        <v>25.43</v>
      </c>
      <c r="J717">
        <v>-4985.22</v>
      </c>
      <c r="K717">
        <v>0</v>
      </c>
      <c r="L717">
        <v>0</v>
      </c>
      <c r="M717">
        <v>0</v>
      </c>
    </row>
    <row r="718" spans="1:13">
      <c r="A718">
        <v>7</v>
      </c>
      <c r="B718" t="s">
        <v>243</v>
      </c>
      <c r="C718">
        <v>15</v>
      </c>
      <c r="D718">
        <v>1</v>
      </c>
      <c r="E718">
        <v>0</v>
      </c>
      <c r="F718" t="s">
        <v>244</v>
      </c>
      <c r="G718">
        <v>0</v>
      </c>
      <c r="H718">
        <v>417.17</v>
      </c>
      <c r="I718">
        <v>25.43</v>
      </c>
      <c r="J718">
        <v>-4985.22</v>
      </c>
      <c r="K718">
        <v>0</v>
      </c>
      <c r="L718">
        <v>0</v>
      </c>
      <c r="M718">
        <v>0</v>
      </c>
    </row>
    <row r="719" spans="1:13">
      <c r="A719">
        <v>7</v>
      </c>
      <c r="B719" t="s">
        <v>243</v>
      </c>
      <c r="C719">
        <v>15</v>
      </c>
      <c r="D719">
        <v>1</v>
      </c>
      <c r="E719">
        <v>0</v>
      </c>
      <c r="F719" t="s">
        <v>245</v>
      </c>
      <c r="G719">
        <v>2.8</v>
      </c>
      <c r="H719">
        <v>372.04</v>
      </c>
      <c r="I719">
        <v>-44.12</v>
      </c>
      <c r="J719">
        <v>-4323.59</v>
      </c>
      <c r="K719">
        <v>0</v>
      </c>
      <c r="L719">
        <v>0</v>
      </c>
      <c r="M719">
        <v>0</v>
      </c>
    </row>
    <row r="720" spans="1:13">
      <c r="A720">
        <v>7</v>
      </c>
      <c r="B720" t="s">
        <v>243</v>
      </c>
      <c r="C720">
        <v>16</v>
      </c>
      <c r="D720">
        <v>1</v>
      </c>
      <c r="E720">
        <v>0</v>
      </c>
      <c r="F720" t="s">
        <v>244</v>
      </c>
      <c r="G720">
        <v>0</v>
      </c>
      <c r="H720">
        <v>372.04</v>
      </c>
      <c r="I720">
        <v>-44.12</v>
      </c>
      <c r="J720">
        <v>-4323.59</v>
      </c>
      <c r="K720">
        <v>0</v>
      </c>
      <c r="L720">
        <v>0</v>
      </c>
      <c r="M720">
        <v>0</v>
      </c>
    </row>
    <row r="721" spans="1:13">
      <c r="A721">
        <v>7</v>
      </c>
      <c r="B721" t="s">
        <v>243</v>
      </c>
      <c r="C721">
        <v>16</v>
      </c>
      <c r="D721">
        <v>1</v>
      </c>
      <c r="E721">
        <v>0</v>
      </c>
      <c r="F721" t="s">
        <v>245</v>
      </c>
      <c r="G721">
        <v>8.16</v>
      </c>
      <c r="H721">
        <v>0</v>
      </c>
      <c r="I721">
        <v>0</v>
      </c>
      <c r="J721">
        <v>-1028.29</v>
      </c>
      <c r="K721">
        <v>0</v>
      </c>
      <c r="L721">
        <v>0</v>
      </c>
      <c r="M721">
        <v>0</v>
      </c>
    </row>
    <row r="722" spans="1:13">
      <c r="A722">
        <v>7</v>
      </c>
      <c r="B722" t="s">
        <v>243</v>
      </c>
      <c r="C722">
        <v>17</v>
      </c>
      <c r="D722">
        <v>1</v>
      </c>
      <c r="E722">
        <v>0</v>
      </c>
      <c r="F722" t="s">
        <v>244</v>
      </c>
      <c r="G722">
        <v>0</v>
      </c>
      <c r="H722">
        <v>0</v>
      </c>
      <c r="I722">
        <v>0</v>
      </c>
      <c r="J722">
        <v>-1028.29</v>
      </c>
      <c r="K722">
        <v>0</v>
      </c>
      <c r="L722">
        <v>0</v>
      </c>
      <c r="M722">
        <v>0</v>
      </c>
    </row>
    <row r="723" spans="1:13">
      <c r="A723">
        <v>7</v>
      </c>
      <c r="B723" t="s">
        <v>243</v>
      </c>
      <c r="C723">
        <v>17</v>
      </c>
      <c r="D723">
        <v>0</v>
      </c>
      <c r="E723">
        <v>1</v>
      </c>
      <c r="F723" t="s">
        <v>245</v>
      </c>
      <c r="G723">
        <v>1.5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-497.84</v>
      </c>
    </row>
    <row r="724" spans="1:13">
      <c r="A724">
        <v>7</v>
      </c>
      <c r="B724" t="s">
        <v>246</v>
      </c>
      <c r="C724">
        <v>1</v>
      </c>
      <c r="D724">
        <v>1</v>
      </c>
      <c r="E724">
        <v>0</v>
      </c>
      <c r="F724" t="s">
        <v>244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</row>
    <row r="725" spans="1:13">
      <c r="A725">
        <v>7</v>
      </c>
      <c r="B725" t="s">
        <v>246</v>
      </c>
      <c r="C725">
        <v>1</v>
      </c>
      <c r="D725">
        <v>1</v>
      </c>
      <c r="E725">
        <v>0</v>
      </c>
      <c r="F725" t="s">
        <v>245</v>
      </c>
      <c r="G725">
        <v>1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</row>
    <row r="726" spans="1:13">
      <c r="A726">
        <v>7</v>
      </c>
      <c r="B726" t="s">
        <v>246</v>
      </c>
      <c r="C726">
        <v>2</v>
      </c>
      <c r="D726">
        <v>1</v>
      </c>
      <c r="E726">
        <v>0</v>
      </c>
      <c r="F726" t="s">
        <v>244</v>
      </c>
      <c r="G726">
        <v>0</v>
      </c>
      <c r="H726">
        <v>983.39</v>
      </c>
      <c r="I726">
        <v>4367.01</v>
      </c>
      <c r="J726">
        <v>221.27</v>
      </c>
      <c r="K726">
        <v>0</v>
      </c>
      <c r="L726">
        <v>0</v>
      </c>
      <c r="M726">
        <v>0</v>
      </c>
    </row>
    <row r="727" spans="1:13">
      <c r="A727">
        <v>7</v>
      </c>
      <c r="B727" t="s">
        <v>246</v>
      </c>
      <c r="C727">
        <v>2</v>
      </c>
      <c r="D727">
        <v>1</v>
      </c>
      <c r="E727">
        <v>0</v>
      </c>
      <c r="F727">
        <v>1</v>
      </c>
      <c r="G727">
        <v>2.2000000000000002</v>
      </c>
      <c r="H727">
        <v>10590.81</v>
      </c>
      <c r="I727">
        <v>4367.01</v>
      </c>
      <c r="J727">
        <v>221.27</v>
      </c>
      <c r="K727">
        <v>0</v>
      </c>
      <c r="L727">
        <v>0</v>
      </c>
      <c r="M727">
        <v>0</v>
      </c>
    </row>
    <row r="728" spans="1:13">
      <c r="A728">
        <v>7</v>
      </c>
      <c r="B728" t="s">
        <v>246</v>
      </c>
      <c r="C728">
        <v>2</v>
      </c>
      <c r="D728">
        <v>1</v>
      </c>
      <c r="E728">
        <v>0</v>
      </c>
      <c r="F728">
        <v>2</v>
      </c>
      <c r="G728">
        <v>2.2000000000000002</v>
      </c>
      <c r="H728">
        <v>10590.81</v>
      </c>
      <c r="I728">
        <v>4367.01</v>
      </c>
      <c r="J728">
        <v>221.27</v>
      </c>
      <c r="K728">
        <v>0</v>
      </c>
      <c r="L728">
        <v>0</v>
      </c>
      <c r="M728">
        <v>0</v>
      </c>
    </row>
    <row r="729" spans="1:13">
      <c r="A729">
        <v>7</v>
      </c>
      <c r="B729" t="s">
        <v>246</v>
      </c>
      <c r="C729">
        <v>2</v>
      </c>
      <c r="D729">
        <v>1</v>
      </c>
      <c r="E729">
        <v>0</v>
      </c>
      <c r="F729" t="s">
        <v>245</v>
      </c>
      <c r="G729">
        <v>3</v>
      </c>
      <c r="H729">
        <v>14084.41</v>
      </c>
      <c r="I729">
        <v>4367.01</v>
      </c>
      <c r="J729">
        <v>221.27</v>
      </c>
      <c r="K729">
        <v>0</v>
      </c>
      <c r="L729">
        <v>0</v>
      </c>
      <c r="M729">
        <v>0</v>
      </c>
    </row>
    <row r="730" spans="1:13">
      <c r="A730">
        <v>7</v>
      </c>
      <c r="B730" t="s">
        <v>246</v>
      </c>
      <c r="C730">
        <v>3</v>
      </c>
      <c r="D730">
        <v>0</v>
      </c>
      <c r="E730">
        <v>1</v>
      </c>
      <c r="F730" t="s">
        <v>244</v>
      </c>
      <c r="G730">
        <v>0</v>
      </c>
      <c r="H730">
        <v>0</v>
      </c>
      <c r="I730">
        <v>0</v>
      </c>
      <c r="J730">
        <v>0</v>
      </c>
      <c r="K730">
        <v>7149.62</v>
      </c>
      <c r="L730">
        <v>-5665.14</v>
      </c>
      <c r="M730">
        <v>-321.93</v>
      </c>
    </row>
    <row r="731" spans="1:13">
      <c r="A731">
        <v>7</v>
      </c>
      <c r="B731" t="s">
        <v>246</v>
      </c>
      <c r="C731">
        <v>3</v>
      </c>
      <c r="D731">
        <v>0</v>
      </c>
      <c r="E731">
        <v>1</v>
      </c>
      <c r="F731">
        <v>1</v>
      </c>
      <c r="G731">
        <v>0.8</v>
      </c>
      <c r="H731">
        <v>0</v>
      </c>
      <c r="I731">
        <v>0</v>
      </c>
      <c r="J731">
        <v>0</v>
      </c>
      <c r="K731">
        <v>2617.5100000000002</v>
      </c>
      <c r="L731">
        <v>-5665.14</v>
      </c>
      <c r="M731">
        <v>-321.93</v>
      </c>
    </row>
    <row r="732" spans="1:13">
      <c r="A732">
        <v>7</v>
      </c>
      <c r="B732" t="s">
        <v>246</v>
      </c>
      <c r="C732">
        <v>3</v>
      </c>
      <c r="D732">
        <v>0</v>
      </c>
      <c r="E732">
        <v>1</v>
      </c>
      <c r="F732">
        <v>2</v>
      </c>
      <c r="G732">
        <v>0.8</v>
      </c>
      <c r="H732">
        <v>0</v>
      </c>
      <c r="I732">
        <v>0</v>
      </c>
      <c r="J732">
        <v>0</v>
      </c>
      <c r="K732">
        <v>2617.5100000000002</v>
      </c>
      <c r="L732">
        <v>-5665.14</v>
      </c>
      <c r="M732">
        <v>-321.93</v>
      </c>
    </row>
    <row r="733" spans="1:13">
      <c r="A733">
        <v>7</v>
      </c>
      <c r="B733" t="s">
        <v>246</v>
      </c>
      <c r="C733">
        <v>3</v>
      </c>
      <c r="D733">
        <v>0</v>
      </c>
      <c r="E733">
        <v>1</v>
      </c>
      <c r="F733" t="s">
        <v>245</v>
      </c>
      <c r="G733">
        <v>1.5</v>
      </c>
      <c r="H733">
        <v>0</v>
      </c>
      <c r="I733">
        <v>0</v>
      </c>
      <c r="J733">
        <v>0</v>
      </c>
      <c r="K733">
        <v>-1348.09</v>
      </c>
      <c r="L733">
        <v>-5665.14</v>
      </c>
      <c r="M733">
        <v>-321.93</v>
      </c>
    </row>
    <row r="734" spans="1:13">
      <c r="A734">
        <v>7</v>
      </c>
      <c r="B734" t="s">
        <v>246</v>
      </c>
      <c r="C734">
        <v>4</v>
      </c>
      <c r="D734">
        <v>1</v>
      </c>
      <c r="E734">
        <v>0</v>
      </c>
      <c r="F734" t="s">
        <v>244</v>
      </c>
      <c r="G734">
        <v>0</v>
      </c>
      <c r="H734">
        <v>-1343.28</v>
      </c>
      <c r="I734">
        <v>321.27999999999997</v>
      </c>
      <c r="J734">
        <v>-3978.21</v>
      </c>
      <c r="K734">
        <v>0</v>
      </c>
      <c r="L734">
        <v>0</v>
      </c>
      <c r="M734">
        <v>0</v>
      </c>
    </row>
    <row r="735" spans="1:13">
      <c r="A735">
        <v>7</v>
      </c>
      <c r="B735" t="s">
        <v>246</v>
      </c>
      <c r="C735">
        <v>4</v>
      </c>
      <c r="D735">
        <v>1</v>
      </c>
      <c r="E735">
        <v>0</v>
      </c>
      <c r="F735" t="s">
        <v>245</v>
      </c>
      <c r="G735">
        <v>1</v>
      </c>
      <c r="H735">
        <v>-1021.99</v>
      </c>
      <c r="I735">
        <v>321.27999999999997</v>
      </c>
      <c r="J735">
        <v>-3978.21</v>
      </c>
      <c r="K735">
        <v>0</v>
      </c>
      <c r="L735">
        <v>0</v>
      </c>
      <c r="M735">
        <v>0</v>
      </c>
    </row>
    <row r="736" spans="1:13">
      <c r="A736">
        <v>7</v>
      </c>
      <c r="B736" t="s">
        <v>246</v>
      </c>
      <c r="C736">
        <v>5</v>
      </c>
      <c r="D736">
        <v>1</v>
      </c>
      <c r="E736">
        <v>0</v>
      </c>
      <c r="F736" t="s">
        <v>244</v>
      </c>
      <c r="G736">
        <v>0</v>
      </c>
      <c r="H736">
        <v>-1021.99</v>
      </c>
      <c r="I736">
        <v>321.27999999999997</v>
      </c>
      <c r="J736">
        <v>-3978.21</v>
      </c>
      <c r="K736">
        <v>0</v>
      </c>
      <c r="L736">
        <v>0</v>
      </c>
      <c r="M736">
        <v>0</v>
      </c>
    </row>
    <row r="737" spans="1:13">
      <c r="A737">
        <v>7</v>
      </c>
      <c r="B737" t="s">
        <v>246</v>
      </c>
      <c r="C737">
        <v>5</v>
      </c>
      <c r="D737">
        <v>1</v>
      </c>
      <c r="E737">
        <v>0</v>
      </c>
      <c r="F737" t="s">
        <v>245</v>
      </c>
      <c r="G737">
        <v>2.2400000000000002</v>
      </c>
      <c r="H737">
        <v>-302.32</v>
      </c>
      <c r="I737">
        <v>321.27999999999997</v>
      </c>
      <c r="J737">
        <v>-3978.21</v>
      </c>
      <c r="K737">
        <v>0</v>
      </c>
      <c r="L737">
        <v>0</v>
      </c>
      <c r="M737">
        <v>0</v>
      </c>
    </row>
    <row r="738" spans="1:13">
      <c r="A738">
        <v>7</v>
      </c>
      <c r="B738" t="s">
        <v>246</v>
      </c>
      <c r="C738">
        <v>6</v>
      </c>
      <c r="D738">
        <v>1</v>
      </c>
      <c r="E738">
        <v>0</v>
      </c>
      <c r="F738" t="s">
        <v>244</v>
      </c>
      <c r="G738">
        <v>0</v>
      </c>
      <c r="H738">
        <v>-302.32</v>
      </c>
      <c r="I738">
        <v>321.27999999999997</v>
      </c>
      <c r="J738">
        <v>-3978.21</v>
      </c>
      <c r="K738">
        <v>0</v>
      </c>
      <c r="L738">
        <v>0</v>
      </c>
      <c r="M738">
        <v>0</v>
      </c>
    </row>
    <row r="739" spans="1:13">
      <c r="A739">
        <v>7</v>
      </c>
      <c r="B739" t="s">
        <v>246</v>
      </c>
      <c r="C739">
        <v>6</v>
      </c>
      <c r="D739">
        <v>1</v>
      </c>
      <c r="E739">
        <v>0</v>
      </c>
      <c r="F739" t="s">
        <v>245</v>
      </c>
      <c r="G739">
        <v>3.6</v>
      </c>
      <c r="H739">
        <v>317.63</v>
      </c>
      <c r="I739">
        <v>51.94</v>
      </c>
      <c r="J739">
        <v>-3584.64</v>
      </c>
      <c r="K739">
        <v>0</v>
      </c>
      <c r="L739">
        <v>0</v>
      </c>
      <c r="M739">
        <v>0</v>
      </c>
    </row>
    <row r="740" spans="1:13">
      <c r="A740">
        <v>7</v>
      </c>
      <c r="B740" t="s">
        <v>246</v>
      </c>
      <c r="C740">
        <v>7</v>
      </c>
      <c r="D740">
        <v>1</v>
      </c>
      <c r="E740">
        <v>0</v>
      </c>
      <c r="F740" t="s">
        <v>244</v>
      </c>
      <c r="G740">
        <v>0</v>
      </c>
      <c r="H740">
        <v>317.63</v>
      </c>
      <c r="I740">
        <v>51.94</v>
      </c>
      <c r="J740">
        <v>-3584.64</v>
      </c>
      <c r="K740">
        <v>0</v>
      </c>
      <c r="L740">
        <v>0</v>
      </c>
      <c r="M740">
        <v>0</v>
      </c>
    </row>
    <row r="741" spans="1:13">
      <c r="A741">
        <v>7</v>
      </c>
      <c r="B741" t="s">
        <v>246</v>
      </c>
      <c r="C741">
        <v>7</v>
      </c>
      <c r="D741">
        <v>1</v>
      </c>
      <c r="E741">
        <v>0</v>
      </c>
      <c r="F741" t="s">
        <v>245</v>
      </c>
      <c r="G741">
        <v>2.7</v>
      </c>
      <c r="H741">
        <v>285.76</v>
      </c>
      <c r="I741">
        <v>28.32</v>
      </c>
      <c r="J741">
        <v>-3847.51</v>
      </c>
      <c r="K741">
        <v>0</v>
      </c>
      <c r="L741">
        <v>0</v>
      </c>
      <c r="M741">
        <v>0</v>
      </c>
    </row>
    <row r="742" spans="1:13">
      <c r="A742">
        <v>7</v>
      </c>
      <c r="B742" t="s">
        <v>246</v>
      </c>
      <c r="C742">
        <v>8</v>
      </c>
      <c r="D742">
        <v>1</v>
      </c>
      <c r="E742">
        <v>0</v>
      </c>
      <c r="F742" t="s">
        <v>244</v>
      </c>
      <c r="G742">
        <v>0</v>
      </c>
      <c r="H742">
        <v>285.76</v>
      </c>
      <c r="I742">
        <v>28.32</v>
      </c>
      <c r="J742">
        <v>-3847.51</v>
      </c>
      <c r="K742">
        <v>0</v>
      </c>
      <c r="L742">
        <v>0</v>
      </c>
      <c r="M742">
        <v>0</v>
      </c>
    </row>
    <row r="743" spans="1:13">
      <c r="A743">
        <v>7</v>
      </c>
      <c r="B743" t="s">
        <v>246</v>
      </c>
      <c r="C743">
        <v>8</v>
      </c>
      <c r="D743">
        <v>0</v>
      </c>
      <c r="E743">
        <v>1</v>
      </c>
      <c r="F743" t="s">
        <v>245</v>
      </c>
      <c r="G743">
        <v>2.8</v>
      </c>
      <c r="H743">
        <v>0</v>
      </c>
      <c r="I743">
        <v>0</v>
      </c>
      <c r="J743">
        <v>0</v>
      </c>
      <c r="K743">
        <v>371.68</v>
      </c>
      <c r="L743">
        <v>-44.21</v>
      </c>
      <c r="M743">
        <v>-3048.96</v>
      </c>
    </row>
    <row r="744" spans="1:13">
      <c r="A744">
        <v>7</v>
      </c>
      <c r="B744" t="s">
        <v>246</v>
      </c>
      <c r="C744">
        <v>9</v>
      </c>
      <c r="D744">
        <v>0</v>
      </c>
      <c r="E744">
        <v>1</v>
      </c>
      <c r="F744" t="s">
        <v>244</v>
      </c>
      <c r="G744">
        <v>0</v>
      </c>
      <c r="H744">
        <v>0</v>
      </c>
      <c r="I744">
        <v>0</v>
      </c>
      <c r="J744">
        <v>0</v>
      </c>
      <c r="K744">
        <v>371.68</v>
      </c>
      <c r="L744">
        <v>-44.21</v>
      </c>
      <c r="M744">
        <v>-3048.96</v>
      </c>
    </row>
    <row r="745" spans="1:13">
      <c r="A745">
        <v>7</v>
      </c>
      <c r="B745" t="s">
        <v>246</v>
      </c>
      <c r="C745">
        <v>9</v>
      </c>
      <c r="D745">
        <v>1</v>
      </c>
      <c r="E745">
        <v>0</v>
      </c>
      <c r="F745" t="s">
        <v>245</v>
      </c>
      <c r="G745">
        <v>8.16</v>
      </c>
      <c r="H745">
        <v>0</v>
      </c>
      <c r="I745">
        <v>0</v>
      </c>
      <c r="J745">
        <v>-779.32</v>
      </c>
      <c r="K745">
        <v>0</v>
      </c>
      <c r="L745">
        <v>0</v>
      </c>
      <c r="M745">
        <v>0</v>
      </c>
    </row>
    <row r="746" spans="1:13">
      <c r="A746">
        <v>7</v>
      </c>
      <c r="B746" t="s">
        <v>246</v>
      </c>
      <c r="C746">
        <v>10</v>
      </c>
      <c r="D746">
        <v>1</v>
      </c>
      <c r="E746">
        <v>0</v>
      </c>
      <c r="F746" t="s">
        <v>244</v>
      </c>
      <c r="G746">
        <v>0</v>
      </c>
      <c r="H746">
        <v>0</v>
      </c>
      <c r="I746">
        <v>0</v>
      </c>
      <c r="J746">
        <v>-779.32</v>
      </c>
      <c r="K746">
        <v>0</v>
      </c>
      <c r="L746">
        <v>0</v>
      </c>
      <c r="M746">
        <v>0</v>
      </c>
    </row>
    <row r="747" spans="1:13">
      <c r="A747">
        <v>7</v>
      </c>
      <c r="B747" t="s">
        <v>246</v>
      </c>
      <c r="C747">
        <v>10</v>
      </c>
      <c r="D747">
        <v>1</v>
      </c>
      <c r="E747">
        <v>0</v>
      </c>
      <c r="F747" t="s">
        <v>245</v>
      </c>
      <c r="G747">
        <v>1.5</v>
      </c>
      <c r="H747">
        <v>0</v>
      </c>
      <c r="I747">
        <v>0</v>
      </c>
      <c r="J747">
        <v>-377.34</v>
      </c>
      <c r="K747">
        <v>0</v>
      </c>
      <c r="L747">
        <v>0</v>
      </c>
      <c r="M747">
        <v>0</v>
      </c>
    </row>
    <row r="748" spans="1:13">
      <c r="A748">
        <v>7</v>
      </c>
      <c r="B748" t="s">
        <v>246</v>
      </c>
      <c r="C748">
        <v>11</v>
      </c>
      <c r="D748">
        <v>1</v>
      </c>
      <c r="E748">
        <v>0</v>
      </c>
      <c r="F748" t="s">
        <v>244</v>
      </c>
      <c r="G748">
        <v>0</v>
      </c>
      <c r="H748">
        <v>-1348.09</v>
      </c>
      <c r="I748">
        <v>321.93</v>
      </c>
      <c r="J748">
        <v>-5665.14</v>
      </c>
      <c r="K748">
        <v>0</v>
      </c>
      <c r="L748">
        <v>0</v>
      </c>
      <c r="M748">
        <v>0</v>
      </c>
    </row>
    <row r="749" spans="1:13">
      <c r="A749">
        <v>7</v>
      </c>
      <c r="B749" t="s">
        <v>246</v>
      </c>
      <c r="C749">
        <v>11</v>
      </c>
      <c r="D749">
        <v>1</v>
      </c>
      <c r="E749">
        <v>0</v>
      </c>
      <c r="F749" t="s">
        <v>245</v>
      </c>
      <c r="G749">
        <v>1</v>
      </c>
      <c r="H749">
        <v>-1026.1600000000001</v>
      </c>
      <c r="I749">
        <v>321.93</v>
      </c>
      <c r="J749">
        <v>-5665.14</v>
      </c>
      <c r="K749">
        <v>0</v>
      </c>
      <c r="L749">
        <v>0</v>
      </c>
      <c r="M749">
        <v>0</v>
      </c>
    </row>
    <row r="750" spans="1:13">
      <c r="A750">
        <v>7</v>
      </c>
      <c r="B750" t="s">
        <v>246</v>
      </c>
      <c r="C750">
        <v>12</v>
      </c>
      <c r="D750">
        <v>1</v>
      </c>
      <c r="E750">
        <v>0</v>
      </c>
      <c r="F750" t="s">
        <v>244</v>
      </c>
      <c r="G750">
        <v>0</v>
      </c>
      <c r="H750">
        <v>-1026.1600000000001</v>
      </c>
      <c r="I750">
        <v>321.93</v>
      </c>
      <c r="J750">
        <v>-5665.14</v>
      </c>
      <c r="K750">
        <v>0</v>
      </c>
      <c r="L750">
        <v>0</v>
      </c>
      <c r="M750">
        <v>0</v>
      </c>
    </row>
    <row r="751" spans="1:13">
      <c r="A751">
        <v>7</v>
      </c>
      <c r="B751" t="s">
        <v>246</v>
      </c>
      <c r="C751">
        <v>12</v>
      </c>
      <c r="D751">
        <v>1</v>
      </c>
      <c r="E751">
        <v>0</v>
      </c>
      <c r="F751" t="s">
        <v>245</v>
      </c>
      <c r="G751">
        <v>2.2400000000000002</v>
      </c>
      <c r="H751">
        <v>-305.04000000000002</v>
      </c>
      <c r="I751">
        <v>321.93</v>
      </c>
      <c r="J751">
        <v>-5665.14</v>
      </c>
      <c r="K751">
        <v>0</v>
      </c>
      <c r="L751">
        <v>0</v>
      </c>
      <c r="M751">
        <v>0</v>
      </c>
    </row>
    <row r="752" spans="1:13">
      <c r="A752">
        <v>7</v>
      </c>
      <c r="B752" t="s">
        <v>246</v>
      </c>
      <c r="C752">
        <v>13</v>
      </c>
      <c r="D752">
        <v>1</v>
      </c>
      <c r="E752">
        <v>0</v>
      </c>
      <c r="F752" t="s">
        <v>244</v>
      </c>
      <c r="G752">
        <v>0</v>
      </c>
      <c r="H752">
        <v>-305.04000000000002</v>
      </c>
      <c r="I752">
        <v>321.93</v>
      </c>
      <c r="J752">
        <v>-5665.14</v>
      </c>
      <c r="K752">
        <v>0</v>
      </c>
      <c r="L752">
        <v>0</v>
      </c>
      <c r="M752">
        <v>0</v>
      </c>
    </row>
    <row r="753" spans="1:13">
      <c r="A753">
        <v>7</v>
      </c>
      <c r="B753" t="s">
        <v>246</v>
      </c>
      <c r="C753">
        <v>13</v>
      </c>
      <c r="D753">
        <v>1</v>
      </c>
      <c r="E753">
        <v>0</v>
      </c>
      <c r="F753" t="s">
        <v>245</v>
      </c>
      <c r="G753">
        <v>3.6</v>
      </c>
      <c r="H753">
        <v>316.67</v>
      </c>
      <c r="I753">
        <v>52.28</v>
      </c>
      <c r="J753">
        <v>-5092.83</v>
      </c>
      <c r="K753">
        <v>0</v>
      </c>
      <c r="L753">
        <v>0</v>
      </c>
      <c r="M753">
        <v>0</v>
      </c>
    </row>
    <row r="754" spans="1:13">
      <c r="A754">
        <v>7</v>
      </c>
      <c r="B754" t="s">
        <v>246</v>
      </c>
      <c r="C754">
        <v>14</v>
      </c>
      <c r="D754">
        <v>1</v>
      </c>
      <c r="E754">
        <v>0</v>
      </c>
      <c r="F754" t="s">
        <v>244</v>
      </c>
      <c r="G754">
        <v>0</v>
      </c>
      <c r="H754">
        <v>316.67</v>
      </c>
      <c r="I754">
        <v>52.28</v>
      </c>
      <c r="J754">
        <v>-5092.83</v>
      </c>
      <c r="K754">
        <v>0</v>
      </c>
      <c r="L754">
        <v>0</v>
      </c>
      <c r="M754">
        <v>0</v>
      </c>
    </row>
    <row r="755" spans="1:13">
      <c r="A755">
        <v>7</v>
      </c>
      <c r="B755" t="s">
        <v>246</v>
      </c>
      <c r="C755">
        <v>14</v>
      </c>
      <c r="D755">
        <v>1</v>
      </c>
      <c r="E755">
        <v>0</v>
      </c>
      <c r="F755" t="s">
        <v>245</v>
      </c>
      <c r="G755">
        <v>2.7</v>
      </c>
      <c r="H755">
        <v>285.63</v>
      </c>
      <c r="I755">
        <v>28.61</v>
      </c>
      <c r="J755">
        <v>-4647.84</v>
      </c>
      <c r="K755">
        <v>0</v>
      </c>
      <c r="L755">
        <v>0</v>
      </c>
      <c r="M755">
        <v>0</v>
      </c>
    </row>
    <row r="756" spans="1:13">
      <c r="A756">
        <v>7</v>
      </c>
      <c r="B756" t="s">
        <v>246</v>
      </c>
      <c r="C756">
        <v>15</v>
      </c>
      <c r="D756">
        <v>1</v>
      </c>
      <c r="E756">
        <v>0</v>
      </c>
      <c r="F756" t="s">
        <v>244</v>
      </c>
      <c r="G756">
        <v>0</v>
      </c>
      <c r="H756">
        <v>285.63</v>
      </c>
      <c r="I756">
        <v>28.61</v>
      </c>
      <c r="J756">
        <v>-4647.84</v>
      </c>
      <c r="K756">
        <v>0</v>
      </c>
      <c r="L756">
        <v>0</v>
      </c>
      <c r="M756">
        <v>0</v>
      </c>
    </row>
    <row r="757" spans="1:13">
      <c r="A757">
        <v>7</v>
      </c>
      <c r="B757" t="s">
        <v>246</v>
      </c>
      <c r="C757">
        <v>15</v>
      </c>
      <c r="D757">
        <v>0</v>
      </c>
      <c r="E757">
        <v>1</v>
      </c>
      <c r="F757" t="s">
        <v>245</v>
      </c>
      <c r="G757">
        <v>2.8</v>
      </c>
      <c r="H757">
        <v>0</v>
      </c>
      <c r="I757">
        <v>0</v>
      </c>
      <c r="J757">
        <v>0</v>
      </c>
      <c r="K757">
        <v>372.04</v>
      </c>
      <c r="L757">
        <v>-44.12</v>
      </c>
      <c r="M757">
        <v>-4323.59</v>
      </c>
    </row>
    <row r="758" spans="1:13">
      <c r="A758">
        <v>7</v>
      </c>
      <c r="B758" t="s">
        <v>246</v>
      </c>
      <c r="C758">
        <v>16</v>
      </c>
      <c r="D758">
        <v>0</v>
      </c>
      <c r="E758">
        <v>1</v>
      </c>
      <c r="F758" t="s">
        <v>244</v>
      </c>
      <c r="G758">
        <v>0</v>
      </c>
      <c r="H758">
        <v>0</v>
      </c>
      <c r="I758">
        <v>0</v>
      </c>
      <c r="J758">
        <v>0</v>
      </c>
      <c r="K758">
        <v>372.04</v>
      </c>
      <c r="L758">
        <v>-44.12</v>
      </c>
      <c r="M758">
        <v>-4323.59</v>
      </c>
    </row>
    <row r="759" spans="1:13">
      <c r="A759">
        <v>7</v>
      </c>
      <c r="B759" t="s">
        <v>246</v>
      </c>
      <c r="C759">
        <v>16</v>
      </c>
      <c r="D759">
        <v>0</v>
      </c>
      <c r="E759">
        <v>1</v>
      </c>
      <c r="F759" t="s">
        <v>245</v>
      </c>
      <c r="G759">
        <v>8.16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-1028.29</v>
      </c>
    </row>
    <row r="760" spans="1:13">
      <c r="A760">
        <v>7</v>
      </c>
      <c r="B760" t="s">
        <v>246</v>
      </c>
      <c r="C760">
        <v>17</v>
      </c>
      <c r="D760">
        <v>0</v>
      </c>
      <c r="E760">
        <v>1</v>
      </c>
      <c r="F760" t="s">
        <v>244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-1028.29</v>
      </c>
    </row>
    <row r="761" spans="1:13">
      <c r="A761">
        <v>7</v>
      </c>
      <c r="B761" t="s">
        <v>246</v>
      </c>
      <c r="C761">
        <v>17</v>
      </c>
      <c r="D761">
        <v>0</v>
      </c>
      <c r="E761">
        <v>1</v>
      </c>
      <c r="F761" t="s">
        <v>245</v>
      </c>
      <c r="G761">
        <v>1.5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-497.84</v>
      </c>
    </row>
    <row r="762" spans="1:13">
      <c r="A762">
        <v>7</v>
      </c>
      <c r="B762" t="s">
        <v>247</v>
      </c>
      <c r="C762">
        <v>1</v>
      </c>
      <c r="D762">
        <v>0</v>
      </c>
      <c r="E762">
        <v>0</v>
      </c>
      <c r="F762" t="s">
        <v>244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</row>
    <row r="763" spans="1:13">
      <c r="A763">
        <v>7</v>
      </c>
      <c r="B763" t="s">
        <v>247</v>
      </c>
      <c r="C763">
        <v>1</v>
      </c>
      <c r="D763">
        <v>0</v>
      </c>
      <c r="E763">
        <v>0</v>
      </c>
      <c r="F763" t="s">
        <v>245</v>
      </c>
      <c r="G763">
        <v>1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</row>
    <row r="764" spans="1:13">
      <c r="A764">
        <v>7</v>
      </c>
      <c r="B764" t="s">
        <v>247</v>
      </c>
      <c r="C764">
        <v>2</v>
      </c>
      <c r="D764">
        <v>1</v>
      </c>
      <c r="E764">
        <v>0</v>
      </c>
      <c r="F764" t="s">
        <v>244</v>
      </c>
      <c r="G764">
        <v>0</v>
      </c>
      <c r="H764">
        <v>1343.28</v>
      </c>
      <c r="I764">
        <v>3978.21</v>
      </c>
      <c r="J764">
        <v>321.27999999999997</v>
      </c>
      <c r="K764">
        <v>0</v>
      </c>
      <c r="L764">
        <v>0</v>
      </c>
      <c r="M764">
        <v>0</v>
      </c>
    </row>
    <row r="765" spans="1:13">
      <c r="A765">
        <v>7</v>
      </c>
      <c r="B765" t="s">
        <v>247</v>
      </c>
      <c r="C765">
        <v>2</v>
      </c>
      <c r="D765">
        <v>1</v>
      </c>
      <c r="E765">
        <v>0</v>
      </c>
      <c r="F765">
        <v>1</v>
      </c>
      <c r="G765">
        <v>2.2000000000000002</v>
      </c>
      <c r="H765">
        <v>10095.33</v>
      </c>
      <c r="I765">
        <v>3978.21</v>
      </c>
      <c r="J765">
        <v>321.27999999999997</v>
      </c>
      <c r="K765">
        <v>0</v>
      </c>
      <c r="L765">
        <v>0</v>
      </c>
      <c r="M765">
        <v>0</v>
      </c>
    </row>
    <row r="766" spans="1:13">
      <c r="A766">
        <v>7</v>
      </c>
      <c r="B766" t="s">
        <v>247</v>
      </c>
      <c r="C766">
        <v>2</v>
      </c>
      <c r="D766">
        <v>1</v>
      </c>
      <c r="E766">
        <v>0</v>
      </c>
      <c r="F766">
        <v>2</v>
      </c>
      <c r="G766">
        <v>2.2000000000000002</v>
      </c>
      <c r="H766">
        <v>10095.33</v>
      </c>
      <c r="I766">
        <v>3978.21</v>
      </c>
      <c r="J766">
        <v>321.27999999999997</v>
      </c>
      <c r="K766">
        <v>0</v>
      </c>
      <c r="L766">
        <v>0</v>
      </c>
      <c r="M766">
        <v>0</v>
      </c>
    </row>
    <row r="767" spans="1:13">
      <c r="A767">
        <v>7</v>
      </c>
      <c r="B767" t="s">
        <v>247</v>
      </c>
      <c r="C767">
        <v>2</v>
      </c>
      <c r="D767">
        <v>1</v>
      </c>
      <c r="E767">
        <v>0</v>
      </c>
      <c r="F767" t="s">
        <v>245</v>
      </c>
      <c r="G767">
        <v>3</v>
      </c>
      <c r="H767">
        <v>13277.89</v>
      </c>
      <c r="I767">
        <v>3978.21</v>
      </c>
      <c r="J767">
        <v>321.27999999999997</v>
      </c>
      <c r="K767">
        <v>0</v>
      </c>
      <c r="L767">
        <v>0</v>
      </c>
      <c r="M767">
        <v>0</v>
      </c>
    </row>
    <row r="768" spans="1:13">
      <c r="A768">
        <v>7</v>
      </c>
      <c r="B768" t="s">
        <v>247</v>
      </c>
      <c r="C768">
        <v>3</v>
      </c>
      <c r="D768">
        <v>0</v>
      </c>
      <c r="E768">
        <v>1</v>
      </c>
      <c r="F768" t="s">
        <v>244</v>
      </c>
      <c r="G768">
        <v>0</v>
      </c>
      <c r="H768">
        <v>0</v>
      </c>
      <c r="I768">
        <v>0</v>
      </c>
      <c r="J768">
        <v>0</v>
      </c>
      <c r="K768">
        <v>7149.62</v>
      </c>
      <c r="L768">
        <v>-5665.14</v>
      </c>
      <c r="M768">
        <v>-321.93</v>
      </c>
    </row>
    <row r="769" spans="1:13">
      <c r="A769">
        <v>7</v>
      </c>
      <c r="B769" t="s">
        <v>247</v>
      </c>
      <c r="C769">
        <v>3</v>
      </c>
      <c r="D769">
        <v>0</v>
      </c>
      <c r="E769">
        <v>1</v>
      </c>
      <c r="F769">
        <v>1</v>
      </c>
      <c r="G769">
        <v>0.8</v>
      </c>
      <c r="H769">
        <v>0</v>
      </c>
      <c r="I769">
        <v>0</v>
      </c>
      <c r="J769">
        <v>0</v>
      </c>
      <c r="K769">
        <v>2617.5100000000002</v>
      </c>
      <c r="L769">
        <v>-5665.14</v>
      </c>
      <c r="M769">
        <v>-321.93</v>
      </c>
    </row>
    <row r="770" spans="1:13">
      <c r="A770">
        <v>7</v>
      </c>
      <c r="B770" t="s">
        <v>247</v>
      </c>
      <c r="C770">
        <v>3</v>
      </c>
      <c r="D770">
        <v>0</v>
      </c>
      <c r="E770">
        <v>1</v>
      </c>
      <c r="F770">
        <v>2</v>
      </c>
      <c r="G770">
        <v>0.8</v>
      </c>
      <c r="H770">
        <v>0</v>
      </c>
      <c r="I770">
        <v>0</v>
      </c>
      <c r="J770">
        <v>0</v>
      </c>
      <c r="K770">
        <v>2617.5100000000002</v>
      </c>
      <c r="L770">
        <v>-5665.14</v>
      </c>
      <c r="M770">
        <v>-321.93</v>
      </c>
    </row>
    <row r="771" spans="1:13">
      <c r="A771">
        <v>7</v>
      </c>
      <c r="B771" t="s">
        <v>247</v>
      </c>
      <c r="C771">
        <v>3</v>
      </c>
      <c r="D771">
        <v>0</v>
      </c>
      <c r="E771">
        <v>1</v>
      </c>
      <c r="F771" t="s">
        <v>245</v>
      </c>
      <c r="G771">
        <v>1.5</v>
      </c>
      <c r="H771">
        <v>0</v>
      </c>
      <c r="I771">
        <v>0</v>
      </c>
      <c r="J771">
        <v>0</v>
      </c>
      <c r="K771">
        <v>-1348.09</v>
      </c>
      <c r="L771">
        <v>-5665.14</v>
      </c>
      <c r="M771">
        <v>-321.93</v>
      </c>
    </row>
    <row r="772" spans="1:13">
      <c r="A772">
        <v>7</v>
      </c>
      <c r="B772" t="s">
        <v>247</v>
      </c>
      <c r="C772">
        <v>4</v>
      </c>
      <c r="D772">
        <v>0</v>
      </c>
      <c r="E772">
        <v>1</v>
      </c>
      <c r="F772" t="s">
        <v>244</v>
      </c>
      <c r="G772">
        <v>0</v>
      </c>
      <c r="H772">
        <v>0</v>
      </c>
      <c r="I772">
        <v>0</v>
      </c>
      <c r="J772">
        <v>0</v>
      </c>
      <c r="K772">
        <v>-983.39</v>
      </c>
      <c r="L772">
        <v>221.27</v>
      </c>
      <c r="M772">
        <v>-4367.01</v>
      </c>
    </row>
    <row r="773" spans="1:13">
      <c r="A773">
        <v>7</v>
      </c>
      <c r="B773" t="s">
        <v>247</v>
      </c>
      <c r="C773">
        <v>4</v>
      </c>
      <c r="D773">
        <v>0</v>
      </c>
      <c r="E773">
        <v>1</v>
      </c>
      <c r="F773" t="s">
        <v>245</v>
      </c>
      <c r="G773">
        <v>1</v>
      </c>
      <c r="H773">
        <v>0</v>
      </c>
      <c r="I773">
        <v>0</v>
      </c>
      <c r="J773">
        <v>0</v>
      </c>
      <c r="K773">
        <v>-762.12</v>
      </c>
      <c r="L773">
        <v>221.27</v>
      </c>
      <c r="M773">
        <v>-4367.01</v>
      </c>
    </row>
    <row r="774" spans="1:13">
      <c r="A774">
        <v>7</v>
      </c>
      <c r="B774" t="s">
        <v>247</v>
      </c>
      <c r="C774">
        <v>5</v>
      </c>
      <c r="D774">
        <v>0</v>
      </c>
      <c r="E774">
        <v>1</v>
      </c>
      <c r="F774" t="s">
        <v>244</v>
      </c>
      <c r="G774">
        <v>0</v>
      </c>
      <c r="H774">
        <v>0</v>
      </c>
      <c r="I774">
        <v>0</v>
      </c>
      <c r="J774">
        <v>0</v>
      </c>
      <c r="K774">
        <v>-762.12</v>
      </c>
      <c r="L774">
        <v>221.27</v>
      </c>
      <c r="M774">
        <v>-4367.01</v>
      </c>
    </row>
    <row r="775" spans="1:13">
      <c r="A775">
        <v>7</v>
      </c>
      <c r="B775" t="s">
        <v>247</v>
      </c>
      <c r="C775">
        <v>5</v>
      </c>
      <c r="D775">
        <v>0</v>
      </c>
      <c r="E775">
        <v>1</v>
      </c>
      <c r="F775" t="s">
        <v>245</v>
      </c>
      <c r="G775">
        <v>2.2400000000000002</v>
      </c>
      <c r="H775">
        <v>0</v>
      </c>
      <c r="I775">
        <v>0</v>
      </c>
      <c r="J775">
        <v>0</v>
      </c>
      <c r="K775">
        <v>-266.48</v>
      </c>
      <c r="L775">
        <v>221.27</v>
      </c>
      <c r="M775">
        <v>-4367.01</v>
      </c>
    </row>
    <row r="776" spans="1:13">
      <c r="A776">
        <v>7</v>
      </c>
      <c r="B776" t="s">
        <v>247</v>
      </c>
      <c r="C776">
        <v>6</v>
      </c>
      <c r="D776">
        <v>0</v>
      </c>
      <c r="E776">
        <v>1</v>
      </c>
      <c r="F776" t="s">
        <v>244</v>
      </c>
      <c r="G776">
        <v>0</v>
      </c>
      <c r="H776">
        <v>0</v>
      </c>
      <c r="I776">
        <v>0</v>
      </c>
      <c r="J776">
        <v>0</v>
      </c>
      <c r="K776">
        <v>-266.48</v>
      </c>
      <c r="L776">
        <v>221.27</v>
      </c>
      <c r="M776">
        <v>-4367.01</v>
      </c>
    </row>
    <row r="777" spans="1:13">
      <c r="A777">
        <v>7</v>
      </c>
      <c r="B777" t="s">
        <v>247</v>
      </c>
      <c r="C777">
        <v>6</v>
      </c>
      <c r="D777">
        <v>0</v>
      </c>
      <c r="E777">
        <v>1</v>
      </c>
      <c r="F777" t="s">
        <v>245</v>
      </c>
      <c r="G777">
        <v>3.6</v>
      </c>
      <c r="H777">
        <v>0</v>
      </c>
      <c r="I777">
        <v>0</v>
      </c>
      <c r="J777">
        <v>0</v>
      </c>
      <c r="K777">
        <v>186.76</v>
      </c>
      <c r="L777">
        <v>47.05</v>
      </c>
      <c r="M777">
        <v>-3929.94</v>
      </c>
    </row>
    <row r="778" spans="1:13">
      <c r="A778">
        <v>7</v>
      </c>
      <c r="B778" t="s">
        <v>247</v>
      </c>
      <c r="C778">
        <v>7</v>
      </c>
      <c r="D778">
        <v>0</v>
      </c>
      <c r="E778">
        <v>1</v>
      </c>
      <c r="F778" t="s">
        <v>244</v>
      </c>
      <c r="G778">
        <v>0</v>
      </c>
      <c r="H778">
        <v>0</v>
      </c>
      <c r="I778">
        <v>0</v>
      </c>
      <c r="J778">
        <v>0</v>
      </c>
      <c r="K778">
        <v>186.76</v>
      </c>
      <c r="L778">
        <v>47.05</v>
      </c>
      <c r="M778">
        <v>-3929.94</v>
      </c>
    </row>
    <row r="779" spans="1:13">
      <c r="A779">
        <v>7</v>
      </c>
      <c r="B779" t="s">
        <v>247</v>
      </c>
      <c r="C779">
        <v>7</v>
      </c>
      <c r="D779">
        <v>0</v>
      </c>
      <c r="E779">
        <v>1</v>
      </c>
      <c r="F779" t="s">
        <v>245</v>
      </c>
      <c r="G779">
        <v>2.7</v>
      </c>
      <c r="H779">
        <v>0</v>
      </c>
      <c r="I779">
        <v>0</v>
      </c>
      <c r="J779">
        <v>0</v>
      </c>
      <c r="K779">
        <v>285.76</v>
      </c>
      <c r="L779">
        <v>28.32</v>
      </c>
      <c r="M779">
        <v>-3847.51</v>
      </c>
    </row>
    <row r="780" spans="1:13">
      <c r="A780">
        <v>7</v>
      </c>
      <c r="B780" t="s">
        <v>247</v>
      </c>
      <c r="C780">
        <v>8</v>
      </c>
      <c r="D780">
        <v>0</v>
      </c>
      <c r="E780">
        <v>1</v>
      </c>
      <c r="F780" t="s">
        <v>244</v>
      </c>
      <c r="G780">
        <v>0</v>
      </c>
      <c r="H780">
        <v>0</v>
      </c>
      <c r="I780">
        <v>0</v>
      </c>
      <c r="J780">
        <v>0</v>
      </c>
      <c r="K780">
        <v>285.76</v>
      </c>
      <c r="L780">
        <v>28.32</v>
      </c>
      <c r="M780">
        <v>-3847.51</v>
      </c>
    </row>
    <row r="781" spans="1:13">
      <c r="A781">
        <v>7</v>
      </c>
      <c r="B781" t="s">
        <v>247</v>
      </c>
      <c r="C781">
        <v>8</v>
      </c>
      <c r="D781">
        <v>0</v>
      </c>
      <c r="E781">
        <v>1</v>
      </c>
      <c r="F781" t="s">
        <v>245</v>
      </c>
      <c r="G781">
        <v>2.8</v>
      </c>
      <c r="H781">
        <v>0</v>
      </c>
      <c r="I781">
        <v>0</v>
      </c>
      <c r="J781">
        <v>0</v>
      </c>
      <c r="K781">
        <v>276.72000000000003</v>
      </c>
      <c r="L781">
        <v>-25.58</v>
      </c>
      <c r="M781">
        <v>-3339.19</v>
      </c>
    </row>
    <row r="782" spans="1:13">
      <c r="A782">
        <v>7</v>
      </c>
      <c r="B782" t="s">
        <v>247</v>
      </c>
      <c r="C782">
        <v>9</v>
      </c>
      <c r="D782">
        <v>0</v>
      </c>
      <c r="E782">
        <v>1</v>
      </c>
      <c r="F782" t="s">
        <v>244</v>
      </c>
      <c r="G782">
        <v>0</v>
      </c>
      <c r="H782">
        <v>0</v>
      </c>
      <c r="I782">
        <v>0</v>
      </c>
      <c r="J782">
        <v>0</v>
      </c>
      <c r="K782">
        <v>276.72000000000003</v>
      </c>
      <c r="L782">
        <v>-25.58</v>
      </c>
      <c r="M782">
        <v>-3339.19</v>
      </c>
    </row>
    <row r="783" spans="1:13">
      <c r="A783">
        <v>7</v>
      </c>
      <c r="B783" t="s">
        <v>247</v>
      </c>
      <c r="C783">
        <v>9</v>
      </c>
      <c r="D783">
        <v>0</v>
      </c>
      <c r="E783">
        <v>1</v>
      </c>
      <c r="F783" t="s">
        <v>245</v>
      </c>
      <c r="G783">
        <v>8.16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-851.55</v>
      </c>
    </row>
    <row r="784" spans="1:13">
      <c r="A784">
        <v>7</v>
      </c>
      <c r="B784" t="s">
        <v>247</v>
      </c>
      <c r="C784">
        <v>10</v>
      </c>
      <c r="D784">
        <v>0</v>
      </c>
      <c r="E784">
        <v>1</v>
      </c>
      <c r="F784" t="s">
        <v>244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-851.55</v>
      </c>
    </row>
    <row r="785" spans="1:13">
      <c r="A785">
        <v>7</v>
      </c>
      <c r="B785" t="s">
        <v>247</v>
      </c>
      <c r="C785">
        <v>10</v>
      </c>
      <c r="D785">
        <v>0</v>
      </c>
      <c r="E785">
        <v>1</v>
      </c>
      <c r="F785" t="s">
        <v>245</v>
      </c>
      <c r="G785">
        <v>1.5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-412.28</v>
      </c>
    </row>
    <row r="786" spans="1:13">
      <c r="A786">
        <v>7</v>
      </c>
      <c r="B786" t="s">
        <v>247</v>
      </c>
      <c r="C786">
        <v>11</v>
      </c>
      <c r="D786">
        <v>0</v>
      </c>
      <c r="E786">
        <v>1</v>
      </c>
      <c r="F786" t="s">
        <v>244</v>
      </c>
      <c r="G786">
        <v>0</v>
      </c>
      <c r="H786">
        <v>0</v>
      </c>
      <c r="I786">
        <v>0</v>
      </c>
      <c r="J786">
        <v>0</v>
      </c>
      <c r="K786">
        <v>-1348.09</v>
      </c>
      <c r="L786">
        <v>321.93</v>
      </c>
      <c r="M786">
        <v>-5665.14</v>
      </c>
    </row>
    <row r="787" spans="1:13">
      <c r="A787">
        <v>7</v>
      </c>
      <c r="B787" t="s">
        <v>247</v>
      </c>
      <c r="C787">
        <v>11</v>
      </c>
      <c r="D787">
        <v>0</v>
      </c>
      <c r="E787">
        <v>1</v>
      </c>
      <c r="F787" t="s">
        <v>245</v>
      </c>
      <c r="G787">
        <v>1</v>
      </c>
      <c r="H787">
        <v>0</v>
      </c>
      <c r="I787">
        <v>0</v>
      </c>
      <c r="J787">
        <v>0</v>
      </c>
      <c r="K787">
        <v>-1026.1600000000001</v>
      </c>
      <c r="L787">
        <v>321.93</v>
      </c>
      <c r="M787">
        <v>-5665.14</v>
      </c>
    </row>
    <row r="788" spans="1:13">
      <c r="A788">
        <v>7</v>
      </c>
      <c r="B788" t="s">
        <v>247</v>
      </c>
      <c r="C788">
        <v>12</v>
      </c>
      <c r="D788">
        <v>0</v>
      </c>
      <c r="E788">
        <v>1</v>
      </c>
      <c r="F788" t="s">
        <v>244</v>
      </c>
      <c r="G788">
        <v>0</v>
      </c>
      <c r="H788">
        <v>0</v>
      </c>
      <c r="I788">
        <v>0</v>
      </c>
      <c r="J788">
        <v>0</v>
      </c>
      <c r="K788">
        <v>-1026.1600000000001</v>
      </c>
      <c r="L788">
        <v>321.93</v>
      </c>
      <c r="M788">
        <v>-5665.14</v>
      </c>
    </row>
    <row r="789" spans="1:13">
      <c r="A789">
        <v>7</v>
      </c>
      <c r="B789" t="s">
        <v>247</v>
      </c>
      <c r="C789">
        <v>12</v>
      </c>
      <c r="D789">
        <v>0</v>
      </c>
      <c r="E789">
        <v>1</v>
      </c>
      <c r="F789" t="s">
        <v>245</v>
      </c>
      <c r="G789">
        <v>2.2400000000000002</v>
      </c>
      <c r="H789">
        <v>0</v>
      </c>
      <c r="I789">
        <v>0</v>
      </c>
      <c r="J789">
        <v>0</v>
      </c>
      <c r="K789">
        <v>-305.04000000000002</v>
      </c>
      <c r="L789">
        <v>321.93</v>
      </c>
      <c r="M789">
        <v>-5665.14</v>
      </c>
    </row>
    <row r="790" spans="1:13">
      <c r="A790">
        <v>7</v>
      </c>
      <c r="B790" t="s">
        <v>247</v>
      </c>
      <c r="C790">
        <v>13</v>
      </c>
      <c r="D790">
        <v>0</v>
      </c>
      <c r="E790">
        <v>1</v>
      </c>
      <c r="F790" t="s">
        <v>244</v>
      </c>
      <c r="G790">
        <v>0</v>
      </c>
      <c r="H790">
        <v>0</v>
      </c>
      <c r="I790">
        <v>0</v>
      </c>
      <c r="J790">
        <v>0</v>
      </c>
      <c r="K790">
        <v>-305.04000000000002</v>
      </c>
      <c r="L790">
        <v>321.93</v>
      </c>
      <c r="M790">
        <v>-5665.14</v>
      </c>
    </row>
    <row r="791" spans="1:13">
      <c r="A791">
        <v>7</v>
      </c>
      <c r="B791" t="s">
        <v>247</v>
      </c>
      <c r="C791">
        <v>13</v>
      </c>
      <c r="D791">
        <v>0</v>
      </c>
      <c r="E791">
        <v>1</v>
      </c>
      <c r="F791" t="s">
        <v>245</v>
      </c>
      <c r="G791">
        <v>3.6</v>
      </c>
      <c r="H791">
        <v>0</v>
      </c>
      <c r="I791">
        <v>0</v>
      </c>
      <c r="J791">
        <v>0</v>
      </c>
      <c r="K791">
        <v>316.67</v>
      </c>
      <c r="L791">
        <v>52.28</v>
      </c>
      <c r="M791">
        <v>-5092.83</v>
      </c>
    </row>
    <row r="792" spans="1:13">
      <c r="A792">
        <v>7</v>
      </c>
      <c r="B792" t="s">
        <v>247</v>
      </c>
      <c r="C792">
        <v>14</v>
      </c>
      <c r="D792">
        <v>0</v>
      </c>
      <c r="E792">
        <v>1</v>
      </c>
      <c r="F792" t="s">
        <v>244</v>
      </c>
      <c r="G792">
        <v>0</v>
      </c>
      <c r="H792">
        <v>0</v>
      </c>
      <c r="I792">
        <v>0</v>
      </c>
      <c r="J792">
        <v>0</v>
      </c>
      <c r="K792">
        <v>316.67</v>
      </c>
      <c r="L792">
        <v>52.28</v>
      </c>
      <c r="M792">
        <v>-5092.83</v>
      </c>
    </row>
    <row r="793" spans="1:13">
      <c r="A793">
        <v>7</v>
      </c>
      <c r="B793" t="s">
        <v>247</v>
      </c>
      <c r="C793">
        <v>14</v>
      </c>
      <c r="D793">
        <v>0</v>
      </c>
      <c r="E793">
        <v>1</v>
      </c>
      <c r="F793" t="s">
        <v>245</v>
      </c>
      <c r="G793">
        <v>2.7</v>
      </c>
      <c r="H793">
        <v>0</v>
      </c>
      <c r="I793">
        <v>0</v>
      </c>
      <c r="J793">
        <v>0</v>
      </c>
      <c r="K793">
        <v>417.17</v>
      </c>
      <c r="L793">
        <v>25.43</v>
      </c>
      <c r="M793">
        <v>-4985.22</v>
      </c>
    </row>
    <row r="794" spans="1:13">
      <c r="A794">
        <v>7</v>
      </c>
      <c r="B794" t="s">
        <v>247</v>
      </c>
      <c r="C794">
        <v>15</v>
      </c>
      <c r="D794">
        <v>0</v>
      </c>
      <c r="E794">
        <v>1</v>
      </c>
      <c r="F794" t="s">
        <v>244</v>
      </c>
      <c r="G794">
        <v>0</v>
      </c>
      <c r="H794">
        <v>0</v>
      </c>
      <c r="I794">
        <v>0</v>
      </c>
      <c r="J794">
        <v>0</v>
      </c>
      <c r="K794">
        <v>417.17</v>
      </c>
      <c r="L794">
        <v>25.43</v>
      </c>
      <c r="M794">
        <v>-4985.22</v>
      </c>
    </row>
    <row r="795" spans="1:13">
      <c r="A795">
        <v>7</v>
      </c>
      <c r="B795" t="s">
        <v>247</v>
      </c>
      <c r="C795">
        <v>15</v>
      </c>
      <c r="D795">
        <v>0</v>
      </c>
      <c r="E795">
        <v>1</v>
      </c>
      <c r="F795" t="s">
        <v>245</v>
      </c>
      <c r="G795">
        <v>2.8</v>
      </c>
      <c r="H795">
        <v>0</v>
      </c>
      <c r="I795">
        <v>0</v>
      </c>
      <c r="J795">
        <v>0</v>
      </c>
      <c r="K795">
        <v>372.04</v>
      </c>
      <c r="L795">
        <v>-44.12</v>
      </c>
      <c r="M795">
        <v>-4323.59</v>
      </c>
    </row>
    <row r="796" spans="1:13">
      <c r="A796">
        <v>7</v>
      </c>
      <c r="B796" t="s">
        <v>247</v>
      </c>
      <c r="C796">
        <v>16</v>
      </c>
      <c r="D796">
        <v>0</v>
      </c>
      <c r="E796">
        <v>1</v>
      </c>
      <c r="F796" t="s">
        <v>244</v>
      </c>
      <c r="G796">
        <v>0</v>
      </c>
      <c r="H796">
        <v>0</v>
      </c>
      <c r="I796">
        <v>0</v>
      </c>
      <c r="J796">
        <v>0</v>
      </c>
      <c r="K796">
        <v>372.04</v>
      </c>
      <c r="L796">
        <v>-44.12</v>
      </c>
      <c r="M796">
        <v>-4323.59</v>
      </c>
    </row>
    <row r="797" spans="1:13">
      <c r="A797">
        <v>7</v>
      </c>
      <c r="B797" t="s">
        <v>247</v>
      </c>
      <c r="C797">
        <v>16</v>
      </c>
      <c r="D797">
        <v>0</v>
      </c>
      <c r="E797">
        <v>1</v>
      </c>
      <c r="F797" t="s">
        <v>245</v>
      </c>
      <c r="G797">
        <v>8.16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-1100.52</v>
      </c>
    </row>
    <row r="798" spans="1:13">
      <c r="A798">
        <v>7</v>
      </c>
      <c r="B798" t="s">
        <v>247</v>
      </c>
      <c r="C798">
        <v>17</v>
      </c>
      <c r="D798">
        <v>0</v>
      </c>
      <c r="E798">
        <v>1</v>
      </c>
      <c r="F798" t="s">
        <v>244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-1100.52</v>
      </c>
    </row>
    <row r="799" spans="1:13">
      <c r="A799">
        <v>7</v>
      </c>
      <c r="B799" t="s">
        <v>247</v>
      </c>
      <c r="C799">
        <v>17</v>
      </c>
      <c r="D799">
        <v>0</v>
      </c>
      <c r="E799">
        <v>1</v>
      </c>
      <c r="F799" t="s">
        <v>245</v>
      </c>
      <c r="G799">
        <v>1.5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-532.78</v>
      </c>
    </row>
    <row r="800" spans="1:13">
      <c r="A800">
        <v>8</v>
      </c>
      <c r="B800" t="s">
        <v>243</v>
      </c>
      <c r="C800">
        <v>1</v>
      </c>
      <c r="D800">
        <v>0</v>
      </c>
      <c r="E800">
        <v>1</v>
      </c>
      <c r="F800" t="s">
        <v>244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</row>
    <row r="801" spans="1:13">
      <c r="A801">
        <v>8</v>
      </c>
      <c r="B801" t="s">
        <v>243</v>
      </c>
      <c r="C801">
        <v>1</v>
      </c>
      <c r="D801">
        <v>0</v>
      </c>
      <c r="E801">
        <v>1</v>
      </c>
      <c r="F801" t="s">
        <v>245</v>
      </c>
      <c r="G801">
        <v>1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</row>
    <row r="802" spans="1:13">
      <c r="A802">
        <v>8</v>
      </c>
      <c r="B802" t="s">
        <v>243</v>
      </c>
      <c r="C802">
        <v>2</v>
      </c>
      <c r="D802">
        <v>1</v>
      </c>
      <c r="E802">
        <v>0</v>
      </c>
      <c r="F802" t="s">
        <v>244</v>
      </c>
      <c r="G802">
        <v>0</v>
      </c>
      <c r="H802">
        <v>973.42</v>
      </c>
      <c r="I802">
        <v>3880.07</v>
      </c>
      <c r="J802">
        <v>214.18</v>
      </c>
      <c r="K802">
        <v>0</v>
      </c>
      <c r="L802">
        <v>0</v>
      </c>
      <c r="M802">
        <v>0</v>
      </c>
    </row>
    <row r="803" spans="1:13">
      <c r="A803">
        <v>8</v>
      </c>
      <c r="B803" t="s">
        <v>243</v>
      </c>
      <c r="C803">
        <v>2</v>
      </c>
      <c r="D803">
        <v>1</v>
      </c>
      <c r="E803">
        <v>0</v>
      </c>
      <c r="F803">
        <v>1</v>
      </c>
      <c r="G803">
        <v>2.2000000000000002</v>
      </c>
      <c r="H803">
        <v>9509.57</v>
      </c>
      <c r="I803">
        <v>3880.07</v>
      </c>
      <c r="J803">
        <v>214.18</v>
      </c>
      <c r="K803">
        <v>0</v>
      </c>
      <c r="L803">
        <v>0</v>
      </c>
      <c r="M803">
        <v>0</v>
      </c>
    </row>
    <row r="804" spans="1:13">
      <c r="A804">
        <v>8</v>
      </c>
      <c r="B804" t="s">
        <v>243</v>
      </c>
      <c r="C804">
        <v>2</v>
      </c>
      <c r="D804">
        <v>1</v>
      </c>
      <c r="E804">
        <v>0</v>
      </c>
      <c r="F804">
        <v>2</v>
      </c>
      <c r="G804">
        <v>2.2000000000000002</v>
      </c>
      <c r="H804">
        <v>9509.57</v>
      </c>
      <c r="I804">
        <v>3880.07</v>
      </c>
      <c r="J804">
        <v>214.18</v>
      </c>
      <c r="K804">
        <v>0</v>
      </c>
      <c r="L804">
        <v>0</v>
      </c>
      <c r="M804">
        <v>0</v>
      </c>
    </row>
    <row r="805" spans="1:13">
      <c r="A805">
        <v>8</v>
      </c>
      <c r="B805" t="s">
        <v>243</v>
      </c>
      <c r="C805">
        <v>2</v>
      </c>
      <c r="D805">
        <v>1</v>
      </c>
      <c r="E805">
        <v>0</v>
      </c>
      <c r="F805" t="s">
        <v>245</v>
      </c>
      <c r="G805">
        <v>3</v>
      </c>
      <c r="H805">
        <v>12613.62</v>
      </c>
      <c r="I805">
        <v>3880.07</v>
      </c>
      <c r="J805">
        <v>214.18</v>
      </c>
      <c r="K805">
        <v>0</v>
      </c>
      <c r="L805">
        <v>0</v>
      </c>
      <c r="M805">
        <v>0</v>
      </c>
    </row>
    <row r="806" spans="1:13">
      <c r="A806">
        <v>8</v>
      </c>
      <c r="B806" t="s">
        <v>243</v>
      </c>
      <c r="C806">
        <v>3</v>
      </c>
      <c r="D806">
        <v>1</v>
      </c>
      <c r="E806">
        <v>0</v>
      </c>
      <c r="F806" t="s">
        <v>244</v>
      </c>
      <c r="G806">
        <v>0</v>
      </c>
      <c r="H806">
        <v>5970.05</v>
      </c>
      <c r="I806">
        <v>-4631.87</v>
      </c>
      <c r="J806">
        <v>-214.75</v>
      </c>
      <c r="K806">
        <v>0</v>
      </c>
      <c r="L806">
        <v>0</v>
      </c>
      <c r="M806">
        <v>0</v>
      </c>
    </row>
    <row r="807" spans="1:13">
      <c r="A807">
        <v>8</v>
      </c>
      <c r="B807" t="s">
        <v>243</v>
      </c>
      <c r="C807">
        <v>3</v>
      </c>
      <c r="D807">
        <v>1</v>
      </c>
      <c r="E807">
        <v>0</v>
      </c>
      <c r="F807">
        <v>1</v>
      </c>
      <c r="G807">
        <v>0.8</v>
      </c>
      <c r="H807">
        <v>2264.56</v>
      </c>
      <c r="I807">
        <v>-4631.87</v>
      </c>
      <c r="J807">
        <v>-214.75</v>
      </c>
      <c r="K807">
        <v>0</v>
      </c>
      <c r="L807">
        <v>0</v>
      </c>
      <c r="M807">
        <v>0</v>
      </c>
    </row>
    <row r="808" spans="1:13">
      <c r="A808">
        <v>8</v>
      </c>
      <c r="B808" t="s">
        <v>243</v>
      </c>
      <c r="C808">
        <v>3</v>
      </c>
      <c r="D808">
        <v>1</v>
      </c>
      <c r="E808">
        <v>0</v>
      </c>
      <c r="F808">
        <v>2</v>
      </c>
      <c r="G808">
        <v>0.8</v>
      </c>
      <c r="H808">
        <v>2264.56</v>
      </c>
      <c r="I808">
        <v>-4631.87</v>
      </c>
      <c r="J808">
        <v>-214.75</v>
      </c>
      <c r="K808">
        <v>0</v>
      </c>
      <c r="L808">
        <v>0</v>
      </c>
      <c r="M808">
        <v>0</v>
      </c>
    </row>
    <row r="809" spans="1:13">
      <c r="A809">
        <v>8</v>
      </c>
      <c r="B809" t="s">
        <v>243</v>
      </c>
      <c r="C809">
        <v>3</v>
      </c>
      <c r="D809">
        <v>0</v>
      </c>
      <c r="E809">
        <v>1</v>
      </c>
      <c r="F809" t="s">
        <v>245</v>
      </c>
      <c r="G809">
        <v>1.5</v>
      </c>
      <c r="H809">
        <v>0</v>
      </c>
      <c r="I809">
        <v>0</v>
      </c>
      <c r="J809">
        <v>0</v>
      </c>
      <c r="K809">
        <v>-977.75</v>
      </c>
      <c r="L809">
        <v>-4631.87</v>
      </c>
      <c r="M809">
        <v>-214.75</v>
      </c>
    </row>
    <row r="810" spans="1:13">
      <c r="A810">
        <v>8</v>
      </c>
      <c r="B810" t="s">
        <v>243</v>
      </c>
      <c r="C810">
        <v>4</v>
      </c>
      <c r="D810">
        <v>0</v>
      </c>
      <c r="E810">
        <v>1</v>
      </c>
      <c r="F810" t="s">
        <v>244</v>
      </c>
      <c r="G810">
        <v>0</v>
      </c>
      <c r="H810">
        <v>0</v>
      </c>
      <c r="I810">
        <v>0</v>
      </c>
      <c r="J810">
        <v>0</v>
      </c>
      <c r="K810">
        <v>-973.42</v>
      </c>
      <c r="L810">
        <v>214.18</v>
      </c>
      <c r="M810">
        <v>-3880.07</v>
      </c>
    </row>
    <row r="811" spans="1:13">
      <c r="A811">
        <v>8</v>
      </c>
      <c r="B811" t="s">
        <v>243</v>
      </c>
      <c r="C811">
        <v>4</v>
      </c>
      <c r="D811">
        <v>0</v>
      </c>
      <c r="E811">
        <v>1</v>
      </c>
      <c r="F811" t="s">
        <v>245</v>
      </c>
      <c r="G811">
        <v>1</v>
      </c>
      <c r="H811">
        <v>0</v>
      </c>
      <c r="I811">
        <v>0</v>
      </c>
      <c r="J811">
        <v>0</v>
      </c>
      <c r="K811">
        <v>-759.24</v>
      </c>
      <c r="L811">
        <v>214.18</v>
      </c>
      <c r="M811">
        <v>-3880.07</v>
      </c>
    </row>
    <row r="812" spans="1:13">
      <c r="A812">
        <v>8</v>
      </c>
      <c r="B812" t="s">
        <v>243</v>
      </c>
      <c r="C812">
        <v>5</v>
      </c>
      <c r="D812">
        <v>0</v>
      </c>
      <c r="E812">
        <v>1</v>
      </c>
      <c r="F812" t="s">
        <v>244</v>
      </c>
      <c r="G812">
        <v>0</v>
      </c>
      <c r="H812">
        <v>0</v>
      </c>
      <c r="I812">
        <v>0</v>
      </c>
      <c r="J812">
        <v>0</v>
      </c>
      <c r="K812">
        <v>-759.24</v>
      </c>
      <c r="L812">
        <v>214.18</v>
      </c>
      <c r="M812">
        <v>-3880.07</v>
      </c>
    </row>
    <row r="813" spans="1:13">
      <c r="A813">
        <v>8</v>
      </c>
      <c r="B813" t="s">
        <v>243</v>
      </c>
      <c r="C813">
        <v>5</v>
      </c>
      <c r="D813">
        <v>0</v>
      </c>
      <c r="E813">
        <v>1</v>
      </c>
      <c r="F813" t="s">
        <v>245</v>
      </c>
      <c r="G813">
        <v>2.2400000000000002</v>
      </c>
      <c r="H813">
        <v>0</v>
      </c>
      <c r="I813">
        <v>0</v>
      </c>
      <c r="J813">
        <v>0</v>
      </c>
      <c r="K813">
        <v>-279.48</v>
      </c>
      <c r="L813">
        <v>214.18</v>
      </c>
      <c r="M813">
        <v>-3880.07</v>
      </c>
    </row>
    <row r="814" spans="1:13">
      <c r="A814">
        <v>8</v>
      </c>
      <c r="B814" t="s">
        <v>243</v>
      </c>
      <c r="C814">
        <v>6</v>
      </c>
      <c r="D814">
        <v>0</v>
      </c>
      <c r="E814">
        <v>1</v>
      </c>
      <c r="F814" t="s">
        <v>244</v>
      </c>
      <c r="G814">
        <v>0</v>
      </c>
      <c r="H814">
        <v>0</v>
      </c>
      <c r="I814">
        <v>0</v>
      </c>
      <c r="J814">
        <v>0</v>
      </c>
      <c r="K814">
        <v>-279.48</v>
      </c>
      <c r="L814">
        <v>214.18</v>
      </c>
      <c r="M814">
        <v>-3880.07</v>
      </c>
    </row>
    <row r="815" spans="1:13">
      <c r="A815">
        <v>8</v>
      </c>
      <c r="B815" t="s">
        <v>243</v>
      </c>
      <c r="C815">
        <v>6</v>
      </c>
      <c r="D815">
        <v>1</v>
      </c>
      <c r="E815">
        <v>0</v>
      </c>
      <c r="F815" t="s">
        <v>245</v>
      </c>
      <c r="G815">
        <v>3.6</v>
      </c>
      <c r="H815">
        <v>166.39</v>
      </c>
      <c r="I815">
        <v>48.59</v>
      </c>
      <c r="J815">
        <v>-3497.48</v>
      </c>
      <c r="K815">
        <v>0</v>
      </c>
      <c r="L815">
        <v>0</v>
      </c>
      <c r="M815">
        <v>0</v>
      </c>
    </row>
    <row r="816" spans="1:13">
      <c r="A816">
        <v>8</v>
      </c>
      <c r="B816" t="s">
        <v>243</v>
      </c>
      <c r="C816">
        <v>7</v>
      </c>
      <c r="D816">
        <v>1</v>
      </c>
      <c r="E816">
        <v>0</v>
      </c>
      <c r="F816" t="s">
        <v>244</v>
      </c>
      <c r="G816">
        <v>0</v>
      </c>
      <c r="H816">
        <v>166.39</v>
      </c>
      <c r="I816">
        <v>48.59</v>
      </c>
      <c r="J816">
        <v>-3497.48</v>
      </c>
      <c r="K816">
        <v>0</v>
      </c>
      <c r="L816">
        <v>0</v>
      </c>
      <c r="M816">
        <v>0</v>
      </c>
    </row>
    <row r="817" spans="1:13">
      <c r="A817">
        <v>8</v>
      </c>
      <c r="B817" t="s">
        <v>243</v>
      </c>
      <c r="C817">
        <v>7</v>
      </c>
      <c r="D817">
        <v>1</v>
      </c>
      <c r="E817">
        <v>0</v>
      </c>
      <c r="F817" t="s">
        <v>245</v>
      </c>
      <c r="G817">
        <v>2.7</v>
      </c>
      <c r="H817">
        <v>270.44</v>
      </c>
      <c r="I817">
        <v>30.4</v>
      </c>
      <c r="J817">
        <v>-3424.97</v>
      </c>
      <c r="K817">
        <v>0</v>
      </c>
      <c r="L817">
        <v>0</v>
      </c>
      <c r="M817">
        <v>0</v>
      </c>
    </row>
    <row r="818" spans="1:13">
      <c r="A818">
        <v>8</v>
      </c>
      <c r="B818" t="s">
        <v>243</v>
      </c>
      <c r="C818">
        <v>8</v>
      </c>
      <c r="D818">
        <v>1</v>
      </c>
      <c r="E818">
        <v>0</v>
      </c>
      <c r="F818" t="s">
        <v>244</v>
      </c>
      <c r="G818">
        <v>0</v>
      </c>
      <c r="H818">
        <v>270.44</v>
      </c>
      <c r="I818">
        <v>30.4</v>
      </c>
      <c r="J818">
        <v>-3424.97</v>
      </c>
      <c r="K818">
        <v>0</v>
      </c>
      <c r="L818">
        <v>0</v>
      </c>
      <c r="M818">
        <v>0</v>
      </c>
    </row>
    <row r="819" spans="1:13">
      <c r="A819">
        <v>8</v>
      </c>
      <c r="B819" t="s">
        <v>243</v>
      </c>
      <c r="C819">
        <v>8</v>
      </c>
      <c r="D819">
        <v>1</v>
      </c>
      <c r="E819">
        <v>0</v>
      </c>
      <c r="F819" t="s">
        <v>245</v>
      </c>
      <c r="G819">
        <v>2.8</v>
      </c>
      <c r="H819">
        <v>268.27</v>
      </c>
      <c r="I819">
        <v>-23.08</v>
      </c>
      <c r="J819">
        <v>-2975.7</v>
      </c>
      <c r="K819">
        <v>0</v>
      </c>
      <c r="L819">
        <v>0</v>
      </c>
      <c r="M819">
        <v>0</v>
      </c>
    </row>
    <row r="820" spans="1:13">
      <c r="A820">
        <v>8</v>
      </c>
      <c r="B820" t="s">
        <v>243</v>
      </c>
      <c r="C820">
        <v>9</v>
      </c>
      <c r="D820">
        <v>1</v>
      </c>
      <c r="E820">
        <v>0</v>
      </c>
      <c r="F820" t="s">
        <v>244</v>
      </c>
      <c r="G820">
        <v>0</v>
      </c>
      <c r="H820">
        <v>268.27</v>
      </c>
      <c r="I820">
        <v>-23.08</v>
      </c>
      <c r="J820">
        <v>-2975.7</v>
      </c>
      <c r="K820">
        <v>0</v>
      </c>
      <c r="L820">
        <v>0</v>
      </c>
      <c r="M820">
        <v>0</v>
      </c>
    </row>
    <row r="821" spans="1:13">
      <c r="A821">
        <v>8</v>
      </c>
      <c r="B821" t="s">
        <v>243</v>
      </c>
      <c r="C821">
        <v>9</v>
      </c>
      <c r="D821">
        <v>0</v>
      </c>
      <c r="E821">
        <v>1</v>
      </c>
      <c r="F821" t="s">
        <v>245</v>
      </c>
      <c r="G821">
        <v>8.16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-761.09</v>
      </c>
    </row>
    <row r="822" spans="1:13">
      <c r="A822">
        <v>8</v>
      </c>
      <c r="B822" t="s">
        <v>243</v>
      </c>
      <c r="C822">
        <v>10</v>
      </c>
      <c r="D822">
        <v>0</v>
      </c>
      <c r="E822">
        <v>1</v>
      </c>
      <c r="F822" t="s">
        <v>244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-761.09</v>
      </c>
    </row>
    <row r="823" spans="1:13">
      <c r="A823">
        <v>8</v>
      </c>
      <c r="B823" t="s">
        <v>243</v>
      </c>
      <c r="C823">
        <v>10</v>
      </c>
      <c r="D823">
        <v>1</v>
      </c>
      <c r="E823">
        <v>0</v>
      </c>
      <c r="F823" t="s">
        <v>245</v>
      </c>
      <c r="G823">
        <v>1.5</v>
      </c>
      <c r="H823">
        <v>0</v>
      </c>
      <c r="I823">
        <v>0</v>
      </c>
      <c r="J823">
        <v>-368.53</v>
      </c>
      <c r="K823">
        <v>0</v>
      </c>
      <c r="L823">
        <v>0</v>
      </c>
      <c r="M823">
        <v>0</v>
      </c>
    </row>
    <row r="824" spans="1:13">
      <c r="A824">
        <v>8</v>
      </c>
      <c r="B824" t="s">
        <v>243</v>
      </c>
      <c r="C824">
        <v>11</v>
      </c>
      <c r="D824">
        <v>0</v>
      </c>
      <c r="E824">
        <v>1</v>
      </c>
      <c r="F824" t="s">
        <v>244</v>
      </c>
      <c r="G824">
        <v>0</v>
      </c>
      <c r="H824">
        <v>0</v>
      </c>
      <c r="I824">
        <v>0</v>
      </c>
      <c r="J824">
        <v>0</v>
      </c>
      <c r="K824">
        <v>-977.75</v>
      </c>
      <c r="L824">
        <v>214.75</v>
      </c>
      <c r="M824">
        <v>-4631.87</v>
      </c>
    </row>
    <row r="825" spans="1:13">
      <c r="A825">
        <v>8</v>
      </c>
      <c r="B825" t="s">
        <v>243</v>
      </c>
      <c r="C825">
        <v>11</v>
      </c>
      <c r="D825">
        <v>0</v>
      </c>
      <c r="E825">
        <v>1</v>
      </c>
      <c r="F825" t="s">
        <v>245</v>
      </c>
      <c r="G825">
        <v>1</v>
      </c>
      <c r="H825">
        <v>0</v>
      </c>
      <c r="I825">
        <v>0</v>
      </c>
      <c r="J825">
        <v>0</v>
      </c>
      <c r="K825">
        <v>-763</v>
      </c>
      <c r="L825">
        <v>214.75</v>
      </c>
      <c r="M825">
        <v>-4631.87</v>
      </c>
    </row>
    <row r="826" spans="1:13">
      <c r="A826">
        <v>8</v>
      </c>
      <c r="B826" t="s">
        <v>243</v>
      </c>
      <c r="C826">
        <v>12</v>
      </c>
      <c r="D826">
        <v>0</v>
      </c>
      <c r="E826">
        <v>1</v>
      </c>
      <c r="F826" t="s">
        <v>244</v>
      </c>
      <c r="G826">
        <v>0</v>
      </c>
      <c r="H826">
        <v>0</v>
      </c>
      <c r="I826">
        <v>0</v>
      </c>
      <c r="J826">
        <v>0</v>
      </c>
      <c r="K826">
        <v>-763</v>
      </c>
      <c r="L826">
        <v>214.75</v>
      </c>
      <c r="M826">
        <v>-4631.87</v>
      </c>
    </row>
    <row r="827" spans="1:13">
      <c r="A827">
        <v>8</v>
      </c>
      <c r="B827" t="s">
        <v>243</v>
      </c>
      <c r="C827">
        <v>12</v>
      </c>
      <c r="D827">
        <v>0</v>
      </c>
      <c r="E827">
        <v>1</v>
      </c>
      <c r="F827" t="s">
        <v>245</v>
      </c>
      <c r="G827">
        <v>2.2400000000000002</v>
      </c>
      <c r="H827">
        <v>0</v>
      </c>
      <c r="I827">
        <v>0</v>
      </c>
      <c r="J827">
        <v>0</v>
      </c>
      <c r="K827">
        <v>-281.95999999999998</v>
      </c>
      <c r="L827">
        <v>214.75</v>
      </c>
      <c r="M827">
        <v>-4631.87</v>
      </c>
    </row>
    <row r="828" spans="1:13">
      <c r="A828">
        <v>8</v>
      </c>
      <c r="B828" t="s">
        <v>243</v>
      </c>
      <c r="C828">
        <v>13</v>
      </c>
      <c r="D828">
        <v>0</v>
      </c>
      <c r="E828">
        <v>1</v>
      </c>
      <c r="F828" t="s">
        <v>244</v>
      </c>
      <c r="G828">
        <v>0</v>
      </c>
      <c r="H828">
        <v>0</v>
      </c>
      <c r="I828">
        <v>0</v>
      </c>
      <c r="J828">
        <v>0</v>
      </c>
      <c r="K828">
        <v>-281.95999999999998</v>
      </c>
      <c r="L828">
        <v>214.75</v>
      </c>
      <c r="M828">
        <v>-4631.87</v>
      </c>
    </row>
    <row r="829" spans="1:13">
      <c r="A829">
        <v>8</v>
      </c>
      <c r="B829" t="s">
        <v>243</v>
      </c>
      <c r="C829">
        <v>13</v>
      </c>
      <c r="D829">
        <v>1</v>
      </c>
      <c r="E829">
        <v>0</v>
      </c>
      <c r="F829" t="s">
        <v>245</v>
      </c>
      <c r="G829">
        <v>3.6</v>
      </c>
      <c r="H829">
        <v>165.48</v>
      </c>
      <c r="I829">
        <v>48.9</v>
      </c>
      <c r="J829">
        <v>-4175.16</v>
      </c>
      <c r="K829">
        <v>0</v>
      </c>
      <c r="L829">
        <v>0</v>
      </c>
      <c r="M829">
        <v>0</v>
      </c>
    </row>
    <row r="830" spans="1:13">
      <c r="A830">
        <v>8</v>
      </c>
      <c r="B830" t="s">
        <v>243</v>
      </c>
      <c r="C830">
        <v>14</v>
      </c>
      <c r="D830">
        <v>1</v>
      </c>
      <c r="E830">
        <v>0</v>
      </c>
      <c r="F830" t="s">
        <v>244</v>
      </c>
      <c r="G830">
        <v>0</v>
      </c>
      <c r="H830">
        <v>165.48</v>
      </c>
      <c r="I830">
        <v>48.9</v>
      </c>
      <c r="J830">
        <v>-4175.16</v>
      </c>
      <c r="K830">
        <v>0</v>
      </c>
      <c r="L830">
        <v>0</v>
      </c>
      <c r="M830">
        <v>0</v>
      </c>
    </row>
    <row r="831" spans="1:13">
      <c r="A831">
        <v>8</v>
      </c>
      <c r="B831" t="s">
        <v>243</v>
      </c>
      <c r="C831">
        <v>14</v>
      </c>
      <c r="D831">
        <v>1</v>
      </c>
      <c r="E831">
        <v>0</v>
      </c>
      <c r="F831" t="s">
        <v>245</v>
      </c>
      <c r="G831">
        <v>2.7</v>
      </c>
      <c r="H831">
        <v>270.3</v>
      </c>
      <c r="I831">
        <v>30.67</v>
      </c>
      <c r="J831">
        <v>-4088.59</v>
      </c>
      <c r="K831">
        <v>0</v>
      </c>
      <c r="L831">
        <v>0</v>
      </c>
      <c r="M831">
        <v>0</v>
      </c>
    </row>
    <row r="832" spans="1:13">
      <c r="A832">
        <v>8</v>
      </c>
      <c r="B832" t="s">
        <v>243</v>
      </c>
      <c r="C832">
        <v>15</v>
      </c>
      <c r="D832">
        <v>1</v>
      </c>
      <c r="E832">
        <v>0</v>
      </c>
      <c r="F832" t="s">
        <v>244</v>
      </c>
      <c r="G832">
        <v>0</v>
      </c>
      <c r="H832">
        <v>270.3</v>
      </c>
      <c r="I832">
        <v>30.67</v>
      </c>
      <c r="J832">
        <v>-4088.59</v>
      </c>
      <c r="K832">
        <v>0</v>
      </c>
      <c r="L832">
        <v>0</v>
      </c>
      <c r="M832">
        <v>0</v>
      </c>
    </row>
    <row r="833" spans="1:13">
      <c r="A833">
        <v>8</v>
      </c>
      <c r="B833" t="s">
        <v>243</v>
      </c>
      <c r="C833">
        <v>15</v>
      </c>
      <c r="D833">
        <v>1</v>
      </c>
      <c r="E833">
        <v>0</v>
      </c>
      <c r="F833" t="s">
        <v>245</v>
      </c>
      <c r="G833">
        <v>2.8</v>
      </c>
      <c r="H833">
        <v>268.58999999999997</v>
      </c>
      <c r="I833">
        <v>-23</v>
      </c>
      <c r="J833">
        <v>-3552.28</v>
      </c>
      <c r="K833">
        <v>0</v>
      </c>
      <c r="L833">
        <v>0</v>
      </c>
      <c r="M833">
        <v>0</v>
      </c>
    </row>
    <row r="834" spans="1:13">
      <c r="A834">
        <v>8</v>
      </c>
      <c r="B834" t="s">
        <v>243</v>
      </c>
      <c r="C834">
        <v>16</v>
      </c>
      <c r="D834">
        <v>1</v>
      </c>
      <c r="E834">
        <v>0</v>
      </c>
      <c r="F834" t="s">
        <v>244</v>
      </c>
      <c r="G834">
        <v>0</v>
      </c>
      <c r="H834">
        <v>268.58999999999997</v>
      </c>
      <c r="I834">
        <v>-23</v>
      </c>
      <c r="J834">
        <v>-3552.28</v>
      </c>
      <c r="K834">
        <v>0</v>
      </c>
      <c r="L834">
        <v>0</v>
      </c>
      <c r="M834">
        <v>0</v>
      </c>
    </row>
    <row r="835" spans="1:13">
      <c r="A835">
        <v>8</v>
      </c>
      <c r="B835" t="s">
        <v>243</v>
      </c>
      <c r="C835">
        <v>16</v>
      </c>
      <c r="D835">
        <v>1</v>
      </c>
      <c r="E835">
        <v>0</v>
      </c>
      <c r="F835" t="s">
        <v>245</v>
      </c>
      <c r="G835">
        <v>8.16</v>
      </c>
      <c r="H835">
        <v>0</v>
      </c>
      <c r="I835">
        <v>0</v>
      </c>
      <c r="J835">
        <v>-908.56</v>
      </c>
      <c r="K835">
        <v>0</v>
      </c>
      <c r="L835">
        <v>0</v>
      </c>
      <c r="M835">
        <v>0</v>
      </c>
    </row>
    <row r="836" spans="1:13">
      <c r="A836">
        <v>8</v>
      </c>
      <c r="B836" t="s">
        <v>243</v>
      </c>
      <c r="C836">
        <v>17</v>
      </c>
      <c r="D836">
        <v>1</v>
      </c>
      <c r="E836">
        <v>0</v>
      </c>
      <c r="F836" t="s">
        <v>244</v>
      </c>
      <c r="G836">
        <v>0</v>
      </c>
      <c r="H836">
        <v>0</v>
      </c>
      <c r="I836">
        <v>0</v>
      </c>
      <c r="J836">
        <v>-908.56</v>
      </c>
      <c r="K836">
        <v>0</v>
      </c>
      <c r="L836">
        <v>0</v>
      </c>
      <c r="M836">
        <v>0</v>
      </c>
    </row>
    <row r="837" spans="1:13">
      <c r="A837">
        <v>8</v>
      </c>
      <c r="B837" t="s">
        <v>243</v>
      </c>
      <c r="C837">
        <v>17</v>
      </c>
      <c r="D837">
        <v>0</v>
      </c>
      <c r="E837">
        <v>1</v>
      </c>
      <c r="F837" t="s">
        <v>245</v>
      </c>
      <c r="G837">
        <v>1.5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-439.93</v>
      </c>
    </row>
    <row r="838" spans="1:13">
      <c r="A838">
        <v>8</v>
      </c>
      <c r="B838" t="s">
        <v>246</v>
      </c>
      <c r="C838">
        <v>1</v>
      </c>
      <c r="D838">
        <v>1</v>
      </c>
      <c r="E838">
        <v>0</v>
      </c>
      <c r="F838" t="s">
        <v>244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</row>
    <row r="839" spans="1:13">
      <c r="A839">
        <v>8</v>
      </c>
      <c r="B839" t="s">
        <v>246</v>
      </c>
      <c r="C839">
        <v>1</v>
      </c>
      <c r="D839">
        <v>1</v>
      </c>
      <c r="E839">
        <v>0</v>
      </c>
      <c r="F839" t="s">
        <v>245</v>
      </c>
      <c r="G839">
        <v>1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</row>
    <row r="840" spans="1:13">
      <c r="A840">
        <v>8</v>
      </c>
      <c r="B840" t="s">
        <v>246</v>
      </c>
      <c r="C840">
        <v>2</v>
      </c>
      <c r="D840">
        <v>1</v>
      </c>
      <c r="E840">
        <v>0</v>
      </c>
      <c r="F840" t="s">
        <v>244</v>
      </c>
      <c r="G840">
        <v>0</v>
      </c>
      <c r="H840">
        <v>973.42</v>
      </c>
      <c r="I840">
        <v>3880.07</v>
      </c>
      <c r="J840">
        <v>214.18</v>
      </c>
      <c r="K840">
        <v>0</v>
      </c>
      <c r="L840">
        <v>0</v>
      </c>
      <c r="M840">
        <v>0</v>
      </c>
    </row>
    <row r="841" spans="1:13">
      <c r="A841">
        <v>8</v>
      </c>
      <c r="B841" t="s">
        <v>246</v>
      </c>
      <c r="C841">
        <v>2</v>
      </c>
      <c r="D841">
        <v>1</v>
      </c>
      <c r="E841">
        <v>0</v>
      </c>
      <c r="F841">
        <v>1</v>
      </c>
      <c r="G841">
        <v>2.2000000000000002</v>
      </c>
      <c r="H841">
        <v>9509.57</v>
      </c>
      <c r="I841">
        <v>3880.07</v>
      </c>
      <c r="J841">
        <v>214.18</v>
      </c>
      <c r="K841">
        <v>0</v>
      </c>
      <c r="L841">
        <v>0</v>
      </c>
      <c r="M841">
        <v>0</v>
      </c>
    </row>
    <row r="842" spans="1:13">
      <c r="A842">
        <v>8</v>
      </c>
      <c r="B842" t="s">
        <v>246</v>
      </c>
      <c r="C842">
        <v>2</v>
      </c>
      <c r="D842">
        <v>1</v>
      </c>
      <c r="E842">
        <v>0</v>
      </c>
      <c r="F842">
        <v>2</v>
      </c>
      <c r="G842">
        <v>2.2000000000000002</v>
      </c>
      <c r="H842">
        <v>9509.57</v>
      </c>
      <c r="I842">
        <v>3880.07</v>
      </c>
      <c r="J842">
        <v>214.18</v>
      </c>
      <c r="K842">
        <v>0</v>
      </c>
      <c r="L842">
        <v>0</v>
      </c>
      <c r="M842">
        <v>0</v>
      </c>
    </row>
    <row r="843" spans="1:13">
      <c r="A843">
        <v>8</v>
      </c>
      <c r="B843" t="s">
        <v>246</v>
      </c>
      <c r="C843">
        <v>2</v>
      </c>
      <c r="D843">
        <v>1</v>
      </c>
      <c r="E843">
        <v>0</v>
      </c>
      <c r="F843" t="s">
        <v>245</v>
      </c>
      <c r="G843">
        <v>3</v>
      </c>
      <c r="H843">
        <v>12613.62</v>
      </c>
      <c r="I843">
        <v>3880.07</v>
      </c>
      <c r="J843">
        <v>214.18</v>
      </c>
      <c r="K843">
        <v>0</v>
      </c>
      <c r="L843">
        <v>0</v>
      </c>
      <c r="M843">
        <v>0</v>
      </c>
    </row>
    <row r="844" spans="1:13">
      <c r="A844">
        <v>8</v>
      </c>
      <c r="B844" t="s">
        <v>246</v>
      </c>
      <c r="C844">
        <v>3</v>
      </c>
      <c r="D844">
        <v>0</v>
      </c>
      <c r="E844">
        <v>1</v>
      </c>
      <c r="F844" t="s">
        <v>244</v>
      </c>
      <c r="G844">
        <v>0</v>
      </c>
      <c r="H844">
        <v>0</v>
      </c>
      <c r="I844">
        <v>0</v>
      </c>
      <c r="J844">
        <v>0</v>
      </c>
      <c r="K844">
        <v>5970.05</v>
      </c>
      <c r="L844">
        <v>-4631.87</v>
      </c>
      <c r="M844">
        <v>-214.75</v>
      </c>
    </row>
    <row r="845" spans="1:13">
      <c r="A845">
        <v>8</v>
      </c>
      <c r="B845" t="s">
        <v>246</v>
      </c>
      <c r="C845">
        <v>3</v>
      </c>
      <c r="D845">
        <v>0</v>
      </c>
      <c r="E845">
        <v>1</v>
      </c>
      <c r="F845">
        <v>1</v>
      </c>
      <c r="G845">
        <v>0.8</v>
      </c>
      <c r="H845">
        <v>0</v>
      </c>
      <c r="I845">
        <v>0</v>
      </c>
      <c r="J845">
        <v>0</v>
      </c>
      <c r="K845">
        <v>2264.56</v>
      </c>
      <c r="L845">
        <v>-4631.87</v>
      </c>
      <c r="M845">
        <v>-214.75</v>
      </c>
    </row>
    <row r="846" spans="1:13">
      <c r="A846">
        <v>8</v>
      </c>
      <c r="B846" t="s">
        <v>246</v>
      </c>
      <c r="C846">
        <v>3</v>
      </c>
      <c r="D846">
        <v>0</v>
      </c>
      <c r="E846">
        <v>1</v>
      </c>
      <c r="F846">
        <v>2</v>
      </c>
      <c r="G846">
        <v>0.8</v>
      </c>
      <c r="H846">
        <v>0</v>
      </c>
      <c r="I846">
        <v>0</v>
      </c>
      <c r="J846">
        <v>0</v>
      </c>
      <c r="K846">
        <v>2264.56</v>
      </c>
      <c r="L846">
        <v>-4631.87</v>
      </c>
      <c r="M846">
        <v>-214.75</v>
      </c>
    </row>
    <row r="847" spans="1:13">
      <c r="A847">
        <v>8</v>
      </c>
      <c r="B847" t="s">
        <v>246</v>
      </c>
      <c r="C847">
        <v>3</v>
      </c>
      <c r="D847">
        <v>0</v>
      </c>
      <c r="E847">
        <v>1</v>
      </c>
      <c r="F847" t="s">
        <v>245</v>
      </c>
      <c r="G847">
        <v>1.5</v>
      </c>
      <c r="H847">
        <v>0</v>
      </c>
      <c r="I847">
        <v>0</v>
      </c>
      <c r="J847">
        <v>0</v>
      </c>
      <c r="K847">
        <v>-977.75</v>
      </c>
      <c r="L847">
        <v>-4631.87</v>
      </c>
      <c r="M847">
        <v>-214.75</v>
      </c>
    </row>
    <row r="848" spans="1:13">
      <c r="A848">
        <v>8</v>
      </c>
      <c r="B848" t="s">
        <v>246</v>
      </c>
      <c r="C848">
        <v>4</v>
      </c>
      <c r="D848">
        <v>1</v>
      </c>
      <c r="E848">
        <v>0</v>
      </c>
      <c r="F848" t="s">
        <v>244</v>
      </c>
      <c r="G848">
        <v>0</v>
      </c>
      <c r="H848">
        <v>-973.42</v>
      </c>
      <c r="I848">
        <v>214.18</v>
      </c>
      <c r="J848">
        <v>-3880.07</v>
      </c>
      <c r="K848">
        <v>0</v>
      </c>
      <c r="L848">
        <v>0</v>
      </c>
      <c r="M848">
        <v>0</v>
      </c>
    </row>
    <row r="849" spans="1:13">
      <c r="A849">
        <v>8</v>
      </c>
      <c r="B849" t="s">
        <v>246</v>
      </c>
      <c r="C849">
        <v>4</v>
      </c>
      <c r="D849">
        <v>1</v>
      </c>
      <c r="E849">
        <v>0</v>
      </c>
      <c r="F849" t="s">
        <v>245</v>
      </c>
      <c r="G849">
        <v>1</v>
      </c>
      <c r="H849">
        <v>-759.24</v>
      </c>
      <c r="I849">
        <v>214.18</v>
      </c>
      <c r="J849">
        <v>-3880.07</v>
      </c>
      <c r="K849">
        <v>0</v>
      </c>
      <c r="L849">
        <v>0</v>
      </c>
      <c r="M849">
        <v>0</v>
      </c>
    </row>
    <row r="850" spans="1:13">
      <c r="A850">
        <v>8</v>
      </c>
      <c r="B850" t="s">
        <v>246</v>
      </c>
      <c r="C850">
        <v>5</v>
      </c>
      <c r="D850">
        <v>1</v>
      </c>
      <c r="E850">
        <v>0</v>
      </c>
      <c r="F850" t="s">
        <v>244</v>
      </c>
      <c r="G850">
        <v>0</v>
      </c>
      <c r="H850">
        <v>-759.24</v>
      </c>
      <c r="I850">
        <v>214.18</v>
      </c>
      <c r="J850">
        <v>-3880.07</v>
      </c>
      <c r="K850">
        <v>0</v>
      </c>
      <c r="L850">
        <v>0</v>
      </c>
      <c r="M850">
        <v>0</v>
      </c>
    </row>
    <row r="851" spans="1:13">
      <c r="A851">
        <v>8</v>
      </c>
      <c r="B851" t="s">
        <v>246</v>
      </c>
      <c r="C851">
        <v>5</v>
      </c>
      <c r="D851">
        <v>1</v>
      </c>
      <c r="E851">
        <v>0</v>
      </c>
      <c r="F851" t="s">
        <v>245</v>
      </c>
      <c r="G851">
        <v>2.2400000000000002</v>
      </c>
      <c r="H851">
        <v>-279.48</v>
      </c>
      <c r="I851">
        <v>214.18</v>
      </c>
      <c r="J851">
        <v>-3880.07</v>
      </c>
      <c r="K851">
        <v>0</v>
      </c>
      <c r="L851">
        <v>0</v>
      </c>
      <c r="M851">
        <v>0</v>
      </c>
    </row>
    <row r="852" spans="1:13">
      <c r="A852">
        <v>8</v>
      </c>
      <c r="B852" t="s">
        <v>246</v>
      </c>
      <c r="C852">
        <v>6</v>
      </c>
      <c r="D852">
        <v>1</v>
      </c>
      <c r="E852">
        <v>0</v>
      </c>
      <c r="F852" t="s">
        <v>244</v>
      </c>
      <c r="G852">
        <v>0</v>
      </c>
      <c r="H852">
        <v>-279.48</v>
      </c>
      <c r="I852">
        <v>214.18</v>
      </c>
      <c r="J852">
        <v>-3880.07</v>
      </c>
      <c r="K852">
        <v>0</v>
      </c>
      <c r="L852">
        <v>0</v>
      </c>
      <c r="M852">
        <v>0</v>
      </c>
    </row>
    <row r="853" spans="1:13">
      <c r="A853">
        <v>8</v>
      </c>
      <c r="B853" t="s">
        <v>246</v>
      </c>
      <c r="C853">
        <v>6</v>
      </c>
      <c r="D853">
        <v>1</v>
      </c>
      <c r="E853">
        <v>0</v>
      </c>
      <c r="F853" t="s">
        <v>245</v>
      </c>
      <c r="G853">
        <v>3.6</v>
      </c>
      <c r="H853">
        <v>166.39</v>
      </c>
      <c r="I853">
        <v>48.59</v>
      </c>
      <c r="J853">
        <v>-3497.48</v>
      </c>
      <c r="K853">
        <v>0</v>
      </c>
      <c r="L853">
        <v>0</v>
      </c>
      <c r="M853">
        <v>0</v>
      </c>
    </row>
    <row r="854" spans="1:13">
      <c r="A854">
        <v>8</v>
      </c>
      <c r="B854" t="s">
        <v>246</v>
      </c>
      <c r="C854">
        <v>7</v>
      </c>
      <c r="D854">
        <v>1</v>
      </c>
      <c r="E854">
        <v>0</v>
      </c>
      <c r="F854" t="s">
        <v>244</v>
      </c>
      <c r="G854">
        <v>0</v>
      </c>
      <c r="H854">
        <v>166.39</v>
      </c>
      <c r="I854">
        <v>48.59</v>
      </c>
      <c r="J854">
        <v>-3497.48</v>
      </c>
      <c r="K854">
        <v>0</v>
      </c>
      <c r="L854">
        <v>0</v>
      </c>
      <c r="M854">
        <v>0</v>
      </c>
    </row>
    <row r="855" spans="1:13">
      <c r="A855">
        <v>8</v>
      </c>
      <c r="B855" t="s">
        <v>246</v>
      </c>
      <c r="C855">
        <v>7</v>
      </c>
      <c r="D855">
        <v>1</v>
      </c>
      <c r="E855">
        <v>0</v>
      </c>
      <c r="F855" t="s">
        <v>245</v>
      </c>
      <c r="G855">
        <v>2.7</v>
      </c>
      <c r="H855">
        <v>270.44</v>
      </c>
      <c r="I855">
        <v>30.4</v>
      </c>
      <c r="J855">
        <v>-3424.97</v>
      </c>
      <c r="K855">
        <v>0</v>
      </c>
      <c r="L855">
        <v>0</v>
      </c>
      <c r="M855">
        <v>0</v>
      </c>
    </row>
    <row r="856" spans="1:13">
      <c r="A856">
        <v>8</v>
      </c>
      <c r="B856" t="s">
        <v>246</v>
      </c>
      <c r="C856">
        <v>8</v>
      </c>
      <c r="D856">
        <v>1</v>
      </c>
      <c r="E856">
        <v>0</v>
      </c>
      <c r="F856" t="s">
        <v>244</v>
      </c>
      <c r="G856">
        <v>0</v>
      </c>
      <c r="H856">
        <v>270.44</v>
      </c>
      <c r="I856">
        <v>30.4</v>
      </c>
      <c r="J856">
        <v>-3424.97</v>
      </c>
      <c r="K856">
        <v>0</v>
      </c>
      <c r="L856">
        <v>0</v>
      </c>
      <c r="M856">
        <v>0</v>
      </c>
    </row>
    <row r="857" spans="1:13">
      <c r="A857">
        <v>8</v>
      </c>
      <c r="B857" t="s">
        <v>246</v>
      </c>
      <c r="C857">
        <v>8</v>
      </c>
      <c r="D857">
        <v>0</v>
      </c>
      <c r="E857">
        <v>1</v>
      </c>
      <c r="F857" t="s">
        <v>245</v>
      </c>
      <c r="G857">
        <v>2.8</v>
      </c>
      <c r="H857">
        <v>0</v>
      </c>
      <c r="I857">
        <v>0</v>
      </c>
      <c r="J857">
        <v>0</v>
      </c>
      <c r="K857">
        <v>268.27</v>
      </c>
      <c r="L857">
        <v>-23.08</v>
      </c>
      <c r="M857">
        <v>-2975.7</v>
      </c>
    </row>
    <row r="858" spans="1:13">
      <c r="A858">
        <v>8</v>
      </c>
      <c r="B858" t="s">
        <v>246</v>
      </c>
      <c r="C858">
        <v>9</v>
      </c>
      <c r="D858">
        <v>0</v>
      </c>
      <c r="E858">
        <v>1</v>
      </c>
      <c r="F858" t="s">
        <v>244</v>
      </c>
      <c r="G858">
        <v>0</v>
      </c>
      <c r="H858">
        <v>0</v>
      </c>
      <c r="I858">
        <v>0</v>
      </c>
      <c r="J858">
        <v>0</v>
      </c>
      <c r="K858">
        <v>268.27</v>
      </c>
      <c r="L858">
        <v>-23.08</v>
      </c>
      <c r="M858">
        <v>-2975.7</v>
      </c>
    </row>
    <row r="859" spans="1:13">
      <c r="A859">
        <v>8</v>
      </c>
      <c r="B859" t="s">
        <v>246</v>
      </c>
      <c r="C859">
        <v>9</v>
      </c>
      <c r="D859">
        <v>1</v>
      </c>
      <c r="E859">
        <v>0</v>
      </c>
      <c r="F859" t="s">
        <v>245</v>
      </c>
      <c r="G859">
        <v>8.16</v>
      </c>
      <c r="H859">
        <v>0</v>
      </c>
      <c r="I859">
        <v>0</v>
      </c>
      <c r="J859">
        <v>-761.09</v>
      </c>
      <c r="K859">
        <v>0</v>
      </c>
      <c r="L859">
        <v>0</v>
      </c>
      <c r="M859">
        <v>0</v>
      </c>
    </row>
    <row r="860" spans="1:13">
      <c r="A860">
        <v>8</v>
      </c>
      <c r="B860" t="s">
        <v>246</v>
      </c>
      <c r="C860">
        <v>10</v>
      </c>
      <c r="D860">
        <v>1</v>
      </c>
      <c r="E860">
        <v>0</v>
      </c>
      <c r="F860" t="s">
        <v>244</v>
      </c>
      <c r="G860">
        <v>0</v>
      </c>
      <c r="H860">
        <v>0</v>
      </c>
      <c r="I860">
        <v>0</v>
      </c>
      <c r="J860">
        <v>-761.09</v>
      </c>
      <c r="K860">
        <v>0</v>
      </c>
      <c r="L860">
        <v>0</v>
      </c>
      <c r="M860">
        <v>0</v>
      </c>
    </row>
    <row r="861" spans="1:13">
      <c r="A861">
        <v>8</v>
      </c>
      <c r="B861" t="s">
        <v>246</v>
      </c>
      <c r="C861">
        <v>10</v>
      </c>
      <c r="D861">
        <v>1</v>
      </c>
      <c r="E861">
        <v>0</v>
      </c>
      <c r="F861" t="s">
        <v>245</v>
      </c>
      <c r="G861">
        <v>1.5</v>
      </c>
      <c r="H861">
        <v>0</v>
      </c>
      <c r="I861">
        <v>0</v>
      </c>
      <c r="J861">
        <v>-368.53</v>
      </c>
      <c r="K861">
        <v>0</v>
      </c>
      <c r="L861">
        <v>0</v>
      </c>
      <c r="M861">
        <v>0</v>
      </c>
    </row>
    <row r="862" spans="1:13">
      <c r="A862">
        <v>8</v>
      </c>
      <c r="B862" t="s">
        <v>246</v>
      </c>
      <c r="C862">
        <v>11</v>
      </c>
      <c r="D862">
        <v>1</v>
      </c>
      <c r="E862">
        <v>0</v>
      </c>
      <c r="F862" t="s">
        <v>244</v>
      </c>
      <c r="G862">
        <v>0</v>
      </c>
      <c r="H862">
        <v>-977.75</v>
      </c>
      <c r="I862">
        <v>214.75</v>
      </c>
      <c r="J862">
        <v>-4631.87</v>
      </c>
      <c r="K862">
        <v>0</v>
      </c>
      <c r="L862">
        <v>0</v>
      </c>
      <c r="M862">
        <v>0</v>
      </c>
    </row>
    <row r="863" spans="1:13">
      <c r="A863">
        <v>8</v>
      </c>
      <c r="B863" t="s">
        <v>246</v>
      </c>
      <c r="C863">
        <v>11</v>
      </c>
      <c r="D863">
        <v>1</v>
      </c>
      <c r="E863">
        <v>0</v>
      </c>
      <c r="F863" t="s">
        <v>245</v>
      </c>
      <c r="G863">
        <v>1</v>
      </c>
      <c r="H863">
        <v>-763</v>
      </c>
      <c r="I863">
        <v>214.75</v>
      </c>
      <c r="J863">
        <v>-4631.87</v>
      </c>
      <c r="K863">
        <v>0</v>
      </c>
      <c r="L863">
        <v>0</v>
      </c>
      <c r="M863">
        <v>0</v>
      </c>
    </row>
    <row r="864" spans="1:13">
      <c r="A864">
        <v>8</v>
      </c>
      <c r="B864" t="s">
        <v>246</v>
      </c>
      <c r="C864">
        <v>12</v>
      </c>
      <c r="D864">
        <v>1</v>
      </c>
      <c r="E864">
        <v>0</v>
      </c>
      <c r="F864" t="s">
        <v>244</v>
      </c>
      <c r="G864">
        <v>0</v>
      </c>
      <c r="H864">
        <v>-763</v>
      </c>
      <c r="I864">
        <v>214.75</v>
      </c>
      <c r="J864">
        <v>-4631.87</v>
      </c>
      <c r="K864">
        <v>0</v>
      </c>
      <c r="L864">
        <v>0</v>
      </c>
      <c r="M864">
        <v>0</v>
      </c>
    </row>
    <row r="865" spans="1:13">
      <c r="A865">
        <v>8</v>
      </c>
      <c r="B865" t="s">
        <v>246</v>
      </c>
      <c r="C865">
        <v>12</v>
      </c>
      <c r="D865">
        <v>1</v>
      </c>
      <c r="E865">
        <v>0</v>
      </c>
      <c r="F865" t="s">
        <v>245</v>
      </c>
      <c r="G865">
        <v>2.2400000000000002</v>
      </c>
      <c r="H865">
        <v>-281.95999999999998</v>
      </c>
      <c r="I865">
        <v>214.75</v>
      </c>
      <c r="J865">
        <v>-4631.87</v>
      </c>
      <c r="K865">
        <v>0</v>
      </c>
      <c r="L865">
        <v>0</v>
      </c>
      <c r="M865">
        <v>0</v>
      </c>
    </row>
    <row r="866" spans="1:13">
      <c r="A866">
        <v>8</v>
      </c>
      <c r="B866" t="s">
        <v>246</v>
      </c>
      <c r="C866">
        <v>13</v>
      </c>
      <c r="D866">
        <v>1</v>
      </c>
      <c r="E866">
        <v>0</v>
      </c>
      <c r="F866" t="s">
        <v>244</v>
      </c>
      <c r="G866">
        <v>0</v>
      </c>
      <c r="H866">
        <v>-281.95999999999998</v>
      </c>
      <c r="I866">
        <v>214.75</v>
      </c>
      <c r="J866">
        <v>-4631.87</v>
      </c>
      <c r="K866">
        <v>0</v>
      </c>
      <c r="L866">
        <v>0</v>
      </c>
      <c r="M866">
        <v>0</v>
      </c>
    </row>
    <row r="867" spans="1:13">
      <c r="A867">
        <v>8</v>
      </c>
      <c r="B867" t="s">
        <v>246</v>
      </c>
      <c r="C867">
        <v>13</v>
      </c>
      <c r="D867">
        <v>1</v>
      </c>
      <c r="E867">
        <v>0</v>
      </c>
      <c r="F867" t="s">
        <v>245</v>
      </c>
      <c r="G867">
        <v>3.6</v>
      </c>
      <c r="H867">
        <v>165.48</v>
      </c>
      <c r="I867">
        <v>48.9</v>
      </c>
      <c r="J867">
        <v>-4175.16</v>
      </c>
      <c r="K867">
        <v>0</v>
      </c>
      <c r="L867">
        <v>0</v>
      </c>
      <c r="M867">
        <v>0</v>
      </c>
    </row>
    <row r="868" spans="1:13">
      <c r="A868">
        <v>8</v>
      </c>
      <c r="B868" t="s">
        <v>246</v>
      </c>
      <c r="C868">
        <v>14</v>
      </c>
      <c r="D868">
        <v>1</v>
      </c>
      <c r="E868">
        <v>0</v>
      </c>
      <c r="F868" t="s">
        <v>244</v>
      </c>
      <c r="G868">
        <v>0</v>
      </c>
      <c r="H868">
        <v>165.48</v>
      </c>
      <c r="I868">
        <v>48.9</v>
      </c>
      <c r="J868">
        <v>-4175.16</v>
      </c>
      <c r="K868">
        <v>0</v>
      </c>
      <c r="L868">
        <v>0</v>
      </c>
      <c r="M868">
        <v>0</v>
      </c>
    </row>
    <row r="869" spans="1:13">
      <c r="A869">
        <v>8</v>
      </c>
      <c r="B869" t="s">
        <v>246</v>
      </c>
      <c r="C869">
        <v>14</v>
      </c>
      <c r="D869">
        <v>1</v>
      </c>
      <c r="E869">
        <v>0</v>
      </c>
      <c r="F869" t="s">
        <v>245</v>
      </c>
      <c r="G869">
        <v>2.7</v>
      </c>
      <c r="H869">
        <v>270.3</v>
      </c>
      <c r="I869">
        <v>30.67</v>
      </c>
      <c r="J869">
        <v>-4088.59</v>
      </c>
      <c r="K869">
        <v>0</v>
      </c>
      <c r="L869">
        <v>0</v>
      </c>
      <c r="M869">
        <v>0</v>
      </c>
    </row>
    <row r="870" spans="1:13">
      <c r="A870">
        <v>8</v>
      </c>
      <c r="B870" t="s">
        <v>246</v>
      </c>
      <c r="C870">
        <v>15</v>
      </c>
      <c r="D870">
        <v>1</v>
      </c>
      <c r="E870">
        <v>0</v>
      </c>
      <c r="F870" t="s">
        <v>244</v>
      </c>
      <c r="G870">
        <v>0</v>
      </c>
      <c r="H870">
        <v>270.3</v>
      </c>
      <c r="I870">
        <v>30.67</v>
      </c>
      <c r="J870">
        <v>-4088.59</v>
      </c>
      <c r="K870">
        <v>0</v>
      </c>
      <c r="L870">
        <v>0</v>
      </c>
      <c r="M870">
        <v>0</v>
      </c>
    </row>
    <row r="871" spans="1:13">
      <c r="A871">
        <v>8</v>
      </c>
      <c r="B871" t="s">
        <v>246</v>
      </c>
      <c r="C871">
        <v>15</v>
      </c>
      <c r="D871">
        <v>0</v>
      </c>
      <c r="E871">
        <v>1</v>
      </c>
      <c r="F871" t="s">
        <v>245</v>
      </c>
      <c r="G871">
        <v>2.8</v>
      </c>
      <c r="H871">
        <v>0</v>
      </c>
      <c r="I871">
        <v>0</v>
      </c>
      <c r="J871">
        <v>0</v>
      </c>
      <c r="K871">
        <v>268.58999999999997</v>
      </c>
      <c r="L871">
        <v>-23</v>
      </c>
      <c r="M871">
        <v>-3552.28</v>
      </c>
    </row>
    <row r="872" spans="1:13">
      <c r="A872">
        <v>8</v>
      </c>
      <c r="B872" t="s">
        <v>246</v>
      </c>
      <c r="C872">
        <v>16</v>
      </c>
      <c r="D872">
        <v>0</v>
      </c>
      <c r="E872">
        <v>1</v>
      </c>
      <c r="F872" t="s">
        <v>244</v>
      </c>
      <c r="G872">
        <v>0</v>
      </c>
      <c r="H872">
        <v>0</v>
      </c>
      <c r="I872">
        <v>0</v>
      </c>
      <c r="J872">
        <v>0</v>
      </c>
      <c r="K872">
        <v>268.58999999999997</v>
      </c>
      <c r="L872">
        <v>-23</v>
      </c>
      <c r="M872">
        <v>-3552.28</v>
      </c>
    </row>
    <row r="873" spans="1:13">
      <c r="A873">
        <v>8</v>
      </c>
      <c r="B873" t="s">
        <v>246</v>
      </c>
      <c r="C873">
        <v>16</v>
      </c>
      <c r="D873">
        <v>0</v>
      </c>
      <c r="E873">
        <v>1</v>
      </c>
      <c r="F873" t="s">
        <v>245</v>
      </c>
      <c r="G873">
        <v>8.16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-908.56</v>
      </c>
    </row>
    <row r="874" spans="1:13">
      <c r="A874">
        <v>8</v>
      </c>
      <c r="B874" t="s">
        <v>246</v>
      </c>
      <c r="C874">
        <v>17</v>
      </c>
      <c r="D874">
        <v>0</v>
      </c>
      <c r="E874">
        <v>1</v>
      </c>
      <c r="F874" t="s">
        <v>244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-908.56</v>
      </c>
    </row>
    <row r="875" spans="1:13">
      <c r="A875">
        <v>8</v>
      </c>
      <c r="B875" t="s">
        <v>246</v>
      </c>
      <c r="C875">
        <v>17</v>
      </c>
      <c r="D875">
        <v>0</v>
      </c>
      <c r="E875">
        <v>1</v>
      </c>
      <c r="F875" t="s">
        <v>245</v>
      </c>
      <c r="G875">
        <v>1.5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-439.93</v>
      </c>
    </row>
    <row r="876" spans="1:13">
      <c r="A876">
        <v>8</v>
      </c>
      <c r="B876" t="s">
        <v>247</v>
      </c>
      <c r="C876">
        <v>1</v>
      </c>
      <c r="D876">
        <v>0</v>
      </c>
      <c r="E876">
        <v>0</v>
      </c>
      <c r="F876" t="s">
        <v>244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</row>
    <row r="877" spans="1:13">
      <c r="A877">
        <v>8</v>
      </c>
      <c r="B877" t="s">
        <v>247</v>
      </c>
      <c r="C877">
        <v>1</v>
      </c>
      <c r="D877">
        <v>0</v>
      </c>
      <c r="E877">
        <v>0</v>
      </c>
      <c r="F877" t="s">
        <v>245</v>
      </c>
      <c r="G877">
        <v>1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</row>
    <row r="878" spans="1:13">
      <c r="A878">
        <v>8</v>
      </c>
      <c r="B878" t="s">
        <v>247</v>
      </c>
      <c r="C878">
        <v>2</v>
      </c>
      <c r="D878">
        <v>1</v>
      </c>
      <c r="E878">
        <v>0</v>
      </c>
      <c r="F878" t="s">
        <v>244</v>
      </c>
      <c r="G878">
        <v>0</v>
      </c>
      <c r="H878">
        <v>973.42</v>
      </c>
      <c r="I878">
        <v>3880.07</v>
      </c>
      <c r="J878">
        <v>214.18</v>
      </c>
      <c r="K878">
        <v>0</v>
      </c>
      <c r="L878">
        <v>0</v>
      </c>
      <c r="M878">
        <v>0</v>
      </c>
    </row>
    <row r="879" spans="1:13">
      <c r="A879">
        <v>8</v>
      </c>
      <c r="B879" t="s">
        <v>247</v>
      </c>
      <c r="C879">
        <v>2</v>
      </c>
      <c r="D879">
        <v>1</v>
      </c>
      <c r="E879">
        <v>0</v>
      </c>
      <c r="F879">
        <v>1</v>
      </c>
      <c r="G879">
        <v>2.2000000000000002</v>
      </c>
      <c r="H879">
        <v>9509.57</v>
      </c>
      <c r="I879">
        <v>3880.07</v>
      </c>
      <c r="J879">
        <v>214.18</v>
      </c>
      <c r="K879">
        <v>0</v>
      </c>
      <c r="L879">
        <v>0</v>
      </c>
      <c r="M879">
        <v>0</v>
      </c>
    </row>
    <row r="880" spans="1:13">
      <c r="A880">
        <v>8</v>
      </c>
      <c r="B880" t="s">
        <v>247</v>
      </c>
      <c r="C880">
        <v>2</v>
      </c>
      <c r="D880">
        <v>1</v>
      </c>
      <c r="E880">
        <v>0</v>
      </c>
      <c r="F880">
        <v>2</v>
      </c>
      <c r="G880">
        <v>2.2000000000000002</v>
      </c>
      <c r="H880">
        <v>9509.57</v>
      </c>
      <c r="I880">
        <v>3880.07</v>
      </c>
      <c r="J880">
        <v>214.18</v>
      </c>
      <c r="K880">
        <v>0</v>
      </c>
      <c r="L880">
        <v>0</v>
      </c>
      <c r="M880">
        <v>0</v>
      </c>
    </row>
    <row r="881" spans="1:13">
      <c r="A881">
        <v>8</v>
      </c>
      <c r="B881" t="s">
        <v>247</v>
      </c>
      <c r="C881">
        <v>2</v>
      </c>
      <c r="D881">
        <v>1</v>
      </c>
      <c r="E881">
        <v>0</v>
      </c>
      <c r="F881" t="s">
        <v>245</v>
      </c>
      <c r="G881">
        <v>3</v>
      </c>
      <c r="H881">
        <v>12613.62</v>
      </c>
      <c r="I881">
        <v>3880.07</v>
      </c>
      <c r="J881">
        <v>214.18</v>
      </c>
      <c r="K881">
        <v>0</v>
      </c>
      <c r="L881">
        <v>0</v>
      </c>
      <c r="M881">
        <v>0</v>
      </c>
    </row>
    <row r="882" spans="1:13">
      <c r="A882">
        <v>8</v>
      </c>
      <c r="B882" t="s">
        <v>247</v>
      </c>
      <c r="C882">
        <v>3</v>
      </c>
      <c r="D882">
        <v>0</v>
      </c>
      <c r="E882">
        <v>1</v>
      </c>
      <c r="F882" t="s">
        <v>244</v>
      </c>
      <c r="G882">
        <v>0</v>
      </c>
      <c r="H882">
        <v>0</v>
      </c>
      <c r="I882">
        <v>0</v>
      </c>
      <c r="J882">
        <v>0</v>
      </c>
      <c r="K882">
        <v>5970.05</v>
      </c>
      <c r="L882">
        <v>-4631.87</v>
      </c>
      <c r="M882">
        <v>-214.75</v>
      </c>
    </row>
    <row r="883" spans="1:13">
      <c r="A883">
        <v>8</v>
      </c>
      <c r="B883" t="s">
        <v>247</v>
      </c>
      <c r="C883">
        <v>3</v>
      </c>
      <c r="D883">
        <v>0</v>
      </c>
      <c r="E883">
        <v>1</v>
      </c>
      <c r="F883">
        <v>1</v>
      </c>
      <c r="G883">
        <v>0.8</v>
      </c>
      <c r="H883">
        <v>0</v>
      </c>
      <c r="I883">
        <v>0</v>
      </c>
      <c r="J883">
        <v>0</v>
      </c>
      <c r="K883">
        <v>2264.56</v>
      </c>
      <c r="L883">
        <v>-4631.87</v>
      </c>
      <c r="M883">
        <v>-214.75</v>
      </c>
    </row>
    <row r="884" spans="1:13">
      <c r="A884">
        <v>8</v>
      </c>
      <c r="B884" t="s">
        <v>247</v>
      </c>
      <c r="C884">
        <v>3</v>
      </c>
      <c r="D884">
        <v>0</v>
      </c>
      <c r="E884">
        <v>1</v>
      </c>
      <c r="F884">
        <v>2</v>
      </c>
      <c r="G884">
        <v>0.8</v>
      </c>
      <c r="H884">
        <v>0</v>
      </c>
      <c r="I884">
        <v>0</v>
      </c>
      <c r="J884">
        <v>0</v>
      </c>
      <c r="K884">
        <v>2264.56</v>
      </c>
      <c r="L884">
        <v>-4631.87</v>
      </c>
      <c r="M884">
        <v>-214.75</v>
      </c>
    </row>
    <row r="885" spans="1:13">
      <c r="A885">
        <v>8</v>
      </c>
      <c r="B885" t="s">
        <v>247</v>
      </c>
      <c r="C885">
        <v>3</v>
      </c>
      <c r="D885">
        <v>0</v>
      </c>
      <c r="E885">
        <v>1</v>
      </c>
      <c r="F885" t="s">
        <v>245</v>
      </c>
      <c r="G885">
        <v>1.5</v>
      </c>
      <c r="H885">
        <v>0</v>
      </c>
      <c r="I885">
        <v>0</v>
      </c>
      <c r="J885">
        <v>0</v>
      </c>
      <c r="K885">
        <v>-977.75</v>
      </c>
      <c r="L885">
        <v>-4631.87</v>
      </c>
      <c r="M885">
        <v>-214.75</v>
      </c>
    </row>
    <row r="886" spans="1:13">
      <c r="A886">
        <v>8</v>
      </c>
      <c r="B886" t="s">
        <v>247</v>
      </c>
      <c r="C886">
        <v>4</v>
      </c>
      <c r="D886">
        <v>0</v>
      </c>
      <c r="E886">
        <v>1</v>
      </c>
      <c r="F886" t="s">
        <v>244</v>
      </c>
      <c r="G886">
        <v>0</v>
      </c>
      <c r="H886">
        <v>0</v>
      </c>
      <c r="I886">
        <v>0</v>
      </c>
      <c r="J886">
        <v>0</v>
      </c>
      <c r="K886">
        <v>-973.42</v>
      </c>
      <c r="L886">
        <v>214.18</v>
      </c>
      <c r="M886">
        <v>-3880.07</v>
      </c>
    </row>
    <row r="887" spans="1:13">
      <c r="A887">
        <v>8</v>
      </c>
      <c r="B887" t="s">
        <v>247</v>
      </c>
      <c r="C887">
        <v>4</v>
      </c>
      <c r="D887">
        <v>0</v>
      </c>
      <c r="E887">
        <v>1</v>
      </c>
      <c r="F887" t="s">
        <v>245</v>
      </c>
      <c r="G887">
        <v>1</v>
      </c>
      <c r="H887">
        <v>0</v>
      </c>
      <c r="I887">
        <v>0</v>
      </c>
      <c r="J887">
        <v>0</v>
      </c>
      <c r="K887">
        <v>-759.24</v>
      </c>
      <c r="L887">
        <v>214.18</v>
      </c>
      <c r="M887">
        <v>-3880.07</v>
      </c>
    </row>
    <row r="888" spans="1:13">
      <c r="A888">
        <v>8</v>
      </c>
      <c r="B888" t="s">
        <v>247</v>
      </c>
      <c r="C888">
        <v>5</v>
      </c>
      <c r="D888">
        <v>0</v>
      </c>
      <c r="E888">
        <v>1</v>
      </c>
      <c r="F888" t="s">
        <v>244</v>
      </c>
      <c r="G888">
        <v>0</v>
      </c>
      <c r="H888">
        <v>0</v>
      </c>
      <c r="I888">
        <v>0</v>
      </c>
      <c r="J888">
        <v>0</v>
      </c>
      <c r="K888">
        <v>-759.24</v>
      </c>
      <c r="L888">
        <v>214.18</v>
      </c>
      <c r="M888">
        <v>-3880.07</v>
      </c>
    </row>
    <row r="889" spans="1:13">
      <c r="A889">
        <v>8</v>
      </c>
      <c r="B889" t="s">
        <v>247</v>
      </c>
      <c r="C889">
        <v>5</v>
      </c>
      <c r="D889">
        <v>0</v>
      </c>
      <c r="E889">
        <v>1</v>
      </c>
      <c r="F889" t="s">
        <v>245</v>
      </c>
      <c r="G889">
        <v>2.2400000000000002</v>
      </c>
      <c r="H889">
        <v>0</v>
      </c>
      <c r="I889">
        <v>0</v>
      </c>
      <c r="J889">
        <v>0</v>
      </c>
      <c r="K889">
        <v>-279.48</v>
      </c>
      <c r="L889">
        <v>214.18</v>
      </c>
      <c r="M889">
        <v>-3880.07</v>
      </c>
    </row>
    <row r="890" spans="1:13">
      <c r="A890">
        <v>8</v>
      </c>
      <c r="B890" t="s">
        <v>247</v>
      </c>
      <c r="C890">
        <v>6</v>
      </c>
      <c r="D890">
        <v>0</v>
      </c>
      <c r="E890">
        <v>1</v>
      </c>
      <c r="F890" t="s">
        <v>244</v>
      </c>
      <c r="G890">
        <v>0</v>
      </c>
      <c r="H890">
        <v>0</v>
      </c>
      <c r="I890">
        <v>0</v>
      </c>
      <c r="J890">
        <v>0</v>
      </c>
      <c r="K890">
        <v>-279.48</v>
      </c>
      <c r="L890">
        <v>214.18</v>
      </c>
      <c r="M890">
        <v>-3880.07</v>
      </c>
    </row>
    <row r="891" spans="1:13">
      <c r="A891">
        <v>8</v>
      </c>
      <c r="B891" t="s">
        <v>247</v>
      </c>
      <c r="C891">
        <v>6</v>
      </c>
      <c r="D891">
        <v>0</v>
      </c>
      <c r="E891">
        <v>1</v>
      </c>
      <c r="F891" t="s">
        <v>245</v>
      </c>
      <c r="G891">
        <v>3.6</v>
      </c>
      <c r="H891">
        <v>0</v>
      </c>
      <c r="I891">
        <v>0</v>
      </c>
      <c r="J891">
        <v>0</v>
      </c>
      <c r="K891">
        <v>166.39</v>
      </c>
      <c r="L891">
        <v>48.59</v>
      </c>
      <c r="M891">
        <v>-3497.48</v>
      </c>
    </row>
    <row r="892" spans="1:13">
      <c r="A892">
        <v>8</v>
      </c>
      <c r="B892" t="s">
        <v>247</v>
      </c>
      <c r="C892">
        <v>7</v>
      </c>
      <c r="D892">
        <v>0</v>
      </c>
      <c r="E892">
        <v>1</v>
      </c>
      <c r="F892" t="s">
        <v>244</v>
      </c>
      <c r="G892">
        <v>0</v>
      </c>
      <c r="H892">
        <v>0</v>
      </c>
      <c r="I892">
        <v>0</v>
      </c>
      <c r="J892">
        <v>0</v>
      </c>
      <c r="K892">
        <v>166.39</v>
      </c>
      <c r="L892">
        <v>48.59</v>
      </c>
      <c r="M892">
        <v>-3497.48</v>
      </c>
    </row>
    <row r="893" spans="1:13">
      <c r="A893">
        <v>8</v>
      </c>
      <c r="B893" t="s">
        <v>247</v>
      </c>
      <c r="C893">
        <v>7</v>
      </c>
      <c r="D893">
        <v>0</v>
      </c>
      <c r="E893">
        <v>1</v>
      </c>
      <c r="F893" t="s">
        <v>245</v>
      </c>
      <c r="G893">
        <v>2.7</v>
      </c>
      <c r="H893">
        <v>0</v>
      </c>
      <c r="I893">
        <v>0</v>
      </c>
      <c r="J893">
        <v>0</v>
      </c>
      <c r="K893">
        <v>270.44</v>
      </c>
      <c r="L893">
        <v>30.4</v>
      </c>
      <c r="M893">
        <v>-3424.97</v>
      </c>
    </row>
    <row r="894" spans="1:13">
      <c r="A894">
        <v>8</v>
      </c>
      <c r="B894" t="s">
        <v>247</v>
      </c>
      <c r="C894">
        <v>8</v>
      </c>
      <c r="D894">
        <v>0</v>
      </c>
      <c r="E894">
        <v>1</v>
      </c>
      <c r="F894" t="s">
        <v>244</v>
      </c>
      <c r="G894">
        <v>0</v>
      </c>
      <c r="H894">
        <v>0</v>
      </c>
      <c r="I894">
        <v>0</v>
      </c>
      <c r="J894">
        <v>0</v>
      </c>
      <c r="K894">
        <v>270.44</v>
      </c>
      <c r="L894">
        <v>30.4</v>
      </c>
      <c r="M894">
        <v>-3424.97</v>
      </c>
    </row>
    <row r="895" spans="1:13">
      <c r="A895">
        <v>8</v>
      </c>
      <c r="B895" t="s">
        <v>247</v>
      </c>
      <c r="C895">
        <v>8</v>
      </c>
      <c r="D895">
        <v>0</v>
      </c>
      <c r="E895">
        <v>1</v>
      </c>
      <c r="F895" t="s">
        <v>245</v>
      </c>
      <c r="G895">
        <v>2.8</v>
      </c>
      <c r="H895">
        <v>0</v>
      </c>
      <c r="I895">
        <v>0</v>
      </c>
      <c r="J895">
        <v>0</v>
      </c>
      <c r="K895">
        <v>268.27</v>
      </c>
      <c r="L895">
        <v>-23.08</v>
      </c>
      <c r="M895">
        <v>-2975.7</v>
      </c>
    </row>
    <row r="896" spans="1:13">
      <c r="A896">
        <v>8</v>
      </c>
      <c r="B896" t="s">
        <v>247</v>
      </c>
      <c r="C896">
        <v>9</v>
      </c>
      <c r="D896">
        <v>0</v>
      </c>
      <c r="E896">
        <v>1</v>
      </c>
      <c r="F896" t="s">
        <v>244</v>
      </c>
      <c r="G896">
        <v>0</v>
      </c>
      <c r="H896">
        <v>0</v>
      </c>
      <c r="I896">
        <v>0</v>
      </c>
      <c r="J896">
        <v>0</v>
      </c>
      <c r="K896">
        <v>268.27</v>
      </c>
      <c r="L896">
        <v>-23.08</v>
      </c>
      <c r="M896">
        <v>-2975.7</v>
      </c>
    </row>
    <row r="897" spans="1:13">
      <c r="A897">
        <v>8</v>
      </c>
      <c r="B897" t="s">
        <v>247</v>
      </c>
      <c r="C897">
        <v>9</v>
      </c>
      <c r="D897">
        <v>0</v>
      </c>
      <c r="E897">
        <v>1</v>
      </c>
      <c r="F897" t="s">
        <v>245</v>
      </c>
      <c r="G897">
        <v>8.16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-761.09</v>
      </c>
    </row>
    <row r="898" spans="1:13">
      <c r="A898">
        <v>8</v>
      </c>
      <c r="B898" t="s">
        <v>247</v>
      </c>
      <c r="C898">
        <v>10</v>
      </c>
      <c r="D898">
        <v>0</v>
      </c>
      <c r="E898">
        <v>1</v>
      </c>
      <c r="F898" t="s">
        <v>244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-761.09</v>
      </c>
    </row>
    <row r="899" spans="1:13">
      <c r="A899">
        <v>8</v>
      </c>
      <c r="B899" t="s">
        <v>247</v>
      </c>
      <c r="C899">
        <v>10</v>
      </c>
      <c r="D899">
        <v>0</v>
      </c>
      <c r="E899">
        <v>1</v>
      </c>
      <c r="F899" t="s">
        <v>245</v>
      </c>
      <c r="G899">
        <v>1.5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-368.53</v>
      </c>
    </row>
    <row r="900" spans="1:13">
      <c r="A900">
        <v>8</v>
      </c>
      <c r="B900" t="s">
        <v>247</v>
      </c>
      <c r="C900">
        <v>11</v>
      </c>
      <c r="D900">
        <v>0</v>
      </c>
      <c r="E900">
        <v>1</v>
      </c>
      <c r="F900" t="s">
        <v>244</v>
      </c>
      <c r="G900">
        <v>0</v>
      </c>
      <c r="H900">
        <v>0</v>
      </c>
      <c r="I900">
        <v>0</v>
      </c>
      <c r="J900">
        <v>0</v>
      </c>
      <c r="K900">
        <v>-977.75</v>
      </c>
      <c r="L900">
        <v>214.75</v>
      </c>
      <c r="M900">
        <v>-4631.87</v>
      </c>
    </row>
    <row r="901" spans="1:13">
      <c r="A901">
        <v>8</v>
      </c>
      <c r="B901" t="s">
        <v>247</v>
      </c>
      <c r="C901">
        <v>11</v>
      </c>
      <c r="D901">
        <v>0</v>
      </c>
      <c r="E901">
        <v>1</v>
      </c>
      <c r="F901" t="s">
        <v>245</v>
      </c>
      <c r="G901">
        <v>1</v>
      </c>
      <c r="H901">
        <v>0</v>
      </c>
      <c r="I901">
        <v>0</v>
      </c>
      <c r="J901">
        <v>0</v>
      </c>
      <c r="K901">
        <v>-763</v>
      </c>
      <c r="L901">
        <v>214.75</v>
      </c>
      <c r="M901">
        <v>-4631.87</v>
      </c>
    </row>
    <row r="902" spans="1:13">
      <c r="A902">
        <v>8</v>
      </c>
      <c r="B902" t="s">
        <v>247</v>
      </c>
      <c r="C902">
        <v>12</v>
      </c>
      <c r="D902">
        <v>0</v>
      </c>
      <c r="E902">
        <v>1</v>
      </c>
      <c r="F902" t="s">
        <v>244</v>
      </c>
      <c r="G902">
        <v>0</v>
      </c>
      <c r="H902">
        <v>0</v>
      </c>
      <c r="I902">
        <v>0</v>
      </c>
      <c r="J902">
        <v>0</v>
      </c>
      <c r="K902">
        <v>-763</v>
      </c>
      <c r="L902">
        <v>214.75</v>
      </c>
      <c r="M902">
        <v>-4631.87</v>
      </c>
    </row>
    <row r="903" spans="1:13">
      <c r="A903">
        <v>8</v>
      </c>
      <c r="B903" t="s">
        <v>247</v>
      </c>
      <c r="C903">
        <v>12</v>
      </c>
      <c r="D903">
        <v>0</v>
      </c>
      <c r="E903">
        <v>1</v>
      </c>
      <c r="F903" t="s">
        <v>245</v>
      </c>
      <c r="G903">
        <v>2.2400000000000002</v>
      </c>
      <c r="H903">
        <v>0</v>
      </c>
      <c r="I903">
        <v>0</v>
      </c>
      <c r="J903">
        <v>0</v>
      </c>
      <c r="K903">
        <v>-281.95999999999998</v>
      </c>
      <c r="L903">
        <v>214.75</v>
      </c>
      <c r="M903">
        <v>-4631.87</v>
      </c>
    </row>
    <row r="904" spans="1:13">
      <c r="A904">
        <v>8</v>
      </c>
      <c r="B904" t="s">
        <v>247</v>
      </c>
      <c r="C904">
        <v>13</v>
      </c>
      <c r="D904">
        <v>0</v>
      </c>
      <c r="E904">
        <v>1</v>
      </c>
      <c r="F904" t="s">
        <v>244</v>
      </c>
      <c r="G904">
        <v>0</v>
      </c>
      <c r="H904">
        <v>0</v>
      </c>
      <c r="I904">
        <v>0</v>
      </c>
      <c r="J904">
        <v>0</v>
      </c>
      <c r="K904">
        <v>-281.95999999999998</v>
      </c>
      <c r="L904">
        <v>214.75</v>
      </c>
      <c r="M904">
        <v>-4631.87</v>
      </c>
    </row>
    <row r="905" spans="1:13">
      <c r="A905">
        <v>8</v>
      </c>
      <c r="B905" t="s">
        <v>247</v>
      </c>
      <c r="C905">
        <v>13</v>
      </c>
      <c r="D905">
        <v>0</v>
      </c>
      <c r="E905">
        <v>1</v>
      </c>
      <c r="F905" t="s">
        <v>245</v>
      </c>
      <c r="G905">
        <v>3.6</v>
      </c>
      <c r="H905">
        <v>0</v>
      </c>
      <c r="I905">
        <v>0</v>
      </c>
      <c r="J905">
        <v>0</v>
      </c>
      <c r="K905">
        <v>165.48</v>
      </c>
      <c r="L905">
        <v>48.9</v>
      </c>
      <c r="M905">
        <v>-4175.16</v>
      </c>
    </row>
    <row r="906" spans="1:13">
      <c r="A906">
        <v>8</v>
      </c>
      <c r="B906" t="s">
        <v>247</v>
      </c>
      <c r="C906">
        <v>14</v>
      </c>
      <c r="D906">
        <v>0</v>
      </c>
      <c r="E906">
        <v>1</v>
      </c>
      <c r="F906" t="s">
        <v>244</v>
      </c>
      <c r="G906">
        <v>0</v>
      </c>
      <c r="H906">
        <v>0</v>
      </c>
      <c r="I906">
        <v>0</v>
      </c>
      <c r="J906">
        <v>0</v>
      </c>
      <c r="K906">
        <v>165.48</v>
      </c>
      <c r="L906">
        <v>48.9</v>
      </c>
      <c r="M906">
        <v>-4175.16</v>
      </c>
    </row>
    <row r="907" spans="1:13">
      <c r="A907">
        <v>8</v>
      </c>
      <c r="B907" t="s">
        <v>247</v>
      </c>
      <c r="C907">
        <v>14</v>
      </c>
      <c r="D907">
        <v>0</v>
      </c>
      <c r="E907">
        <v>1</v>
      </c>
      <c r="F907" t="s">
        <v>245</v>
      </c>
      <c r="G907">
        <v>2.7</v>
      </c>
      <c r="H907">
        <v>0</v>
      </c>
      <c r="I907">
        <v>0</v>
      </c>
      <c r="J907">
        <v>0</v>
      </c>
      <c r="K907">
        <v>270.3</v>
      </c>
      <c r="L907">
        <v>30.67</v>
      </c>
      <c r="M907">
        <v>-4088.59</v>
      </c>
    </row>
    <row r="908" spans="1:13">
      <c r="A908">
        <v>8</v>
      </c>
      <c r="B908" t="s">
        <v>247</v>
      </c>
      <c r="C908">
        <v>15</v>
      </c>
      <c r="D908">
        <v>0</v>
      </c>
      <c r="E908">
        <v>1</v>
      </c>
      <c r="F908" t="s">
        <v>244</v>
      </c>
      <c r="G908">
        <v>0</v>
      </c>
      <c r="H908">
        <v>0</v>
      </c>
      <c r="I908">
        <v>0</v>
      </c>
      <c r="J908">
        <v>0</v>
      </c>
      <c r="K908">
        <v>270.3</v>
      </c>
      <c r="L908">
        <v>30.67</v>
      </c>
      <c r="M908">
        <v>-4088.59</v>
      </c>
    </row>
    <row r="909" spans="1:13">
      <c r="A909">
        <v>8</v>
      </c>
      <c r="B909" t="s">
        <v>247</v>
      </c>
      <c r="C909">
        <v>15</v>
      </c>
      <c r="D909">
        <v>0</v>
      </c>
      <c r="E909">
        <v>1</v>
      </c>
      <c r="F909" t="s">
        <v>245</v>
      </c>
      <c r="G909">
        <v>2.8</v>
      </c>
      <c r="H909">
        <v>0</v>
      </c>
      <c r="I909">
        <v>0</v>
      </c>
      <c r="J909">
        <v>0</v>
      </c>
      <c r="K909">
        <v>268.58999999999997</v>
      </c>
      <c r="L909">
        <v>-23</v>
      </c>
      <c r="M909">
        <v>-3552.28</v>
      </c>
    </row>
    <row r="910" spans="1:13">
      <c r="A910">
        <v>8</v>
      </c>
      <c r="B910" t="s">
        <v>247</v>
      </c>
      <c r="C910">
        <v>16</v>
      </c>
      <c r="D910">
        <v>0</v>
      </c>
      <c r="E910">
        <v>1</v>
      </c>
      <c r="F910" t="s">
        <v>244</v>
      </c>
      <c r="G910">
        <v>0</v>
      </c>
      <c r="H910">
        <v>0</v>
      </c>
      <c r="I910">
        <v>0</v>
      </c>
      <c r="J910">
        <v>0</v>
      </c>
      <c r="K910">
        <v>268.58999999999997</v>
      </c>
      <c r="L910">
        <v>-23</v>
      </c>
      <c r="M910">
        <v>-3552.28</v>
      </c>
    </row>
    <row r="911" spans="1:13">
      <c r="A911">
        <v>8</v>
      </c>
      <c r="B911" t="s">
        <v>247</v>
      </c>
      <c r="C911">
        <v>16</v>
      </c>
      <c r="D911">
        <v>0</v>
      </c>
      <c r="E911">
        <v>1</v>
      </c>
      <c r="F911" t="s">
        <v>245</v>
      </c>
      <c r="G911">
        <v>8.16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-908.56</v>
      </c>
    </row>
    <row r="912" spans="1:13">
      <c r="A912">
        <v>8</v>
      </c>
      <c r="B912" t="s">
        <v>247</v>
      </c>
      <c r="C912">
        <v>17</v>
      </c>
      <c r="D912">
        <v>0</v>
      </c>
      <c r="E912">
        <v>1</v>
      </c>
      <c r="F912" t="s">
        <v>244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-908.56</v>
      </c>
    </row>
    <row r="913" spans="1:13">
      <c r="A913">
        <v>8</v>
      </c>
      <c r="B913" t="s">
        <v>247</v>
      </c>
      <c r="C913">
        <v>17</v>
      </c>
      <c r="D913">
        <v>0</v>
      </c>
      <c r="E913">
        <v>1</v>
      </c>
      <c r="F913" t="s">
        <v>245</v>
      </c>
      <c r="G913">
        <v>1.5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-439.93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15" sqref="N15"/>
    </sheetView>
  </sheetViews>
  <sheetFormatPr defaultColWidth="8.875" defaultRowHeight="16.5" customHeight="1"/>
  <cols>
    <col min="1" max="3" width="8.875" style="49"/>
    <col min="4" max="4" width="9.5" style="49" bestFit="1" customWidth="1"/>
    <col min="5" max="16384" width="8.875" style="49"/>
  </cols>
  <sheetData>
    <row r="2" spans="2:11" ht="16.5" customHeight="1">
      <c r="B2" s="78" t="s">
        <v>38</v>
      </c>
    </row>
    <row r="4" spans="2:11" ht="16.5" customHeight="1">
      <c r="B4" s="195" t="s">
        <v>39</v>
      </c>
      <c r="C4" s="196"/>
      <c r="D4" s="91" t="s">
        <v>75</v>
      </c>
      <c r="F4" s="200"/>
      <c r="G4" s="201"/>
      <c r="H4" s="201"/>
      <c r="I4" s="201"/>
      <c r="J4" s="201"/>
      <c r="K4" s="202"/>
    </row>
    <row r="5" spans="2:11" ht="16.5" customHeight="1">
      <c r="B5" s="79"/>
      <c r="C5" s="80" t="s">
        <v>40</v>
      </c>
      <c r="D5" s="91" t="s">
        <v>140</v>
      </c>
      <c r="F5" s="203"/>
      <c r="G5" s="197"/>
      <c r="H5" s="197"/>
      <c r="I5" s="197"/>
      <c r="J5" s="197"/>
      <c r="K5" s="204"/>
    </row>
    <row r="6" spans="2:11" ht="16.5" customHeight="1">
      <c r="B6" s="81"/>
      <c r="C6" s="82" t="s">
        <v>41</v>
      </c>
      <c r="D6" s="92">
        <v>1</v>
      </c>
      <c r="F6" s="203"/>
      <c r="G6" s="197"/>
      <c r="H6" s="197"/>
      <c r="I6" s="197"/>
      <c r="J6" s="197"/>
      <c r="K6" s="204"/>
    </row>
    <row r="7" spans="2:11" ht="16.5" customHeight="1">
      <c r="B7" s="195" t="s">
        <v>42</v>
      </c>
      <c r="C7" s="196"/>
      <c r="D7" s="91" t="s">
        <v>75</v>
      </c>
      <c r="F7" s="203"/>
      <c r="G7" s="197"/>
      <c r="H7" s="197"/>
      <c r="I7" s="197"/>
      <c r="J7" s="197"/>
      <c r="K7" s="204"/>
    </row>
    <row r="8" spans="2:11" ht="16.5" customHeight="1">
      <c r="B8" s="79"/>
      <c r="C8" s="80" t="s">
        <v>40</v>
      </c>
      <c r="D8" s="91" t="s">
        <v>76</v>
      </c>
      <c r="F8" s="203"/>
      <c r="G8" s="197"/>
      <c r="H8" s="197"/>
      <c r="I8" s="197"/>
      <c r="J8" s="197"/>
      <c r="K8" s="204"/>
    </row>
    <row r="9" spans="2:11" ht="16.5" customHeight="1">
      <c r="B9" s="81"/>
      <c r="C9" s="82" t="s">
        <v>41</v>
      </c>
      <c r="D9" s="93">
        <v>1</v>
      </c>
      <c r="F9" s="203"/>
      <c r="G9" s="197"/>
      <c r="H9" s="197"/>
      <c r="I9" s="197"/>
      <c r="J9" s="197"/>
      <c r="K9" s="204"/>
    </row>
    <row r="10" spans="2:11" ht="16.5" customHeight="1">
      <c r="B10" s="195" t="s">
        <v>82</v>
      </c>
      <c r="C10" s="196"/>
      <c r="D10" s="91" t="s">
        <v>83</v>
      </c>
      <c r="F10" s="203"/>
      <c r="G10" s="197"/>
      <c r="H10" s="197"/>
      <c r="I10" s="197"/>
      <c r="J10" s="197"/>
      <c r="K10" s="204"/>
    </row>
    <row r="11" spans="2:11" ht="16.5" customHeight="1">
      <c r="B11" s="81"/>
      <c r="C11" s="83" t="s">
        <v>43</v>
      </c>
      <c r="D11" s="94">
        <v>20</v>
      </c>
      <c r="F11" s="203"/>
      <c r="G11" s="197"/>
      <c r="H11" s="197"/>
      <c r="I11" s="197"/>
      <c r="J11" s="197"/>
      <c r="K11" s="204"/>
    </row>
    <row r="12" spans="2:11" ht="16.5" customHeight="1">
      <c r="D12" s="84"/>
      <c r="F12" s="203"/>
      <c r="G12" s="197"/>
      <c r="H12" s="197"/>
      <c r="I12" s="197"/>
      <c r="J12" s="197"/>
      <c r="K12" s="204"/>
    </row>
    <row r="13" spans="2:11" ht="16.5" customHeight="1">
      <c r="B13" s="85" t="s">
        <v>44</v>
      </c>
      <c r="C13" s="86"/>
      <c r="D13" s="87"/>
      <c r="F13" s="203"/>
      <c r="G13" s="197"/>
      <c r="H13" s="197"/>
      <c r="I13" s="197"/>
      <c r="J13" s="197"/>
      <c r="K13" s="204"/>
    </row>
    <row r="14" spans="2:11" ht="16.5" customHeight="1">
      <c r="B14" s="88"/>
      <c r="C14" s="89" t="s">
        <v>45</v>
      </c>
      <c r="D14" s="91">
        <v>180</v>
      </c>
      <c r="F14" s="203"/>
      <c r="G14" s="197"/>
      <c r="H14" s="197"/>
      <c r="I14" s="197"/>
      <c r="J14" s="197"/>
      <c r="K14" s="204"/>
    </row>
    <row r="15" spans="2:11" ht="16.5" customHeight="1">
      <c r="B15" s="88"/>
      <c r="C15" s="89" t="s">
        <v>46</v>
      </c>
      <c r="D15" s="91">
        <v>0</v>
      </c>
      <c r="F15" s="203"/>
      <c r="G15" s="197"/>
      <c r="H15" s="197"/>
      <c r="I15" s="197"/>
      <c r="J15" s="197"/>
      <c r="K15" s="204"/>
    </row>
    <row r="16" spans="2:11" ht="16.5" customHeight="1">
      <c r="B16" s="90"/>
      <c r="C16" s="89" t="s">
        <v>47</v>
      </c>
      <c r="D16" s="91">
        <v>0</v>
      </c>
      <c r="F16" s="203"/>
      <c r="G16" s="197"/>
      <c r="H16" s="197"/>
      <c r="I16" s="197"/>
      <c r="J16" s="197"/>
      <c r="K16" s="204"/>
    </row>
    <row r="17" spans="3:11" ht="16.5" customHeight="1">
      <c r="F17" s="203"/>
      <c r="G17" s="197"/>
      <c r="H17" s="197"/>
      <c r="I17" s="197"/>
      <c r="J17" s="197"/>
      <c r="K17" s="204"/>
    </row>
    <row r="18" spans="3:11" ht="16.5" customHeight="1">
      <c r="F18" s="203"/>
      <c r="G18" s="197"/>
      <c r="H18" s="197"/>
      <c r="I18" s="197"/>
      <c r="J18" s="197"/>
      <c r="K18" s="204"/>
    </row>
    <row r="19" spans="3:11" ht="16.5" customHeight="1">
      <c r="F19" s="203"/>
      <c r="G19" s="197"/>
      <c r="H19" s="197"/>
      <c r="I19" s="197"/>
      <c r="J19" s="197"/>
      <c r="K19" s="204"/>
    </row>
    <row r="20" spans="3:11" ht="16.5" customHeight="1">
      <c r="F20" s="203"/>
      <c r="G20" s="197"/>
      <c r="H20" s="197"/>
      <c r="I20" s="197"/>
      <c r="J20" s="197"/>
      <c r="K20" s="204"/>
    </row>
    <row r="21" spans="3:11" ht="16.5" customHeight="1">
      <c r="F21" s="203"/>
      <c r="G21" s="197"/>
      <c r="H21" s="197"/>
      <c r="I21" s="197"/>
      <c r="J21" s="197"/>
      <c r="K21" s="204"/>
    </row>
    <row r="22" spans="3:11" ht="16.5" customHeight="1">
      <c r="F22" s="203"/>
      <c r="G22" s="197"/>
      <c r="H22" s="197"/>
      <c r="I22" s="197"/>
      <c r="J22" s="197"/>
      <c r="K22" s="204"/>
    </row>
    <row r="23" spans="3:11" ht="16.5" customHeight="1">
      <c r="F23" s="203"/>
      <c r="G23" s="197"/>
      <c r="H23" s="197"/>
      <c r="I23" s="197"/>
      <c r="J23" s="197"/>
      <c r="K23" s="204"/>
    </row>
    <row r="24" spans="3:11" ht="16.5" customHeight="1">
      <c r="F24" s="203"/>
      <c r="G24" s="197"/>
      <c r="H24" s="197"/>
      <c r="I24" s="197"/>
      <c r="J24" s="197"/>
      <c r="K24" s="204"/>
    </row>
    <row r="25" spans="3:11" ht="16.5" customHeight="1">
      <c r="C25" s="89" t="s">
        <v>59</v>
      </c>
      <c r="D25" s="91">
        <v>1</v>
      </c>
      <c r="F25" s="203"/>
      <c r="G25" s="197"/>
      <c r="H25" s="197"/>
      <c r="I25" s="197"/>
      <c r="J25" s="197"/>
      <c r="K25" s="204"/>
    </row>
    <row r="26" spans="3:11" ht="16.5" customHeight="1">
      <c r="F26" s="203"/>
      <c r="G26" s="197"/>
      <c r="H26" s="197"/>
      <c r="I26" s="197"/>
      <c r="J26" s="197"/>
      <c r="K26" s="204"/>
    </row>
    <row r="27" spans="3:11" ht="16.5" customHeight="1">
      <c r="F27" s="205"/>
      <c r="G27" s="206"/>
      <c r="H27" s="206"/>
      <c r="I27" s="206"/>
      <c r="J27" s="206"/>
      <c r="K27" s="207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758</vt:i4>
      </vt:variant>
    </vt:vector>
  </HeadingPairs>
  <TitlesOfParts>
    <vt:vector size="775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計算・出力!header_回転X10</vt:lpstr>
      <vt:lpstr>計算・出力!header_回転X11</vt:lpstr>
      <vt:lpstr>計算・出力!header_回転X12</vt:lpstr>
      <vt:lpstr>計算・出力!header_回転X13</vt:lpstr>
      <vt:lpstr>計算・出力!header_回転X14</vt:lpstr>
      <vt:lpstr>計算・出力!header_回転X15</vt:lpstr>
      <vt:lpstr>計算・出力!header_回転X16</vt:lpstr>
      <vt:lpstr>計算・出力!header_回転X17</vt:lpstr>
      <vt:lpstr>計算・出力!header_回転X18</vt:lpstr>
      <vt:lpstr>計算・出力!header_回転X19</vt:lpstr>
      <vt:lpstr>計算・出力!header_回転X2</vt:lpstr>
      <vt:lpstr>計算・出力!header_回転X20</vt:lpstr>
      <vt:lpstr>計算・出力!header_回転X21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計算・出力!header_回転X8</vt:lpstr>
      <vt:lpstr>計算・出力!header_回転X9</vt:lpstr>
      <vt:lpstr>計算・出力!header_回転Y1</vt:lpstr>
      <vt:lpstr>計算・出力!header_回転Y10</vt:lpstr>
      <vt:lpstr>計算・出力!header_回転Y11</vt:lpstr>
      <vt:lpstr>計算・出力!header_回転Y12</vt:lpstr>
      <vt:lpstr>計算・出力!header_回転Y13</vt:lpstr>
      <vt:lpstr>計算・出力!header_回転Y14</vt:lpstr>
      <vt:lpstr>計算・出力!header_回転Y15</vt:lpstr>
      <vt:lpstr>計算・出力!header_回転Y16</vt:lpstr>
      <vt:lpstr>計算・出力!header_回転Y17</vt:lpstr>
      <vt:lpstr>計算・出力!header_回転Y18</vt:lpstr>
      <vt:lpstr>計算・出力!header_回転Y19</vt:lpstr>
      <vt:lpstr>計算・出力!header_回転Y2</vt:lpstr>
      <vt:lpstr>計算・出力!header_回転Y20</vt:lpstr>
      <vt:lpstr>計算・出力!header_回転Y21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計算・出力!header_回転Y8</vt:lpstr>
      <vt:lpstr>計算・出力!header_回転Y9</vt:lpstr>
      <vt:lpstr>計算・出力!header_回転Z1</vt:lpstr>
      <vt:lpstr>計算・出力!header_回転Z10</vt:lpstr>
      <vt:lpstr>計算・出力!header_回転Z11</vt:lpstr>
      <vt:lpstr>計算・出力!header_回転Z12</vt:lpstr>
      <vt:lpstr>計算・出力!header_回転Z13</vt:lpstr>
      <vt:lpstr>計算・出力!header_回転Z14</vt:lpstr>
      <vt:lpstr>計算・出力!header_回転Z15</vt:lpstr>
      <vt:lpstr>計算・出力!header_回転Z16</vt:lpstr>
      <vt:lpstr>計算・出力!header_回転Z17</vt:lpstr>
      <vt:lpstr>計算・出力!header_回転Z18</vt:lpstr>
      <vt:lpstr>計算・出力!header_回転Z19</vt:lpstr>
      <vt:lpstr>計算・出力!header_回転Z2</vt:lpstr>
      <vt:lpstr>計算・出力!header_回転Z20</vt:lpstr>
      <vt:lpstr>計算・出力!header_回転Z21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計算・出力!header_回転Z8</vt:lpstr>
      <vt:lpstr>計算・出力!header_回転Z9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計算・出力!header_節点X10</vt:lpstr>
      <vt:lpstr>計算・出力!header_節点X11</vt:lpstr>
      <vt:lpstr>計算・出力!header_節点X12</vt:lpstr>
      <vt:lpstr>計算・出力!header_節点X13</vt:lpstr>
      <vt:lpstr>計算・出力!header_節点X14</vt:lpstr>
      <vt:lpstr>計算・出力!header_節点X15</vt:lpstr>
      <vt:lpstr>計算・出力!header_節点X16</vt:lpstr>
      <vt:lpstr>計算・出力!header_節点X17</vt:lpstr>
      <vt:lpstr>計算・出力!header_節点X18</vt:lpstr>
      <vt:lpstr>計算・出力!header_節点X19</vt:lpstr>
      <vt:lpstr>計算・出力!header_節点X2</vt:lpstr>
      <vt:lpstr>計算・出力!header_節点X20</vt:lpstr>
      <vt:lpstr>計算・出力!header_節点X21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計算・出力!header_節点X8</vt:lpstr>
      <vt:lpstr>計算・出力!header_節点X9</vt:lpstr>
      <vt:lpstr>計算・出力!header_節点Y1</vt:lpstr>
      <vt:lpstr>計算・出力!header_節点Y10</vt:lpstr>
      <vt:lpstr>計算・出力!header_節点Y11</vt:lpstr>
      <vt:lpstr>計算・出力!header_節点Y12</vt:lpstr>
      <vt:lpstr>計算・出力!header_節点Y13</vt:lpstr>
      <vt:lpstr>計算・出力!header_節点Y14</vt:lpstr>
      <vt:lpstr>計算・出力!header_節点Y15</vt:lpstr>
      <vt:lpstr>計算・出力!header_節点Y16</vt:lpstr>
      <vt:lpstr>計算・出力!header_節点Y17</vt:lpstr>
      <vt:lpstr>計算・出力!header_節点Y18</vt:lpstr>
      <vt:lpstr>計算・出力!header_節点Y19</vt:lpstr>
      <vt:lpstr>計算・出力!header_節点Y2</vt:lpstr>
      <vt:lpstr>計算・出力!header_節点Y20</vt:lpstr>
      <vt:lpstr>計算・出力!header_節点Y21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計算・出力!header_節点Y8</vt:lpstr>
      <vt:lpstr>計算・出力!header_節点Y9</vt:lpstr>
      <vt:lpstr>計算・出力!header_節点Z1</vt:lpstr>
      <vt:lpstr>計算・出力!header_節点Z10</vt:lpstr>
      <vt:lpstr>計算・出力!header_節点Z11</vt:lpstr>
      <vt:lpstr>計算・出力!header_節点Z12</vt:lpstr>
      <vt:lpstr>計算・出力!header_節点Z13</vt:lpstr>
      <vt:lpstr>計算・出力!header_節点Z14</vt:lpstr>
      <vt:lpstr>計算・出力!header_節点Z15</vt:lpstr>
      <vt:lpstr>計算・出力!header_節点Z16</vt:lpstr>
      <vt:lpstr>計算・出力!header_節点Z17</vt:lpstr>
      <vt:lpstr>計算・出力!header_節点Z18</vt:lpstr>
      <vt:lpstr>計算・出力!header_節点Z19</vt:lpstr>
      <vt:lpstr>計算・出力!header_節点Z2</vt:lpstr>
      <vt:lpstr>計算・出力!header_節点Z20</vt:lpstr>
      <vt:lpstr>計算・出力!header_節点Z21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計算・出力!header_節点Z8</vt:lpstr>
      <vt:lpstr>計算・出力!header_節点Z9</vt:lpstr>
      <vt:lpstr>計算・出力!header_断面力FX1</vt:lpstr>
      <vt:lpstr>計算・出力!header_断面力FX10</vt:lpstr>
      <vt:lpstr>計算・出力!header_断面力FX11</vt:lpstr>
      <vt:lpstr>計算・出力!header_断面力FX12</vt:lpstr>
      <vt:lpstr>計算・出力!header_断面力FX13</vt:lpstr>
      <vt:lpstr>計算・出力!header_断面力FX14</vt:lpstr>
      <vt:lpstr>計算・出力!header_断面力FX15</vt:lpstr>
      <vt:lpstr>計算・出力!header_断面力FX16</vt:lpstr>
      <vt:lpstr>計算・出力!header_断面力FX17</vt:lpstr>
      <vt:lpstr>計算・出力!header_断面力FX18</vt:lpstr>
      <vt:lpstr>計算・出力!header_断面力FX19</vt:lpstr>
      <vt:lpstr>計算・出力!header_断面力FX2</vt:lpstr>
      <vt:lpstr>計算・出力!header_断面力FX20</vt:lpstr>
      <vt:lpstr>計算・出力!header_断面力FX21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計算・出力!header_断面力FX8</vt:lpstr>
      <vt:lpstr>計算・出力!header_断面力FX9</vt:lpstr>
      <vt:lpstr>計算・出力!header_断面力FY1</vt:lpstr>
      <vt:lpstr>計算・出力!header_断面力FY10</vt:lpstr>
      <vt:lpstr>計算・出力!header_断面力FY11</vt:lpstr>
      <vt:lpstr>計算・出力!header_断面力FY12</vt:lpstr>
      <vt:lpstr>計算・出力!header_断面力FY13</vt:lpstr>
      <vt:lpstr>計算・出力!header_断面力FY14</vt:lpstr>
      <vt:lpstr>計算・出力!header_断面力FY15</vt:lpstr>
      <vt:lpstr>計算・出力!header_断面力FY16</vt:lpstr>
      <vt:lpstr>計算・出力!header_断面力FY17</vt:lpstr>
      <vt:lpstr>計算・出力!header_断面力FY18</vt:lpstr>
      <vt:lpstr>計算・出力!header_断面力FY19</vt:lpstr>
      <vt:lpstr>計算・出力!header_断面力FY2</vt:lpstr>
      <vt:lpstr>計算・出力!header_断面力FY20</vt:lpstr>
      <vt:lpstr>計算・出力!header_断面力FY21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計算・出力!header_断面力FY8</vt:lpstr>
      <vt:lpstr>計算・出力!header_断面力FY9</vt:lpstr>
      <vt:lpstr>計算・出力!header_断面力FZ1</vt:lpstr>
      <vt:lpstr>計算・出力!header_断面力FZ10</vt:lpstr>
      <vt:lpstr>計算・出力!header_断面力FZ11</vt:lpstr>
      <vt:lpstr>計算・出力!header_断面力FZ12</vt:lpstr>
      <vt:lpstr>計算・出力!header_断面力FZ13</vt:lpstr>
      <vt:lpstr>計算・出力!header_断面力FZ14</vt:lpstr>
      <vt:lpstr>計算・出力!header_断面力FZ15</vt:lpstr>
      <vt:lpstr>計算・出力!header_断面力FZ16</vt:lpstr>
      <vt:lpstr>計算・出力!header_断面力FZ17</vt:lpstr>
      <vt:lpstr>計算・出力!header_断面力FZ18</vt:lpstr>
      <vt:lpstr>計算・出力!header_断面力FZ19</vt:lpstr>
      <vt:lpstr>計算・出力!header_断面力FZ2</vt:lpstr>
      <vt:lpstr>計算・出力!header_断面力FZ20</vt:lpstr>
      <vt:lpstr>計算・出力!header_断面力FZ21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計算・出力!header_断面力FZ8</vt:lpstr>
      <vt:lpstr>計算・出力!header_断面力FZ9</vt:lpstr>
      <vt:lpstr>計算・出力!header_断面力MX1</vt:lpstr>
      <vt:lpstr>計算・出力!header_断面力MX10</vt:lpstr>
      <vt:lpstr>計算・出力!header_断面力MX11</vt:lpstr>
      <vt:lpstr>計算・出力!header_断面力MX12</vt:lpstr>
      <vt:lpstr>計算・出力!header_断面力MX13</vt:lpstr>
      <vt:lpstr>計算・出力!header_断面力MX14</vt:lpstr>
      <vt:lpstr>計算・出力!header_断面力MX15</vt:lpstr>
      <vt:lpstr>計算・出力!header_断面力MX16</vt:lpstr>
      <vt:lpstr>計算・出力!header_断面力MX17</vt:lpstr>
      <vt:lpstr>計算・出力!header_断面力MX18</vt:lpstr>
      <vt:lpstr>計算・出力!header_断面力MX19</vt:lpstr>
      <vt:lpstr>計算・出力!header_断面力MX2</vt:lpstr>
      <vt:lpstr>計算・出力!header_断面力MX20</vt:lpstr>
      <vt:lpstr>計算・出力!header_断面力MX21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計算・出力!header_断面力MX8</vt:lpstr>
      <vt:lpstr>計算・出力!header_断面力MX9</vt:lpstr>
      <vt:lpstr>計算・出力!header_断面力MY1</vt:lpstr>
      <vt:lpstr>計算・出力!header_断面力MY10</vt:lpstr>
      <vt:lpstr>計算・出力!header_断面力MY11</vt:lpstr>
      <vt:lpstr>計算・出力!header_断面力MY12</vt:lpstr>
      <vt:lpstr>計算・出力!header_断面力MY13</vt:lpstr>
      <vt:lpstr>計算・出力!header_断面力MY14</vt:lpstr>
      <vt:lpstr>計算・出力!header_断面力MY15</vt:lpstr>
      <vt:lpstr>計算・出力!header_断面力MY16</vt:lpstr>
      <vt:lpstr>計算・出力!header_断面力MY17</vt:lpstr>
      <vt:lpstr>計算・出力!header_断面力MY18</vt:lpstr>
      <vt:lpstr>計算・出力!header_断面力MY19</vt:lpstr>
      <vt:lpstr>計算・出力!header_断面力MY2</vt:lpstr>
      <vt:lpstr>計算・出力!header_断面力MY20</vt:lpstr>
      <vt:lpstr>計算・出力!header_断面力MY21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計算・出力!header_断面力MY8</vt:lpstr>
      <vt:lpstr>計算・出力!header_断面力MY9</vt:lpstr>
      <vt:lpstr>計算・出力!header_断面力MZ1</vt:lpstr>
      <vt:lpstr>計算・出力!header_断面力MZ10</vt:lpstr>
      <vt:lpstr>計算・出力!header_断面力MZ11</vt:lpstr>
      <vt:lpstr>計算・出力!header_断面力MZ12</vt:lpstr>
      <vt:lpstr>計算・出力!header_断面力MZ13</vt:lpstr>
      <vt:lpstr>計算・出力!header_断面力MZ14</vt:lpstr>
      <vt:lpstr>計算・出力!header_断面力MZ15</vt:lpstr>
      <vt:lpstr>計算・出力!header_断面力MZ16</vt:lpstr>
      <vt:lpstr>計算・出力!header_断面力MZ17</vt:lpstr>
      <vt:lpstr>計算・出力!header_断面力MZ18</vt:lpstr>
      <vt:lpstr>計算・出力!header_断面力MZ19</vt:lpstr>
      <vt:lpstr>計算・出力!header_断面力MZ2</vt:lpstr>
      <vt:lpstr>計算・出力!header_断面力MZ20</vt:lpstr>
      <vt:lpstr>計算・出力!header_断面力MZ21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計算・出力!header_断面力MZ8</vt:lpstr>
      <vt:lpstr>計算・出力!header_断面力MZ9</vt:lpstr>
      <vt:lpstr>計算・出力!header_断面力節点1</vt:lpstr>
      <vt:lpstr>計算・出力!header_断面力節点10</vt:lpstr>
      <vt:lpstr>計算・出力!header_断面力節点11</vt:lpstr>
      <vt:lpstr>計算・出力!header_断面力節点12</vt:lpstr>
      <vt:lpstr>計算・出力!header_断面力節点13</vt:lpstr>
      <vt:lpstr>計算・出力!header_断面力節点14</vt:lpstr>
      <vt:lpstr>計算・出力!header_断面力節点15</vt:lpstr>
      <vt:lpstr>計算・出力!header_断面力節点16</vt:lpstr>
      <vt:lpstr>計算・出力!header_断面力節点17</vt:lpstr>
      <vt:lpstr>計算・出力!header_断面力節点18</vt:lpstr>
      <vt:lpstr>計算・出力!header_断面力節点19</vt:lpstr>
      <vt:lpstr>計算・出力!header_断面力節点2</vt:lpstr>
      <vt:lpstr>計算・出力!header_断面力節点20</vt:lpstr>
      <vt:lpstr>計算・出力!header_断面力節点21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計算・出力!header_断面力節点8</vt:lpstr>
      <vt:lpstr>計算・出力!header_断面力節点9</vt:lpstr>
      <vt:lpstr>計算・出力!header_着目点1</vt:lpstr>
      <vt:lpstr>計算・出力!header_着目点10</vt:lpstr>
      <vt:lpstr>計算・出力!header_着目点11</vt:lpstr>
      <vt:lpstr>計算・出力!header_着目点12</vt:lpstr>
      <vt:lpstr>計算・出力!header_着目点13</vt:lpstr>
      <vt:lpstr>計算・出力!header_着目点14</vt:lpstr>
      <vt:lpstr>計算・出力!header_着目点15</vt:lpstr>
      <vt:lpstr>計算・出力!header_着目点16</vt:lpstr>
      <vt:lpstr>計算・出力!header_着目点17</vt:lpstr>
      <vt:lpstr>計算・出力!header_着目点18</vt:lpstr>
      <vt:lpstr>計算・出力!header_着目点19</vt:lpstr>
      <vt:lpstr>計算・出力!header_着目点2</vt:lpstr>
      <vt:lpstr>計算・出力!header_着目点20</vt:lpstr>
      <vt:lpstr>計算・出力!header_着目点21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計算・出力!header_着目点8</vt:lpstr>
      <vt:lpstr>計算・出力!header_着目点9</vt:lpstr>
      <vt:lpstr>計算・出力!header_反力MX1</vt:lpstr>
      <vt:lpstr>計算・出力!header_反力MX10</vt:lpstr>
      <vt:lpstr>計算・出力!header_反力MX11</vt:lpstr>
      <vt:lpstr>計算・出力!header_反力MX12</vt:lpstr>
      <vt:lpstr>計算・出力!header_反力MX13</vt:lpstr>
      <vt:lpstr>計算・出力!header_反力MX14</vt:lpstr>
      <vt:lpstr>計算・出力!header_反力MX15</vt:lpstr>
      <vt:lpstr>計算・出力!header_反力MX16</vt:lpstr>
      <vt:lpstr>計算・出力!header_反力MX17</vt:lpstr>
      <vt:lpstr>計算・出力!header_反力MX18</vt:lpstr>
      <vt:lpstr>計算・出力!header_反力MX19</vt:lpstr>
      <vt:lpstr>計算・出力!header_反力MX2</vt:lpstr>
      <vt:lpstr>計算・出力!header_反力MX20</vt:lpstr>
      <vt:lpstr>計算・出力!header_反力MX21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計算・出力!header_反力MX8</vt:lpstr>
      <vt:lpstr>計算・出力!header_反力MX9</vt:lpstr>
      <vt:lpstr>計算・出力!header_反力MY1</vt:lpstr>
      <vt:lpstr>計算・出力!header_反力MY10</vt:lpstr>
      <vt:lpstr>計算・出力!header_反力MY11</vt:lpstr>
      <vt:lpstr>計算・出力!header_反力MY12</vt:lpstr>
      <vt:lpstr>計算・出力!header_反力MY13</vt:lpstr>
      <vt:lpstr>計算・出力!header_反力MY14</vt:lpstr>
      <vt:lpstr>計算・出力!header_反力MY15</vt:lpstr>
      <vt:lpstr>計算・出力!header_反力MY16</vt:lpstr>
      <vt:lpstr>計算・出力!header_反力MY17</vt:lpstr>
      <vt:lpstr>計算・出力!header_反力MY18</vt:lpstr>
      <vt:lpstr>計算・出力!header_反力MY19</vt:lpstr>
      <vt:lpstr>計算・出力!header_反力MY2</vt:lpstr>
      <vt:lpstr>計算・出力!header_反力MY20</vt:lpstr>
      <vt:lpstr>計算・出力!header_反力MY21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計算・出力!header_反力MY8</vt:lpstr>
      <vt:lpstr>計算・出力!header_反力MY9</vt:lpstr>
      <vt:lpstr>計算・出力!header_反力MZ1</vt:lpstr>
      <vt:lpstr>計算・出力!header_反力MZ10</vt:lpstr>
      <vt:lpstr>計算・出力!header_反力MZ11</vt:lpstr>
      <vt:lpstr>計算・出力!header_反力MZ12</vt:lpstr>
      <vt:lpstr>計算・出力!header_反力MZ13</vt:lpstr>
      <vt:lpstr>計算・出力!header_反力MZ14</vt:lpstr>
      <vt:lpstr>計算・出力!header_反力MZ15</vt:lpstr>
      <vt:lpstr>計算・出力!header_反力MZ16</vt:lpstr>
      <vt:lpstr>計算・出力!header_反力MZ17</vt:lpstr>
      <vt:lpstr>計算・出力!header_反力MZ18</vt:lpstr>
      <vt:lpstr>計算・出力!header_反力MZ19</vt:lpstr>
      <vt:lpstr>計算・出力!header_反力MZ2</vt:lpstr>
      <vt:lpstr>計算・出力!header_反力MZ20</vt:lpstr>
      <vt:lpstr>計算・出力!header_反力MZ21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計算・出力!header_反力MZ8</vt:lpstr>
      <vt:lpstr>計算・出力!header_反力MZ9</vt:lpstr>
      <vt:lpstr>計算・出力!header_反力RX1</vt:lpstr>
      <vt:lpstr>計算・出力!header_反力RX10</vt:lpstr>
      <vt:lpstr>計算・出力!header_反力RX11</vt:lpstr>
      <vt:lpstr>計算・出力!header_反力RX12</vt:lpstr>
      <vt:lpstr>計算・出力!header_反力RX13</vt:lpstr>
      <vt:lpstr>計算・出力!header_反力RX14</vt:lpstr>
      <vt:lpstr>計算・出力!header_反力RX15</vt:lpstr>
      <vt:lpstr>計算・出力!header_反力RX16</vt:lpstr>
      <vt:lpstr>計算・出力!header_反力RX17</vt:lpstr>
      <vt:lpstr>計算・出力!header_反力RX18</vt:lpstr>
      <vt:lpstr>計算・出力!header_反力RX19</vt:lpstr>
      <vt:lpstr>計算・出力!header_反力RX2</vt:lpstr>
      <vt:lpstr>計算・出力!header_反力RX20</vt:lpstr>
      <vt:lpstr>計算・出力!header_反力RX21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計算・出力!header_反力RX8</vt:lpstr>
      <vt:lpstr>計算・出力!header_反力RX9</vt:lpstr>
      <vt:lpstr>計算・出力!header_反力RY1</vt:lpstr>
      <vt:lpstr>計算・出力!header_反力RY10</vt:lpstr>
      <vt:lpstr>計算・出力!header_反力RY11</vt:lpstr>
      <vt:lpstr>計算・出力!header_反力RY12</vt:lpstr>
      <vt:lpstr>計算・出力!header_反力RY13</vt:lpstr>
      <vt:lpstr>計算・出力!header_反力RY14</vt:lpstr>
      <vt:lpstr>計算・出力!header_反力RY15</vt:lpstr>
      <vt:lpstr>計算・出力!header_反力RY16</vt:lpstr>
      <vt:lpstr>計算・出力!header_反力RY17</vt:lpstr>
      <vt:lpstr>計算・出力!header_反力RY18</vt:lpstr>
      <vt:lpstr>計算・出力!header_反力RY19</vt:lpstr>
      <vt:lpstr>計算・出力!header_反力RY2</vt:lpstr>
      <vt:lpstr>計算・出力!header_反力RY20</vt:lpstr>
      <vt:lpstr>計算・出力!header_反力RY21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計算・出力!header_反力RY8</vt:lpstr>
      <vt:lpstr>計算・出力!header_反力RY9</vt:lpstr>
      <vt:lpstr>計算・出力!header_反力RZ1</vt:lpstr>
      <vt:lpstr>計算・出力!header_反力RZ10</vt:lpstr>
      <vt:lpstr>計算・出力!header_反力RZ11</vt:lpstr>
      <vt:lpstr>計算・出力!header_反力RZ12</vt:lpstr>
      <vt:lpstr>計算・出力!header_反力RZ13</vt:lpstr>
      <vt:lpstr>計算・出力!header_反力RZ14</vt:lpstr>
      <vt:lpstr>計算・出力!header_反力RZ15</vt:lpstr>
      <vt:lpstr>計算・出力!header_反力RZ16</vt:lpstr>
      <vt:lpstr>計算・出力!header_反力RZ17</vt:lpstr>
      <vt:lpstr>計算・出力!header_反力RZ18</vt:lpstr>
      <vt:lpstr>計算・出力!header_反力RZ19</vt:lpstr>
      <vt:lpstr>計算・出力!header_反力RZ2</vt:lpstr>
      <vt:lpstr>計算・出力!header_反力RZ20</vt:lpstr>
      <vt:lpstr>計算・出力!header_反力RZ21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計算・出力!header_反力RZ8</vt:lpstr>
      <vt:lpstr>計算・出力!header_反力RZ9</vt:lpstr>
      <vt:lpstr>荷重強度!header_部材1</vt:lpstr>
      <vt:lpstr>荷重強度!header_部材2</vt:lpstr>
      <vt:lpstr>計算・出力!header_変位X1</vt:lpstr>
      <vt:lpstr>計算・出力!header_変位X10</vt:lpstr>
      <vt:lpstr>計算・出力!header_変位X11</vt:lpstr>
      <vt:lpstr>計算・出力!header_変位X12</vt:lpstr>
      <vt:lpstr>計算・出力!header_変位X13</vt:lpstr>
      <vt:lpstr>計算・出力!header_変位X14</vt:lpstr>
      <vt:lpstr>計算・出力!header_変位X15</vt:lpstr>
      <vt:lpstr>計算・出力!header_変位X16</vt:lpstr>
      <vt:lpstr>計算・出力!header_変位X17</vt:lpstr>
      <vt:lpstr>計算・出力!header_変位X18</vt:lpstr>
      <vt:lpstr>計算・出力!header_変位X19</vt:lpstr>
      <vt:lpstr>計算・出力!header_変位X2</vt:lpstr>
      <vt:lpstr>計算・出力!header_変位X20</vt:lpstr>
      <vt:lpstr>計算・出力!header_変位X21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計算・出力!header_変位X8</vt:lpstr>
      <vt:lpstr>計算・出力!header_変位X9</vt:lpstr>
      <vt:lpstr>計算・出力!header_変位Y1</vt:lpstr>
      <vt:lpstr>計算・出力!header_変位Y10</vt:lpstr>
      <vt:lpstr>計算・出力!header_変位Y11</vt:lpstr>
      <vt:lpstr>計算・出力!header_変位Y12</vt:lpstr>
      <vt:lpstr>計算・出力!header_変位Y13</vt:lpstr>
      <vt:lpstr>計算・出力!header_変位Y14</vt:lpstr>
      <vt:lpstr>計算・出力!header_変位Y15</vt:lpstr>
      <vt:lpstr>計算・出力!header_変位Y16</vt:lpstr>
      <vt:lpstr>計算・出力!header_変位Y17</vt:lpstr>
      <vt:lpstr>計算・出力!header_変位Y18</vt:lpstr>
      <vt:lpstr>計算・出力!header_変位Y19</vt:lpstr>
      <vt:lpstr>計算・出力!header_変位Y2</vt:lpstr>
      <vt:lpstr>計算・出力!header_変位Y20</vt:lpstr>
      <vt:lpstr>計算・出力!header_変位Y21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計算・出力!header_変位Y8</vt:lpstr>
      <vt:lpstr>計算・出力!header_変位Y9</vt:lpstr>
      <vt:lpstr>計算・出力!header_変位Z1</vt:lpstr>
      <vt:lpstr>計算・出力!header_変位Z10</vt:lpstr>
      <vt:lpstr>計算・出力!header_変位Z11</vt:lpstr>
      <vt:lpstr>計算・出力!header_変位Z12</vt:lpstr>
      <vt:lpstr>計算・出力!header_変位Z13</vt:lpstr>
      <vt:lpstr>計算・出力!header_変位Z14</vt:lpstr>
      <vt:lpstr>計算・出力!header_変位Z15</vt:lpstr>
      <vt:lpstr>計算・出力!header_変位Z16</vt:lpstr>
      <vt:lpstr>計算・出力!header_変位Z17</vt:lpstr>
      <vt:lpstr>計算・出力!header_変位Z18</vt:lpstr>
      <vt:lpstr>計算・出力!header_変位Z19</vt:lpstr>
      <vt:lpstr>計算・出力!header_変位Z2</vt:lpstr>
      <vt:lpstr>計算・出力!header_変位Z20</vt:lpstr>
      <vt:lpstr>計算・出力!header_変位Z21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計算・出力!header_変位Z8</vt:lpstr>
      <vt:lpstr>計算・出力!header_変位Z9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計算・出力!荷重No10</vt:lpstr>
      <vt:lpstr>計算・出力!荷重No11</vt:lpstr>
      <vt:lpstr>計算・出力!荷重No12</vt:lpstr>
      <vt:lpstr>計算・出力!荷重No13</vt:lpstr>
      <vt:lpstr>計算・出力!荷重No14</vt:lpstr>
      <vt:lpstr>計算・出力!荷重No15</vt:lpstr>
      <vt:lpstr>計算・出力!荷重No16</vt:lpstr>
      <vt:lpstr>計算・出力!荷重No17</vt:lpstr>
      <vt:lpstr>計算・出力!荷重No18</vt:lpstr>
      <vt:lpstr>計算・出力!荷重No19</vt:lpstr>
      <vt:lpstr>計算・出力!荷重No2</vt:lpstr>
      <vt:lpstr>計算・出力!荷重No20</vt:lpstr>
      <vt:lpstr>計算・出力!荷重No21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計算・出力!荷重No8</vt:lpstr>
      <vt:lpstr>計算・出力!荷重No9</vt:lpstr>
      <vt:lpstr>荷重名称!割増係数_header</vt:lpstr>
      <vt:lpstr>計算・出力!割増係数1</vt:lpstr>
      <vt:lpstr>計算・出力!割増係数10</vt:lpstr>
      <vt:lpstr>計算・出力!割増係数11</vt:lpstr>
      <vt:lpstr>計算・出力!割増係数12</vt:lpstr>
      <vt:lpstr>計算・出力!割増係数13</vt:lpstr>
      <vt:lpstr>計算・出力!割増係数14</vt:lpstr>
      <vt:lpstr>計算・出力!割増係数15</vt:lpstr>
      <vt:lpstr>計算・出力!割増係数16</vt:lpstr>
      <vt:lpstr>計算・出力!割増係数17</vt:lpstr>
      <vt:lpstr>計算・出力!割増係数18</vt:lpstr>
      <vt:lpstr>計算・出力!割増係数19</vt:lpstr>
      <vt:lpstr>計算・出力!割増係数2</vt:lpstr>
      <vt:lpstr>計算・出力!割増係数20</vt:lpstr>
      <vt:lpstr>計算・出力!割増係数21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計算・出力!割増係数8</vt:lpstr>
      <vt:lpstr>計算・出力!割増係数9</vt:lpstr>
      <vt:lpstr>荷重名称!記号_header</vt:lpstr>
      <vt:lpstr>計算・出力!記号1</vt:lpstr>
      <vt:lpstr>計算・出力!記号10</vt:lpstr>
      <vt:lpstr>計算・出力!記号11</vt:lpstr>
      <vt:lpstr>計算・出力!記号12</vt:lpstr>
      <vt:lpstr>計算・出力!記号13</vt:lpstr>
      <vt:lpstr>計算・出力!記号14</vt:lpstr>
      <vt:lpstr>計算・出力!記号15</vt:lpstr>
      <vt:lpstr>計算・出力!記号16</vt:lpstr>
      <vt:lpstr>計算・出力!記号17</vt:lpstr>
      <vt:lpstr>計算・出力!記号18</vt:lpstr>
      <vt:lpstr>計算・出力!記号19</vt:lpstr>
      <vt:lpstr>計算・出力!記号2</vt:lpstr>
      <vt:lpstr>計算・出力!記号20</vt:lpstr>
      <vt:lpstr>計算・出力!記号21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計算・出力!記号8</vt:lpstr>
      <vt:lpstr>計算・出力!記号9</vt:lpstr>
      <vt:lpstr>荷重名称!結合_header</vt:lpstr>
      <vt:lpstr>荷重名称!支点_header</vt:lpstr>
      <vt:lpstr>計算・出力!節点数1</vt:lpstr>
      <vt:lpstr>計算・出力!節点数10</vt:lpstr>
      <vt:lpstr>計算・出力!節点数11</vt:lpstr>
      <vt:lpstr>計算・出力!節点数12</vt:lpstr>
      <vt:lpstr>計算・出力!節点数13</vt:lpstr>
      <vt:lpstr>計算・出力!節点数14</vt:lpstr>
      <vt:lpstr>計算・出力!節点数15</vt:lpstr>
      <vt:lpstr>計算・出力!節点数16</vt:lpstr>
      <vt:lpstr>計算・出力!節点数17</vt:lpstr>
      <vt:lpstr>計算・出力!節点数18</vt:lpstr>
      <vt:lpstr>計算・出力!節点数19</vt:lpstr>
      <vt:lpstr>計算・出力!節点数2</vt:lpstr>
      <vt:lpstr>計算・出力!節点数20</vt:lpstr>
      <vt:lpstr>計算・出力!節点数21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計算・出力!節点数8</vt:lpstr>
      <vt:lpstr>計算・出力!節点数9</vt:lpstr>
      <vt:lpstr>荷重名称!断面_header</vt:lpstr>
      <vt:lpstr>荷重名称!名称_header</vt:lpstr>
      <vt:lpstr>計算・出力!名称1</vt:lpstr>
      <vt:lpstr>計算・出力!名称10</vt:lpstr>
      <vt:lpstr>計算・出力!名称11</vt:lpstr>
      <vt:lpstr>計算・出力!名称12</vt:lpstr>
      <vt:lpstr>計算・出力!名称13</vt:lpstr>
      <vt:lpstr>計算・出力!名称14</vt:lpstr>
      <vt:lpstr>計算・出力!名称15</vt:lpstr>
      <vt:lpstr>計算・出力!名称16</vt:lpstr>
      <vt:lpstr>計算・出力!名称17</vt:lpstr>
      <vt:lpstr>計算・出力!名称18</vt:lpstr>
      <vt:lpstr>計算・出力!名称19</vt:lpstr>
      <vt:lpstr>計算・出力!名称2</vt:lpstr>
      <vt:lpstr>計算・出力!名称20</vt:lpstr>
      <vt:lpstr>計算・出力!名称21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計算・出力!名称8</vt:lpstr>
      <vt:lpstr>計算・出力!名称9</vt:lpstr>
      <vt:lpstr>計算・出力!要素数1</vt:lpstr>
      <vt:lpstr>計算・出力!要素数10</vt:lpstr>
      <vt:lpstr>計算・出力!要素数11</vt:lpstr>
      <vt:lpstr>計算・出力!要素数12</vt:lpstr>
      <vt:lpstr>計算・出力!要素数13</vt:lpstr>
      <vt:lpstr>計算・出力!要素数14</vt:lpstr>
      <vt:lpstr>計算・出力!要素数15</vt:lpstr>
      <vt:lpstr>計算・出力!要素数16</vt:lpstr>
      <vt:lpstr>計算・出力!要素数17</vt:lpstr>
      <vt:lpstr>計算・出力!要素数18</vt:lpstr>
      <vt:lpstr>計算・出力!要素数19</vt:lpstr>
      <vt:lpstr>計算・出力!要素数2</vt:lpstr>
      <vt:lpstr>計算・出力!要素数20</vt:lpstr>
      <vt:lpstr>計算・出力!要素数21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  <vt:lpstr>計算・出力!要素数8</vt:lpstr>
      <vt:lpstr>計算・出力!要素数9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2017-08-10T08:04:39Z</cp:lastPrinted>
  <dcterms:created xsi:type="dcterms:W3CDTF">2014-11-11T12:34:56Z</dcterms:created>
  <dcterms:modified xsi:type="dcterms:W3CDTF">2018-01-07T16:13:01Z</dcterms:modified>
</cp:coreProperties>
</file>