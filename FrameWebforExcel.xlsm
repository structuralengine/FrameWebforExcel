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Visual Studio 2017\Projects\FrameWebforExcel\"/>
    </mc:Choice>
  </mc:AlternateContent>
  <bookViews>
    <workbookView xWindow="0" yWindow="0" windowWidth="11775" windowHeight="7575" tabRatio="842" activeTab="14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PickUp・変位" sheetId="31" r:id="rId17"/>
    <sheet name="応力図" sheetId="17" r:id="rId18"/>
  </sheets>
  <functionGroups builtInGroupCount="18"/>
  <externalReferences>
    <externalReference r:id="rId19"/>
    <externalReference r:id="rId20"/>
    <externalReference r:id="rId21"/>
    <externalReference r:id="rId22"/>
  </externalReferences>
  <definedNames>
    <definedName name="_1__123Graph_Aｸﾞﾗﾌ_1" localSheetId="16" hidden="1">#REF!</definedName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localSheetId="16" hidden="1">#REF!</definedName>
    <definedName name="_12__123Graph_Aｸﾞﾗﾌ_4" hidden="1">#REF!</definedName>
    <definedName name="_13__123Graph_Bｸﾞﾗﾌ_1" localSheetId="16" hidden="1">#REF!</definedName>
    <definedName name="_13__123Graph_Bｸﾞﾗﾌ_1" hidden="1">#REF!</definedName>
    <definedName name="_14__123Graph_Bｸﾞﾗﾌ_2" localSheetId="16" hidden="1">#REF!</definedName>
    <definedName name="_14__123Graph_Bｸﾞﾗﾌ_2" hidden="1">#REF!</definedName>
    <definedName name="_15__123Graph_Bｸﾞﾗﾌ_3" localSheetId="16" hidden="1">#REF!</definedName>
    <definedName name="_15__123Graph_Bｸﾞﾗﾌ_3" hidden="1">#REF!</definedName>
    <definedName name="_16__123Graph_Bｸﾞﾗﾌ_4" localSheetId="15" hidden="1">#REF!</definedName>
    <definedName name="_16__123Graph_Bｸﾞﾗﾌ_4" localSheetId="16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localSheetId="16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localSheetId="16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6__123Graph_Cｸﾞﾗﾌ_4" localSheetId="16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localSheetId="16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localSheetId="16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6__123Graph_Dｸﾞﾗﾌ_4" localSheetId="16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__123Graph_Aｸﾞﾗﾌ_4" localSheetId="16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localSheetId="16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localSheetId="16" hidden="1">#REF!</definedName>
    <definedName name="_46__123Graph_Xｸﾞﾗﾌ_2" hidden="1">#REF!</definedName>
    <definedName name="_47__123Graph_Xｸﾞﾗﾌ_3" localSheetId="16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localSheetId="16" hidden="1">#REF!</definedName>
    <definedName name="_DEL2" hidden="1">#REF!</definedName>
    <definedName name="_Fill" localSheetId="16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7">応力図!$D$14</definedName>
    <definedName name="_回転角X" localSheetId="10">荷重図!$D$14</definedName>
    <definedName name="_回転角Y" localSheetId="17">応力図!$D$15</definedName>
    <definedName name="_回転角Y" localSheetId="10">荷重図!$D$15</definedName>
    <definedName name="_回転角Z" localSheetId="17">応力図!$D$16</definedName>
    <definedName name="_回転角Z" localSheetId="10">荷重図!$D$16</definedName>
    <definedName name="_節点番号フォント" localSheetId="17">応力図!$D$6</definedName>
    <definedName name="_節点番号フォント" localSheetId="10">荷重図!$D$6</definedName>
    <definedName name="_節点番号描画" localSheetId="17">応力図!$D$5</definedName>
    <definedName name="_節点番号描画" localSheetId="10">荷重図!$D$5</definedName>
    <definedName name="_節点描画" localSheetId="17">応力図!$D$4</definedName>
    <definedName name="_節点描画" localSheetId="10">荷重図!$D$4</definedName>
    <definedName name="_描画エリア" localSheetId="17">応力図!$F$4:$K$27</definedName>
    <definedName name="_描画エリア" localSheetId="10">荷重図!$I$9:$AK$32</definedName>
    <definedName name="_変位描画" localSheetId="17">応力図!$D$10</definedName>
    <definedName name="_変位描画倍率" localSheetId="17">応力図!$D$11</definedName>
    <definedName name="_要素番号フォント" localSheetId="17">応力図!$D$9</definedName>
    <definedName name="_要素番号フォント" localSheetId="10">荷重図!$D$9</definedName>
    <definedName name="_要素番号描画" localSheetId="17">応力図!$D$8</definedName>
    <definedName name="_要素番号描画" localSheetId="10">荷重図!$D$8</definedName>
    <definedName name="_要素描画" localSheetId="17">応力図!$D$7</definedName>
    <definedName name="_要素描画" localSheetId="10">荷重図!$D$7</definedName>
    <definedName name="anscount" hidden="1">1</definedName>
    <definedName name="DEL" localSheetId="16" hidden="1">#REF!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計算・出力!$F$30</definedName>
    <definedName name="header_回転X10" localSheetId="14">計算・出力!$CR$30</definedName>
    <definedName name="header_回転X11" localSheetId="14">計算・出力!$DB$30</definedName>
    <definedName name="header_回転X12" localSheetId="14">計算・出力!$DL$30</definedName>
    <definedName name="header_回転X13" localSheetId="14">計算・出力!$DV$30</definedName>
    <definedName name="header_回転X14" localSheetId="14">計算・出力!$EF$30</definedName>
    <definedName name="header_回転X15" localSheetId="14">計算・出力!$EP$30</definedName>
    <definedName name="header_回転X16" localSheetId="14">計算・出力!$EZ$30</definedName>
    <definedName name="header_回転X17" localSheetId="14">計算・出力!$FJ$30</definedName>
    <definedName name="header_回転X2" localSheetId="14">計算・出力!$P$30</definedName>
    <definedName name="header_回転X3" localSheetId="14">計算・出力!$Z$30</definedName>
    <definedName name="header_回転X4" localSheetId="14">計算・出力!$AJ$30</definedName>
    <definedName name="header_回転X5" localSheetId="14">計算・出力!$AT$30</definedName>
    <definedName name="header_回転X6" localSheetId="14">計算・出力!$BD$30</definedName>
    <definedName name="header_回転X7" localSheetId="14">計算・出力!$BN$30</definedName>
    <definedName name="header_回転X8" localSheetId="14">計算・出力!$BX$30</definedName>
    <definedName name="header_回転X9" localSheetId="14">計算・出力!$CH$30</definedName>
    <definedName name="header_回転Y1" localSheetId="14">計算・出力!$G$30</definedName>
    <definedName name="header_回転Y10" localSheetId="14">計算・出力!$CS$30</definedName>
    <definedName name="header_回転Y11" localSheetId="14">計算・出力!$DC$30</definedName>
    <definedName name="header_回転Y12" localSheetId="14">計算・出力!$DM$30</definedName>
    <definedName name="header_回転Y13" localSheetId="14">計算・出力!$DW$30</definedName>
    <definedName name="header_回転Y14" localSheetId="14">計算・出力!$EG$30</definedName>
    <definedName name="header_回転Y15" localSheetId="14">計算・出力!$EQ$30</definedName>
    <definedName name="header_回転Y16" localSheetId="14">計算・出力!$FA$30</definedName>
    <definedName name="header_回転Y17" localSheetId="14">計算・出力!$FK$30</definedName>
    <definedName name="header_回転Y2" localSheetId="14">計算・出力!$Q$30</definedName>
    <definedName name="header_回転Y3" localSheetId="14">計算・出力!$AA$30</definedName>
    <definedName name="header_回転Y4" localSheetId="14">計算・出力!$AK$30</definedName>
    <definedName name="header_回転Y5" localSheetId="14">計算・出力!$AU$30</definedName>
    <definedName name="header_回転Y6" localSheetId="14">計算・出力!$BE$30</definedName>
    <definedName name="header_回転Y7" localSheetId="14">計算・出力!$BO$30</definedName>
    <definedName name="header_回転Y8" localSheetId="14">計算・出力!$BY$30</definedName>
    <definedName name="header_回転Y9" localSheetId="14">計算・出力!$CI$30</definedName>
    <definedName name="header_回転Z1" localSheetId="14">計算・出力!$H$30</definedName>
    <definedName name="header_回転Z10" localSheetId="14">計算・出力!$CT$30</definedName>
    <definedName name="header_回転Z11" localSheetId="14">計算・出力!$DD$30</definedName>
    <definedName name="header_回転Z12" localSheetId="14">計算・出力!$DN$30</definedName>
    <definedName name="header_回転Z13" localSheetId="14">計算・出力!$DX$30</definedName>
    <definedName name="header_回転Z14" localSheetId="14">計算・出力!$EH$30</definedName>
    <definedName name="header_回転Z15" localSheetId="14">計算・出力!$ER$30</definedName>
    <definedName name="header_回転Z16" localSheetId="14">計算・出力!$FB$30</definedName>
    <definedName name="header_回転Z17" localSheetId="14">計算・出力!$FL$30</definedName>
    <definedName name="header_回転Z2" localSheetId="14">計算・出力!$R$30</definedName>
    <definedName name="header_回転Z3" localSheetId="14">計算・出力!$AB$30</definedName>
    <definedName name="header_回転Z4" localSheetId="14">計算・出力!$AL$30</definedName>
    <definedName name="header_回転Z5" localSheetId="14">計算・出力!$AV$30</definedName>
    <definedName name="header_回転Z6" localSheetId="14">計算・出力!$BF$30</definedName>
    <definedName name="header_回転Z7" localSheetId="14">計算・出力!$BP$30</definedName>
    <definedName name="header_回転Z8" localSheetId="14">計算・出力!$BZ$30</definedName>
    <definedName name="header_回転Z9" localSheetId="14">計算・出力!$CJ$30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10" localSheetId="14">計算・出力!$CO$12</definedName>
    <definedName name="header_節点X11" localSheetId="14">計算・出力!$CY$12</definedName>
    <definedName name="header_節点X12" localSheetId="14">計算・出力!$DI$12</definedName>
    <definedName name="header_節点X13" localSheetId="14">計算・出力!$DS$12</definedName>
    <definedName name="header_節点X14" localSheetId="14">計算・出力!$EC$12</definedName>
    <definedName name="header_節点X15" localSheetId="14">計算・出力!$EM$12</definedName>
    <definedName name="header_節点X16" localSheetId="14">計算・出力!$EW$12</definedName>
    <definedName name="header_節点X17" localSheetId="14">計算・出力!$FG$12</definedName>
    <definedName name="header_節点X2" localSheetId="14">計算・出力!$M$12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X7" localSheetId="14">計算・出力!$BK$12</definedName>
    <definedName name="header_節点X8" localSheetId="14">計算・出力!$BU$12</definedName>
    <definedName name="header_節点X9" localSheetId="14">計算・出力!$CE$12</definedName>
    <definedName name="header_節点Y1" localSheetId="14">計算・出力!$D$12</definedName>
    <definedName name="header_節点Y10" localSheetId="14">計算・出力!$CP$12</definedName>
    <definedName name="header_節点Y11" localSheetId="14">計算・出力!$CZ$12</definedName>
    <definedName name="header_節点Y12" localSheetId="14">計算・出力!$DJ$12</definedName>
    <definedName name="header_節点Y13" localSheetId="14">計算・出力!$DT$12</definedName>
    <definedName name="header_節点Y14" localSheetId="14">計算・出力!$ED$12</definedName>
    <definedName name="header_節点Y15" localSheetId="14">計算・出力!$EN$12</definedName>
    <definedName name="header_節点Y16" localSheetId="14">計算・出力!$EX$12</definedName>
    <definedName name="header_節点Y17" localSheetId="14">計算・出力!$FH$12</definedName>
    <definedName name="header_節点Y2" localSheetId="14">計算・出力!$N$12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Y7" localSheetId="14">計算・出力!$BL$12</definedName>
    <definedName name="header_節点Y8" localSheetId="14">計算・出力!$BV$12</definedName>
    <definedName name="header_節点Y9" localSheetId="14">計算・出力!$CF$12</definedName>
    <definedName name="header_節点Z1" localSheetId="14">計算・出力!$E$12</definedName>
    <definedName name="header_節点Z10" localSheetId="14">計算・出力!$CQ$12</definedName>
    <definedName name="header_節点Z11" localSheetId="14">計算・出力!$DA$12</definedName>
    <definedName name="header_節点Z12" localSheetId="14">計算・出力!$DK$12</definedName>
    <definedName name="header_節点Z13" localSheetId="14">計算・出力!$DU$12</definedName>
    <definedName name="header_節点Z14" localSheetId="14">計算・出力!$EE$12</definedName>
    <definedName name="header_節点Z15" localSheetId="14">計算・出力!$EO$12</definedName>
    <definedName name="header_節点Z16" localSheetId="14">計算・出力!$EY$12</definedName>
    <definedName name="header_節点Z17" localSheetId="14">計算・出力!$FI$12</definedName>
    <definedName name="header_節点Z2" localSheetId="14">計算・出力!$O$12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節点Z7" localSheetId="14">計算・出力!$BM$12</definedName>
    <definedName name="header_節点Z8" localSheetId="14">計算・出力!$BW$12</definedName>
    <definedName name="header_節点Z9" localSheetId="14">計算・出力!$CG$12</definedName>
    <definedName name="header_断面力FX1" localSheetId="14">計算・出力!$E$68</definedName>
    <definedName name="header_断面力FX10" localSheetId="14">計算・出力!$CQ$68</definedName>
    <definedName name="header_断面力FX11" localSheetId="14">計算・出力!$DA$68</definedName>
    <definedName name="header_断面力FX12" localSheetId="14">計算・出力!$DK$68</definedName>
    <definedName name="header_断面力FX13" localSheetId="14">計算・出力!$DU$68</definedName>
    <definedName name="header_断面力FX14" localSheetId="14">計算・出力!$EE$68</definedName>
    <definedName name="header_断面力FX15" localSheetId="14">計算・出力!$EO$68</definedName>
    <definedName name="header_断面力FX16" localSheetId="14">計算・出力!$EY$68</definedName>
    <definedName name="header_断面力FX17" localSheetId="14">計算・出力!$FI$68</definedName>
    <definedName name="header_断面力FX2" localSheetId="14">計算・出力!$O$68</definedName>
    <definedName name="header_断面力FX3" localSheetId="14">計算・出力!$Y$68</definedName>
    <definedName name="header_断面力FX4" localSheetId="14">計算・出力!$AI$68</definedName>
    <definedName name="header_断面力FX5" localSheetId="14">計算・出力!$AS$68</definedName>
    <definedName name="header_断面力FX6" localSheetId="14">計算・出力!$BC$68</definedName>
    <definedName name="header_断面力FX7" localSheetId="14">計算・出力!$BM$68</definedName>
    <definedName name="header_断面力FX8" localSheetId="14">計算・出力!$BW$68</definedName>
    <definedName name="header_断面力FX9" localSheetId="14">計算・出力!$CG$68</definedName>
    <definedName name="header_断面力FY1" localSheetId="14">計算・出力!$F$68</definedName>
    <definedName name="header_断面力FY10" localSheetId="14">計算・出力!$CR$68</definedName>
    <definedName name="header_断面力FY11" localSheetId="14">計算・出力!$DB$68</definedName>
    <definedName name="header_断面力FY12" localSheetId="14">計算・出力!$DL$68</definedName>
    <definedName name="header_断面力FY13" localSheetId="14">計算・出力!$DV$68</definedName>
    <definedName name="header_断面力FY14" localSheetId="14">計算・出力!$EF$68</definedName>
    <definedName name="header_断面力FY15" localSheetId="14">計算・出力!$EP$68</definedName>
    <definedName name="header_断面力FY16" localSheetId="14">計算・出力!$EZ$68</definedName>
    <definedName name="header_断面力FY17" localSheetId="14">計算・出力!$FJ$68</definedName>
    <definedName name="header_断面力FY2" localSheetId="14">計算・出力!$P$68</definedName>
    <definedName name="header_断面力FY3" localSheetId="14">計算・出力!$Z$68</definedName>
    <definedName name="header_断面力FY4" localSheetId="14">計算・出力!$AJ$68</definedName>
    <definedName name="header_断面力FY5" localSheetId="14">計算・出力!$AT$68</definedName>
    <definedName name="header_断面力FY6" localSheetId="14">計算・出力!$BD$68</definedName>
    <definedName name="header_断面力FY7" localSheetId="14">計算・出力!$BN$68</definedName>
    <definedName name="header_断面力FY8" localSheetId="14">計算・出力!$BX$68</definedName>
    <definedName name="header_断面力FY9" localSheetId="14">計算・出力!$CH$68</definedName>
    <definedName name="header_断面力FZ1" localSheetId="14">計算・出力!$G$68</definedName>
    <definedName name="header_断面力FZ10" localSheetId="14">計算・出力!$CS$68</definedName>
    <definedName name="header_断面力FZ11" localSheetId="14">計算・出力!$DC$68</definedName>
    <definedName name="header_断面力FZ12" localSheetId="14">計算・出力!$DM$68</definedName>
    <definedName name="header_断面力FZ13" localSheetId="14">計算・出力!$DW$68</definedName>
    <definedName name="header_断面力FZ14" localSheetId="14">計算・出力!$EG$68</definedName>
    <definedName name="header_断面力FZ15" localSheetId="14">計算・出力!$EQ$68</definedName>
    <definedName name="header_断面力FZ16" localSheetId="14">計算・出力!$FA$68</definedName>
    <definedName name="header_断面力FZ17" localSheetId="14">計算・出力!$FK$68</definedName>
    <definedName name="header_断面力FZ2" localSheetId="14">計算・出力!$Q$68</definedName>
    <definedName name="header_断面力FZ3" localSheetId="14">計算・出力!$AA$68</definedName>
    <definedName name="header_断面力FZ4" localSheetId="14">計算・出力!$AK$68</definedName>
    <definedName name="header_断面力FZ5" localSheetId="14">計算・出力!$AU$68</definedName>
    <definedName name="header_断面力FZ6" localSheetId="14">計算・出力!$BE$68</definedName>
    <definedName name="header_断面力FZ7" localSheetId="14">計算・出力!$BO$68</definedName>
    <definedName name="header_断面力FZ8" localSheetId="14">計算・出力!$BY$68</definedName>
    <definedName name="header_断面力FZ9" localSheetId="14">計算・出力!$CI$68</definedName>
    <definedName name="header_断面力MX1" localSheetId="14">計算・出力!$H$68</definedName>
    <definedName name="header_断面力MX10" localSheetId="14">計算・出力!$CT$68</definedName>
    <definedName name="header_断面力MX11" localSheetId="14">計算・出力!$DD$68</definedName>
    <definedName name="header_断面力MX12" localSheetId="14">計算・出力!$DN$68</definedName>
    <definedName name="header_断面力MX13" localSheetId="14">計算・出力!$DX$68</definedName>
    <definedName name="header_断面力MX14" localSheetId="14">計算・出力!$EH$68</definedName>
    <definedName name="header_断面力MX15" localSheetId="14">計算・出力!$ER$68</definedName>
    <definedName name="header_断面力MX16" localSheetId="14">計算・出力!$FB$68</definedName>
    <definedName name="header_断面力MX17" localSheetId="14">計算・出力!$FL$68</definedName>
    <definedName name="header_断面力MX2" localSheetId="14">計算・出力!$R$68</definedName>
    <definedName name="header_断面力MX3" localSheetId="14">計算・出力!$AB$68</definedName>
    <definedName name="header_断面力MX4" localSheetId="14">計算・出力!$AL$68</definedName>
    <definedName name="header_断面力MX5" localSheetId="14">計算・出力!$AV$68</definedName>
    <definedName name="header_断面力MX6" localSheetId="14">計算・出力!$BF$68</definedName>
    <definedName name="header_断面力MX7" localSheetId="14">計算・出力!$BP$68</definedName>
    <definedName name="header_断面力MX8" localSheetId="14">計算・出力!$BZ$68</definedName>
    <definedName name="header_断面力MX9" localSheetId="14">計算・出力!$CJ$68</definedName>
    <definedName name="header_断面力MY1" localSheetId="14">計算・出力!$I$68</definedName>
    <definedName name="header_断面力MY10" localSheetId="14">計算・出力!$CU$68</definedName>
    <definedName name="header_断面力MY11" localSheetId="14">計算・出力!$DE$68</definedName>
    <definedName name="header_断面力MY12" localSheetId="14">計算・出力!$DO$68</definedName>
    <definedName name="header_断面力MY13" localSheetId="14">計算・出力!$DY$68</definedName>
    <definedName name="header_断面力MY14" localSheetId="14">計算・出力!$EI$68</definedName>
    <definedName name="header_断面力MY15" localSheetId="14">計算・出力!$ES$68</definedName>
    <definedName name="header_断面力MY16" localSheetId="14">計算・出力!$FC$68</definedName>
    <definedName name="header_断面力MY17" localSheetId="14">計算・出力!$FM$68</definedName>
    <definedName name="header_断面力MY2" localSheetId="14">計算・出力!$S$68</definedName>
    <definedName name="header_断面力MY3" localSheetId="14">計算・出力!$AC$68</definedName>
    <definedName name="header_断面力MY4" localSheetId="14">計算・出力!$AM$68</definedName>
    <definedName name="header_断面力MY5" localSheetId="14">計算・出力!$AW$68</definedName>
    <definedName name="header_断面力MY6" localSheetId="14">計算・出力!$BG$68</definedName>
    <definedName name="header_断面力MY7" localSheetId="14">計算・出力!$BQ$68</definedName>
    <definedName name="header_断面力MY8" localSheetId="14">計算・出力!$CA$68</definedName>
    <definedName name="header_断面力MY9" localSheetId="14">計算・出力!$CK$68</definedName>
    <definedName name="header_断面力MZ1" localSheetId="14">計算・出力!$J$68</definedName>
    <definedName name="header_断面力MZ10" localSheetId="14">計算・出力!$CV$68</definedName>
    <definedName name="header_断面力MZ11" localSheetId="14">計算・出力!$DF$68</definedName>
    <definedName name="header_断面力MZ12" localSheetId="14">計算・出力!$DP$68</definedName>
    <definedName name="header_断面力MZ13" localSheetId="14">計算・出力!$DZ$68</definedName>
    <definedName name="header_断面力MZ14" localSheetId="14">計算・出力!$EJ$68</definedName>
    <definedName name="header_断面力MZ15" localSheetId="14">計算・出力!$ET$68</definedName>
    <definedName name="header_断面力MZ16" localSheetId="14">計算・出力!$FD$68</definedName>
    <definedName name="header_断面力MZ17" localSheetId="14">計算・出力!$FN$68</definedName>
    <definedName name="header_断面力MZ2" localSheetId="14">計算・出力!$T$68</definedName>
    <definedName name="header_断面力MZ3" localSheetId="14">計算・出力!$AD$68</definedName>
    <definedName name="header_断面力MZ4" localSheetId="14">計算・出力!$AN$68</definedName>
    <definedName name="header_断面力MZ5" localSheetId="14">計算・出力!$AX$68</definedName>
    <definedName name="header_断面力MZ6" localSheetId="14">計算・出力!$BH$68</definedName>
    <definedName name="header_断面力MZ7" localSheetId="14">計算・出力!$BR$68</definedName>
    <definedName name="header_断面力MZ8" localSheetId="14">計算・出力!$CB$68</definedName>
    <definedName name="header_断面力MZ9" localSheetId="14">計算・出力!$CL$68</definedName>
    <definedName name="header_断面力節点1" localSheetId="14">計算・出力!$C$68</definedName>
    <definedName name="header_断面力節点10" localSheetId="14">計算・出力!$CO$68</definedName>
    <definedName name="header_断面力節点11" localSheetId="14">計算・出力!$CY$68</definedName>
    <definedName name="header_断面力節点12" localSheetId="14">計算・出力!$DI$68</definedName>
    <definedName name="header_断面力節点13" localSheetId="14">計算・出力!$DS$68</definedName>
    <definedName name="header_断面力節点14" localSheetId="14">計算・出力!$EC$68</definedName>
    <definedName name="header_断面力節点15" localSheetId="14">計算・出力!$EM$68</definedName>
    <definedName name="header_断面力節点16" localSheetId="14">計算・出力!$EW$68</definedName>
    <definedName name="header_断面力節点17" localSheetId="14">計算・出力!$FG$68</definedName>
    <definedName name="header_断面力節点2" localSheetId="14">計算・出力!$M$68</definedName>
    <definedName name="header_断面力節点3" localSheetId="14">計算・出力!$W$68</definedName>
    <definedName name="header_断面力節点4" localSheetId="14">計算・出力!$AG$68</definedName>
    <definedName name="header_断面力節点5" localSheetId="14">計算・出力!$AQ$68</definedName>
    <definedName name="header_断面力節点6" localSheetId="14">計算・出力!$BA$68</definedName>
    <definedName name="header_断面力節点7" localSheetId="14">計算・出力!$BK$68</definedName>
    <definedName name="header_断面力節点8" localSheetId="14">計算・出力!$BU$68</definedName>
    <definedName name="header_断面力節点9" localSheetId="14">計算・出力!$CE$68</definedName>
    <definedName name="header_着目点1" localSheetId="14">計算・出力!$D$68</definedName>
    <definedName name="header_着目点10" localSheetId="14">計算・出力!$CP$68</definedName>
    <definedName name="header_着目点11" localSheetId="14">計算・出力!$CZ$68</definedName>
    <definedName name="header_着目点12" localSheetId="14">計算・出力!$DJ$68</definedName>
    <definedName name="header_着目点13" localSheetId="14">計算・出力!$DT$68</definedName>
    <definedName name="header_着目点14" localSheetId="14">計算・出力!$ED$68</definedName>
    <definedName name="header_着目点15" localSheetId="14">計算・出力!$EN$68</definedName>
    <definedName name="header_着目点16" localSheetId="14">計算・出力!$EX$68</definedName>
    <definedName name="header_着目点17" localSheetId="14">計算・出力!$FH$68</definedName>
    <definedName name="header_着目点2" localSheetId="14">計算・出力!$N$68</definedName>
    <definedName name="header_着目点3" localSheetId="14">計算・出力!$X$68</definedName>
    <definedName name="header_着目点4" localSheetId="14">計算・出力!$AH$68</definedName>
    <definedName name="header_着目点5" localSheetId="14">計算・出力!$AR$68</definedName>
    <definedName name="header_着目点6" localSheetId="14">計算・出力!$BB$68</definedName>
    <definedName name="header_着目点7" localSheetId="14">計算・出力!$BL$68</definedName>
    <definedName name="header_着目点8" localSheetId="14">計算・出力!$BV$68</definedName>
    <definedName name="header_着目点9" localSheetId="14">計算・出力!$CF$68</definedName>
    <definedName name="header_反力MX1" localSheetId="14">計算・出力!$F$48</definedName>
    <definedName name="header_反力MX10" localSheetId="14">計算・出力!$CR$48</definedName>
    <definedName name="header_反力MX11" localSheetId="14">計算・出力!$DB$48</definedName>
    <definedName name="header_反力MX12" localSheetId="14">計算・出力!$DL$48</definedName>
    <definedName name="header_反力MX13" localSheetId="14">計算・出力!$DV$48</definedName>
    <definedName name="header_反力MX14" localSheetId="14">計算・出力!$EF$48</definedName>
    <definedName name="header_反力MX15" localSheetId="14">計算・出力!$EP$48</definedName>
    <definedName name="header_反力MX16" localSheetId="14">計算・出力!$EZ$48</definedName>
    <definedName name="header_反力MX17" localSheetId="14">計算・出力!$FJ$48</definedName>
    <definedName name="header_反力MX2" localSheetId="14">計算・出力!$P$48</definedName>
    <definedName name="header_反力MX3" localSheetId="14">計算・出力!$Z$48</definedName>
    <definedName name="header_反力MX4" localSheetId="14">計算・出力!$AJ$48</definedName>
    <definedName name="header_反力MX5" localSheetId="14">計算・出力!$AT$48</definedName>
    <definedName name="header_反力MX6" localSheetId="14">計算・出力!$BD$48</definedName>
    <definedName name="header_反力MX7" localSheetId="14">計算・出力!$BN$48</definedName>
    <definedName name="header_反力MX8" localSheetId="14">計算・出力!$BX$48</definedName>
    <definedName name="header_反力MX9" localSheetId="14">計算・出力!$CH$48</definedName>
    <definedName name="header_反力MY1" localSheetId="14">計算・出力!$G$48</definedName>
    <definedName name="header_反力MY10" localSheetId="14">計算・出力!$CS$48</definedName>
    <definedName name="header_反力MY11" localSheetId="14">計算・出力!$DC$48</definedName>
    <definedName name="header_反力MY12" localSheetId="14">計算・出力!$DM$48</definedName>
    <definedName name="header_反力MY13" localSheetId="14">計算・出力!$DW$48</definedName>
    <definedName name="header_反力MY14" localSheetId="14">計算・出力!$EG$48</definedName>
    <definedName name="header_反力MY15" localSheetId="14">計算・出力!$EQ$48</definedName>
    <definedName name="header_反力MY16" localSheetId="14">計算・出力!$FA$48</definedName>
    <definedName name="header_反力MY17" localSheetId="14">計算・出力!$FK$48</definedName>
    <definedName name="header_反力MY2" localSheetId="14">計算・出力!$Q$48</definedName>
    <definedName name="header_反力MY3" localSheetId="14">計算・出力!$AA$48</definedName>
    <definedName name="header_反力MY4" localSheetId="14">計算・出力!$AK$48</definedName>
    <definedName name="header_反力MY5" localSheetId="14">計算・出力!$AU$48</definedName>
    <definedName name="header_反力MY6" localSheetId="14">計算・出力!$BE$48</definedName>
    <definedName name="header_反力MY7" localSheetId="14">計算・出力!$BO$48</definedName>
    <definedName name="header_反力MY8" localSheetId="14">計算・出力!$BY$48</definedName>
    <definedName name="header_反力MY9" localSheetId="14">計算・出力!$CI$48</definedName>
    <definedName name="header_反力MZ1" localSheetId="14">計算・出力!$H$48</definedName>
    <definedName name="header_反力MZ10" localSheetId="14">計算・出力!$CT$48</definedName>
    <definedName name="header_反力MZ11" localSheetId="14">計算・出力!$DD$48</definedName>
    <definedName name="header_反力MZ12" localSheetId="14">計算・出力!$DN$48</definedName>
    <definedName name="header_反力MZ13" localSheetId="14">計算・出力!$DX$48</definedName>
    <definedName name="header_反力MZ14" localSheetId="14">計算・出力!$EH$48</definedName>
    <definedName name="header_反力MZ15" localSheetId="14">計算・出力!$ER$48</definedName>
    <definedName name="header_反力MZ16" localSheetId="14">計算・出力!$FB$48</definedName>
    <definedName name="header_反力MZ17" localSheetId="14">計算・出力!$FL$48</definedName>
    <definedName name="header_反力MZ2" localSheetId="14">計算・出力!$R$48</definedName>
    <definedName name="header_反力MZ3" localSheetId="14">計算・出力!$AB$48</definedName>
    <definedName name="header_反力MZ4" localSheetId="14">計算・出力!$AL$48</definedName>
    <definedName name="header_反力MZ5" localSheetId="14">計算・出力!$AV$48</definedName>
    <definedName name="header_反力MZ6" localSheetId="14">計算・出力!$BF$48</definedName>
    <definedName name="header_反力MZ7" localSheetId="14">計算・出力!$BP$48</definedName>
    <definedName name="header_反力MZ8" localSheetId="14">計算・出力!$BZ$48</definedName>
    <definedName name="header_反力MZ9" localSheetId="14">計算・出力!$CJ$48</definedName>
    <definedName name="header_反力RX1" localSheetId="14">計算・出力!$C$48</definedName>
    <definedName name="header_反力RX10" localSheetId="14">計算・出力!$CO$48</definedName>
    <definedName name="header_反力RX11" localSheetId="14">計算・出力!$CY$48</definedName>
    <definedName name="header_反力RX12" localSheetId="14">計算・出力!$DI$48</definedName>
    <definedName name="header_反力RX13" localSheetId="14">計算・出力!$DS$48</definedName>
    <definedName name="header_反力RX14" localSheetId="14">計算・出力!$EC$48</definedName>
    <definedName name="header_反力RX15" localSheetId="14">計算・出力!$EM$48</definedName>
    <definedName name="header_反力RX16" localSheetId="14">計算・出力!$EW$48</definedName>
    <definedName name="header_反力RX17" localSheetId="14">計算・出力!$FG$48</definedName>
    <definedName name="header_反力RX2" localSheetId="14">計算・出力!$M$48</definedName>
    <definedName name="header_反力RX3" localSheetId="14">計算・出力!$W$48</definedName>
    <definedName name="header_反力RX4" localSheetId="14">計算・出力!$AG$48</definedName>
    <definedName name="header_反力RX5" localSheetId="14">計算・出力!$AQ$48</definedName>
    <definedName name="header_反力RX6" localSheetId="14">計算・出力!$BA$48</definedName>
    <definedName name="header_反力RX7" localSheetId="14">計算・出力!$BK$48</definedName>
    <definedName name="header_反力RX8" localSheetId="14">計算・出力!$BU$48</definedName>
    <definedName name="header_反力RX9" localSheetId="14">計算・出力!$CE$48</definedName>
    <definedName name="header_反力RY1" localSheetId="14">計算・出力!$D$48</definedName>
    <definedName name="header_反力RY10" localSheetId="14">計算・出力!$CP$48</definedName>
    <definedName name="header_反力RY11" localSheetId="14">計算・出力!$CZ$48</definedName>
    <definedName name="header_反力RY12" localSheetId="14">計算・出力!$DJ$48</definedName>
    <definedName name="header_反力RY13" localSheetId="14">計算・出力!$DT$48</definedName>
    <definedName name="header_反力RY14" localSheetId="14">計算・出力!$ED$48</definedName>
    <definedName name="header_反力RY15" localSheetId="14">計算・出力!$EN$48</definedName>
    <definedName name="header_反力RY16" localSheetId="14">計算・出力!$EX$48</definedName>
    <definedName name="header_反力RY17" localSheetId="14">計算・出力!$FH$48</definedName>
    <definedName name="header_反力RY2" localSheetId="14">計算・出力!$N$48</definedName>
    <definedName name="header_反力RY3" localSheetId="14">計算・出力!$X$48</definedName>
    <definedName name="header_反力RY4" localSheetId="14">計算・出力!$AH$48</definedName>
    <definedName name="header_反力RY5" localSheetId="14">計算・出力!$AR$48</definedName>
    <definedName name="header_反力RY6" localSheetId="14">計算・出力!$BB$48</definedName>
    <definedName name="header_反力RY7" localSheetId="14">計算・出力!$BL$48</definedName>
    <definedName name="header_反力RY8" localSheetId="14">計算・出力!$BV$48</definedName>
    <definedName name="header_反力RY9" localSheetId="14">計算・出力!$CF$48</definedName>
    <definedName name="header_反力RZ1" localSheetId="14">計算・出力!$E$48</definedName>
    <definedName name="header_反力RZ10" localSheetId="14">計算・出力!$CQ$48</definedName>
    <definedName name="header_反力RZ11" localSheetId="14">計算・出力!$DA$48</definedName>
    <definedName name="header_反力RZ12" localSheetId="14">計算・出力!$DK$48</definedName>
    <definedName name="header_反力RZ13" localSheetId="14">計算・出力!$DU$48</definedName>
    <definedName name="header_反力RZ14" localSheetId="14">計算・出力!$EE$48</definedName>
    <definedName name="header_反力RZ15" localSheetId="14">計算・出力!$EO$48</definedName>
    <definedName name="header_反力RZ16" localSheetId="14">計算・出力!$EY$48</definedName>
    <definedName name="header_反力RZ17" localSheetId="14">計算・出力!$FI$48</definedName>
    <definedName name="header_反力RZ2" localSheetId="14">計算・出力!$O$48</definedName>
    <definedName name="header_反力RZ3" localSheetId="14">計算・出力!$Y$48</definedName>
    <definedName name="header_反力RZ4" localSheetId="14">計算・出力!$AI$48</definedName>
    <definedName name="header_反力RZ5" localSheetId="14">計算・出力!$AS$48</definedName>
    <definedName name="header_反力RZ6" localSheetId="14">計算・出力!$BC$48</definedName>
    <definedName name="header_反力RZ7" localSheetId="14">計算・出力!$BM$48</definedName>
    <definedName name="header_反力RZ8" localSheetId="14">計算・出力!$BW$48</definedName>
    <definedName name="header_反力RZ9" localSheetId="14">計算・出力!$CG$48</definedName>
    <definedName name="header_部材1" localSheetId="9">荷重強度!$B$5:$B$6</definedName>
    <definedName name="header_部材2" localSheetId="9">荷重強度!$C$5:$C$6</definedName>
    <definedName name="header_変位X1" localSheetId="14">計算・出力!$C$30</definedName>
    <definedName name="header_変位X10" localSheetId="14">計算・出力!$CO$30</definedName>
    <definedName name="header_変位X11" localSheetId="14">計算・出力!$CY$30</definedName>
    <definedName name="header_変位X12" localSheetId="14">計算・出力!$DI$30</definedName>
    <definedName name="header_変位X13" localSheetId="14">計算・出力!$DS$30</definedName>
    <definedName name="header_変位X14" localSheetId="14">計算・出力!$EC$30</definedName>
    <definedName name="header_変位X15" localSheetId="14">計算・出力!$EM$30</definedName>
    <definedName name="header_変位X16" localSheetId="14">計算・出力!$EW$30</definedName>
    <definedName name="header_変位X17" localSheetId="14">計算・出力!$FG$30</definedName>
    <definedName name="header_変位X2" localSheetId="14">計算・出力!$M$30</definedName>
    <definedName name="header_変位X3" localSheetId="14">計算・出力!$W$30</definedName>
    <definedName name="header_変位X4" localSheetId="14">計算・出力!$AG$30</definedName>
    <definedName name="header_変位X5" localSheetId="14">計算・出力!$AQ$30</definedName>
    <definedName name="header_変位X6" localSheetId="14">計算・出力!$BA$30</definedName>
    <definedName name="header_変位X7" localSheetId="14">計算・出力!$BK$30</definedName>
    <definedName name="header_変位X8" localSheetId="14">計算・出力!$BU$30</definedName>
    <definedName name="header_変位X9" localSheetId="14">計算・出力!$CE$30</definedName>
    <definedName name="header_変位Y1" localSheetId="14">計算・出力!$D$30</definedName>
    <definedName name="header_変位Y10" localSheetId="14">計算・出力!$CP$30</definedName>
    <definedName name="header_変位Y11" localSheetId="14">計算・出力!$CZ$30</definedName>
    <definedName name="header_変位Y12" localSheetId="14">計算・出力!$DJ$30</definedName>
    <definedName name="header_変位Y13" localSheetId="14">計算・出力!$DT$30</definedName>
    <definedName name="header_変位Y14" localSheetId="14">計算・出力!$ED$30</definedName>
    <definedName name="header_変位Y15" localSheetId="14">計算・出力!$EN$30</definedName>
    <definedName name="header_変位Y16" localSheetId="14">計算・出力!$EX$30</definedName>
    <definedName name="header_変位Y17" localSheetId="14">計算・出力!$FH$30</definedName>
    <definedName name="header_変位Y2" localSheetId="14">計算・出力!$N$30</definedName>
    <definedName name="header_変位Y3" localSheetId="14">計算・出力!$X$30</definedName>
    <definedName name="header_変位Y4" localSheetId="14">計算・出力!$AH$30</definedName>
    <definedName name="header_変位Y5" localSheetId="14">計算・出力!$AR$30</definedName>
    <definedName name="header_変位Y6" localSheetId="14">計算・出力!$BB$30</definedName>
    <definedName name="header_変位Y7" localSheetId="14">計算・出力!$BL$30</definedName>
    <definedName name="header_変位Y8" localSheetId="14">計算・出力!$BV$30</definedName>
    <definedName name="header_変位Y9" localSheetId="14">計算・出力!$CF$30</definedName>
    <definedName name="header_変位Z1" localSheetId="14">計算・出力!$E$30</definedName>
    <definedName name="header_変位Z10" localSheetId="14">計算・出力!$CQ$30</definedName>
    <definedName name="header_変位Z11" localSheetId="14">計算・出力!$DA$30</definedName>
    <definedName name="header_変位Z12" localSheetId="14">計算・出力!$DK$30</definedName>
    <definedName name="header_変位Z13" localSheetId="14">計算・出力!$DU$30</definedName>
    <definedName name="header_変位Z14" localSheetId="14">計算・出力!$EE$30</definedName>
    <definedName name="header_変位Z15" localSheetId="14">計算・出力!$EO$30</definedName>
    <definedName name="header_変位Z16" localSheetId="14">計算・出力!$EY$30</definedName>
    <definedName name="header_変位Z17" localSheetId="14">計算・出力!$FI$30</definedName>
    <definedName name="header_変位Z2" localSheetId="14">計算・出力!$O$30</definedName>
    <definedName name="header_変位Z3" localSheetId="14">計算・出力!$Y$30</definedName>
    <definedName name="header_変位Z4" localSheetId="14">計算・出力!$AI$30</definedName>
    <definedName name="header_変位Z5" localSheetId="14">計算・出力!$AS$30</definedName>
    <definedName name="header_変位Z6" localSheetId="14">計算・出力!$BC$30</definedName>
    <definedName name="header_変位Z7" localSheetId="14">計算・出力!$BM$30</definedName>
    <definedName name="header_変位Z8" localSheetId="14">計算・出力!$BW$30</definedName>
    <definedName name="header_変位Z9" localSheetId="14">計算・出力!$CG$30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荷重強度!$A$1:$P$16</definedName>
    <definedName name="_xlnm.Print_Area" localSheetId="8">荷重名称!$A$1:$H$26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7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10" localSheetId="14">計算・出力!$CO$7</definedName>
    <definedName name="荷重No11" localSheetId="14">計算・出力!$CY$7</definedName>
    <definedName name="荷重No12" localSheetId="14">計算・出力!$DI$7</definedName>
    <definedName name="荷重No13" localSheetId="14">計算・出力!$DS$7</definedName>
    <definedName name="荷重No14" localSheetId="14">計算・出力!$EC$7</definedName>
    <definedName name="荷重No15" localSheetId="14">計算・出力!$EM$7</definedName>
    <definedName name="荷重No16" localSheetId="14">計算・出力!$EW$7</definedName>
    <definedName name="荷重No17" localSheetId="14">計算・出力!$FG$7</definedName>
    <definedName name="荷重No2" localSheetId="14">計算・出力!$M$7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荷重No7" localSheetId="14">計算・出力!$BK$7</definedName>
    <definedName name="荷重No8" localSheetId="14">計算・出力!$BU$7</definedName>
    <definedName name="荷重No9" localSheetId="14">計算・出力!$CE$7</definedName>
    <definedName name="割増係数_header" localSheetId="8">荷重名称!$A$4:$A$5</definedName>
    <definedName name="割増係数1" localSheetId="14">計算・出力!$B$7</definedName>
    <definedName name="割増係数10" localSheetId="14">計算・出力!$CN$7</definedName>
    <definedName name="割増係数11" localSheetId="14">計算・出力!$CX$7</definedName>
    <definedName name="割増係数12" localSheetId="14">計算・出力!$DH$7</definedName>
    <definedName name="割増係数13" localSheetId="14">計算・出力!$DR$7</definedName>
    <definedName name="割増係数14" localSheetId="14">計算・出力!$EB$7</definedName>
    <definedName name="割増係数15" localSheetId="14">計算・出力!$EL$7</definedName>
    <definedName name="割増係数16" localSheetId="14">計算・出力!$EV$7</definedName>
    <definedName name="割増係数17" localSheetId="14">計算・出力!$FF$7</definedName>
    <definedName name="割増係数2" localSheetId="14">計算・出力!$L$7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割増係数7" localSheetId="14">計算・出力!$BJ$7</definedName>
    <definedName name="割増係数8" localSheetId="14">計算・出力!$BT$7</definedName>
    <definedName name="割増係数9" localSheetId="14">計算・出力!$CD$7</definedName>
    <definedName name="記号_header" localSheetId="8">荷重名称!$C$4:$C$5</definedName>
    <definedName name="記号1" localSheetId="14">計算・出力!$D$7</definedName>
    <definedName name="記号10" localSheetId="14">計算・出力!$CP$7</definedName>
    <definedName name="記号11" localSheetId="14">計算・出力!$CZ$7</definedName>
    <definedName name="記号12" localSheetId="14">計算・出力!$DJ$7</definedName>
    <definedName name="記号13" localSheetId="14">計算・出力!$DT$7</definedName>
    <definedName name="記号14" localSheetId="14">計算・出力!$ED$7</definedName>
    <definedName name="記号15" localSheetId="14">計算・出力!$EN$7</definedName>
    <definedName name="記号16" localSheetId="14">計算・出力!$EX$7</definedName>
    <definedName name="記号17" localSheetId="14">計算・出力!$FH$7</definedName>
    <definedName name="記号2" localSheetId="14">計算・出力!$N$7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記号7" localSheetId="14">計算・出力!$BL$7</definedName>
    <definedName name="記号8" localSheetId="14">計算・出力!$BV$7</definedName>
    <definedName name="記号9" localSheetId="14">計算・出力!$CF$7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10" localSheetId="14">計算・出力!$CO$9</definedName>
    <definedName name="節点数11" localSheetId="14">計算・出力!$CY$9</definedName>
    <definedName name="節点数12" localSheetId="14">計算・出力!$DI$9</definedName>
    <definedName name="節点数13" localSheetId="14">計算・出力!$DS$9</definedName>
    <definedName name="節点数14" localSheetId="14">計算・出力!$EC$9</definedName>
    <definedName name="節点数15" localSheetId="14">計算・出力!$EM$9</definedName>
    <definedName name="節点数16" localSheetId="14">計算・出力!$EW$9</definedName>
    <definedName name="節点数17" localSheetId="14">計算・出力!$FG$9</definedName>
    <definedName name="節点数2" localSheetId="14">計算・出力!$M$9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節点数7" localSheetId="14">計算・出力!$BK$9</definedName>
    <definedName name="節点数8" localSheetId="14">計算・出力!$BU$9</definedName>
    <definedName name="節点数9" localSheetId="14">計算・出力!$CE$9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10" localSheetId="14">計算・出力!$CQ$7</definedName>
    <definedName name="名称11" localSheetId="14">計算・出力!$DA$7</definedName>
    <definedName name="名称12" localSheetId="14">計算・出力!$DK$7</definedName>
    <definedName name="名称13" localSheetId="14">計算・出力!$DU$7</definedName>
    <definedName name="名称14" localSheetId="14">計算・出力!$EE$7</definedName>
    <definedName name="名称15" localSheetId="14">計算・出力!$EO$7</definedName>
    <definedName name="名称16" localSheetId="14">計算・出力!$EY$7</definedName>
    <definedName name="名称17" localSheetId="14">計算・出力!$FI$7</definedName>
    <definedName name="名称2" localSheetId="14">計算・出力!$O$7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名称7" localSheetId="14">計算・出力!$BM$7</definedName>
    <definedName name="名称8" localSheetId="14">計算・出力!$BW$7</definedName>
    <definedName name="名称9" localSheetId="14">計算・出力!$CG$7</definedName>
    <definedName name="要素数1" localSheetId="14">計算・出力!$C$65</definedName>
    <definedName name="要素数10" localSheetId="14">計算・出力!$CO$65</definedName>
    <definedName name="要素数11" localSheetId="14">計算・出力!$CY$65</definedName>
    <definedName name="要素数12" localSheetId="14">計算・出力!$DI$65</definedName>
    <definedName name="要素数13" localSheetId="14">計算・出力!$DS$65</definedName>
    <definedName name="要素数14" localSheetId="14">計算・出力!$EC$65</definedName>
    <definedName name="要素数15" localSheetId="14">計算・出力!$EM$65</definedName>
    <definedName name="要素数16" localSheetId="14">計算・出力!$EW$65</definedName>
    <definedName name="要素数17" localSheetId="14">計算・出力!$FG$65</definedName>
    <definedName name="要素数2" localSheetId="14">計算・出力!$M$65</definedName>
    <definedName name="要素数3" localSheetId="14">計算・出力!$W$65</definedName>
    <definedName name="要素数4" localSheetId="14">計算・出力!$AG$65</definedName>
    <definedName name="要素数5" localSheetId="14">計算・出力!$AQ$65</definedName>
    <definedName name="要素数6" localSheetId="14">計算・出力!$BA$65</definedName>
    <definedName name="要素数7" localSheetId="14">計算・出力!$BK$65</definedName>
    <definedName name="要素数8" localSheetId="14">計算・出力!$BU$65</definedName>
    <definedName name="要素数9" localSheetId="14">計算・出力!$CE$65</definedName>
  </definedNames>
  <calcPr calcId="152511"/>
</workbook>
</file>

<file path=xl/calcChain.xml><?xml version="1.0" encoding="utf-8"?>
<calcChain xmlns="http://schemas.openxmlformats.org/spreadsheetml/2006/main">
  <c r="J26" i="28" l="1"/>
  <c r="K26" i="28" s="1"/>
  <c r="K27" i="28" s="1"/>
  <c r="L27" i="28" s="1"/>
  <c r="J28" i="28" s="1"/>
  <c r="L28" i="28" s="1"/>
  <c r="I25" i="28"/>
  <c r="N21" i="28"/>
  <c r="O21" i="28" s="1"/>
  <c r="O22" i="28" s="1"/>
  <c r="P22" i="28" s="1"/>
  <c r="N23" i="28" s="1"/>
  <c r="M20" i="28"/>
  <c r="Q13" i="28"/>
  <c r="Q12" i="28"/>
  <c r="Q11" i="28"/>
  <c r="J11" i="28"/>
  <c r="J15" i="28" s="1"/>
  <c r="I10" i="28"/>
  <c r="I14" i="28" s="1"/>
  <c r="J7" i="28"/>
  <c r="K7" i="28" s="1"/>
  <c r="K8" i="28" s="1"/>
  <c r="L8" i="28" s="1"/>
  <c r="J9" i="28" s="1"/>
  <c r="L9" i="28" s="1"/>
  <c r="I6" i="28"/>
  <c r="C23" i="27"/>
  <c r="C22" i="27"/>
  <c r="C21" i="27"/>
  <c r="C20" i="27"/>
  <c r="E8" i="14"/>
  <c r="P23" i="28" l="1"/>
  <c r="O24" i="28"/>
  <c r="K11" i="28"/>
  <c r="K12" i="28" l="1"/>
  <c r="K15" i="28"/>
  <c r="K16" i="28" l="1"/>
  <c r="L12" i="28"/>
  <c r="J13" i="28" l="1"/>
  <c r="L16" i="28"/>
  <c r="J17" i="28" l="1"/>
  <c r="L13" i="28"/>
  <c r="L17" i="28" s="1"/>
</calcChain>
</file>

<file path=xl/sharedStrings.xml><?xml version="1.0" encoding="utf-8"?>
<sst xmlns="http://schemas.openxmlformats.org/spreadsheetml/2006/main" count="1878" uniqueCount="269">
  <si>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</si>
  <si>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</si>
  <si>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</si>
  <si>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</si>
  <si>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</si>
  <si>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</si>
  <si>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</si>
  <si>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</si>
  <si>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</si>
  <si>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</si>
  <si>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</si>
  <si>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</si>
  <si>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</si>
  <si>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</si>
  <si>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</si>
  <si>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</si>
  <si>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</si>
  <si>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</si>
  <si>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</si>
  <si>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</si>
  <si>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</si>
  <si>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</si>
  <si>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</si>
  <si>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</si>
  <si>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</si>
  <si>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</si>
  <si>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</si>
  <si>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</si>
  <si>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</si>
  <si>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</si>
  <si>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</si>
  <si>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</si>
  <si>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</si>
  <si>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</si>
  <si>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</si>
  <si>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</si>
  <si>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</si>
  <si>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</si>
  <si>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</si>
  <si>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</si>
  <si>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</si>
  <si>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</si>
  <si>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</si>
  <si>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</si>
  <si>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</si>
  <si>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</si>
  <si>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</si>
  <si>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</si>
  <si>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</si>
  <si>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</si>
  <si>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</si>
  <si>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</si>
  <si>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</si>
  <si>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</si>
  <si>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</si>
  <si>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</si>
  <si>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</si>
  <si>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</si>
  <si>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</si>
  <si>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</si>
  <si>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</si>
  <si>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</si>
  <si>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</si>
  <si>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</si>
  <si>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</si>
  <si>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</si>
  <si>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</si>
  <si>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</si>
  <si>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</si>
  <si>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</si>
  <si>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</si>
  <si>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</si>
  <si>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</si>
  <si>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</si>
  <si>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</si>
  <si>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</si>
  <si>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</si>
  <si>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</si>
  <si>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</si>
  <si>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</si>
  <si>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</si>
  <si>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</si>
  <si>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</si>
  <si>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</si>
  <si>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</si>
  <si>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</si>
  <si>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</si>
  <si>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</si>
  <si>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</si>
  <si>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</si>
  <si>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</si>
  <si>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</si>
  <si>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</si>
  <si>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</si>
  <si>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</si>
  <si>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</si>
  <si>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</si>
  <si>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</si>
  <si>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</si>
  <si>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</si>
  <si>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</si>
  <si>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</si>
  <si>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</si>
  <si>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</si>
  <si>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</si>
  <si>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</si>
  <si>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</si>
  <si>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</si>
  <si>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</si>
  <si>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</si>
  <si>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</si>
  <si>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</si>
  <si>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</si>
  <si>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</si>
  <si>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</si>
  <si>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</si>
  <si>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</si>
  <si>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</si>
  <si>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</si>
  <si>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</si>
  <si>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</si>
  <si>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</si>
  <si>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</si>
  <si>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</si>
  <si>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</si>
  <si>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</si>
  <si>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</si>
  <si>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</si>
  <si>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</si>
  <si>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</si>
  <si>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</si>
  <si>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</si>
  <si>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</si>
  <si>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</si>
  <si>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</si>
  <si>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</si>
  <si>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</si>
  <si>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</si>
  <si>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着目点</t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</si>
  <si>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</si>
  <si>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</si>
  <si>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</si>
  <si>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</si>
  <si>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</si>
  <si>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D1</t>
  </si>
  <si>
    <t>no</t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</si>
  <si>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</si>
  <si>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</si>
  <si>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</si>
  <si>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</si>
  <si>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</si>
  <si>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</si>
  <si>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</si>
  <si>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</si>
  <si>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</si>
  <si>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</si>
  <si>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</si>
  <si>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</si>
  <si>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</si>
  <si>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</si>
  <si>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</si>
  <si>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</si>
  <si>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</si>
  <si>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</si>
  <si>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</si>
  <si>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</si>
  <si>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</si>
  <si>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</si>
  <si>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固定死荷重</t>
    <rPh sb="0" eb="2">
      <t>コテイ</t>
    </rPh>
    <rPh sb="2" eb="5">
      <t>シカジュウ</t>
    </rPh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</si>
  <si>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</si>
  <si>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</si>
  <si>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</si>
  <si>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</si>
  <si>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</si>
  <si>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</si>
  <si>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Comb
No</t>
    <phoneticPr fontId="2"/>
  </si>
  <si>
    <t>PickUpNo</t>
    <phoneticPr fontId="71"/>
  </si>
  <si>
    <t>固定死荷重</t>
  </si>
  <si>
    <t>http://structuralengine.com</t>
    <phoneticPr fontId="2"/>
  </si>
  <si>
    <t>y</t>
    <phoneticPr fontId="2"/>
  </si>
  <si>
    <t>W2</t>
  </si>
  <si>
    <t>D2</t>
  </si>
  <si>
    <t>付加死荷重</t>
    <rPh sb="0" eb="2">
      <t>フカ</t>
    </rPh>
    <rPh sb="2" eb="5">
      <t>シカジュウ</t>
    </rPh>
    <phoneticPr fontId="2"/>
  </si>
  <si>
    <t>SH</t>
    <phoneticPr fontId="2"/>
  </si>
  <si>
    <t>乾燥収縮</t>
    <rPh sb="0" eb="2">
      <t>カンソウ</t>
    </rPh>
    <rPh sb="2" eb="4">
      <t>シュウシュク</t>
    </rPh>
    <phoneticPr fontId="2"/>
  </si>
  <si>
    <t>T</t>
    <phoneticPr fontId="2"/>
  </si>
  <si>
    <t>温度変化</t>
    <rPh sb="0" eb="2">
      <t>オンド</t>
    </rPh>
    <rPh sb="2" eb="4">
      <t>ヘンカ</t>
    </rPh>
    <phoneticPr fontId="2"/>
  </si>
  <si>
    <t>Sw2</t>
    <phoneticPr fontId="2"/>
  </si>
  <si>
    <t>雪(2年)</t>
    <rPh sb="0" eb="1">
      <t>ユキ</t>
    </rPh>
    <rPh sb="3" eb="4">
      <t>ネン</t>
    </rPh>
    <phoneticPr fontId="2"/>
  </si>
  <si>
    <t>Sw10</t>
    <phoneticPr fontId="2"/>
  </si>
  <si>
    <t>雪(10年)</t>
    <rPh sb="0" eb="1">
      <t>ユキ</t>
    </rPh>
    <rPh sb="4" eb="5">
      <t>ネン</t>
    </rPh>
    <phoneticPr fontId="2"/>
  </si>
  <si>
    <t>Sw100</t>
    <phoneticPr fontId="2"/>
  </si>
  <si>
    <t>雪(100年)</t>
    <rPh sb="0" eb="1">
      <t>ユキ</t>
    </rPh>
    <rPh sb="5" eb="6">
      <t>ネン</t>
    </rPh>
    <phoneticPr fontId="2"/>
  </si>
  <si>
    <t>L11</t>
    <phoneticPr fontId="2"/>
  </si>
  <si>
    <t>列車荷重(安全性)下り本線</t>
    <rPh sb="0" eb="2">
      <t>レッシャ</t>
    </rPh>
    <rPh sb="2" eb="4">
      <t>カジュウ</t>
    </rPh>
    <rPh sb="5" eb="8">
      <t>アンゼンセイ</t>
    </rPh>
    <rPh sb="9" eb="10">
      <t>クダ</t>
    </rPh>
    <rPh sb="11" eb="13">
      <t>ホンセン</t>
    </rPh>
    <phoneticPr fontId="2"/>
  </si>
  <si>
    <t>L12</t>
  </si>
  <si>
    <t>列車荷重(安全性)上り本線</t>
    <rPh sb="0" eb="2">
      <t>レッシャ</t>
    </rPh>
    <rPh sb="2" eb="4">
      <t>カジュウ</t>
    </rPh>
    <rPh sb="5" eb="8">
      <t>アンゼンセイ</t>
    </rPh>
    <rPh sb="9" eb="10">
      <t>ノボ</t>
    </rPh>
    <rPh sb="11" eb="13">
      <t>ホンセン</t>
    </rPh>
    <phoneticPr fontId="2"/>
  </si>
  <si>
    <t>L13</t>
  </si>
  <si>
    <t>列車荷重(安全性)保守基地線</t>
    <rPh sb="0" eb="2">
      <t>レッシャ</t>
    </rPh>
    <rPh sb="2" eb="4">
      <t>カジュウ</t>
    </rPh>
    <rPh sb="5" eb="8">
      <t>アンゼンセイ</t>
    </rPh>
    <rPh sb="9" eb="14">
      <t>ホシュキチセン</t>
    </rPh>
    <phoneticPr fontId="2"/>
  </si>
  <si>
    <t>L21</t>
    <phoneticPr fontId="2"/>
  </si>
  <si>
    <t>列車荷重(使用性)下り本線</t>
    <rPh sb="0" eb="2">
      <t>レッシャ</t>
    </rPh>
    <rPh sb="2" eb="4">
      <t>カジュウ</t>
    </rPh>
    <rPh sb="9" eb="10">
      <t>クダ</t>
    </rPh>
    <rPh sb="11" eb="13">
      <t>ホンセン</t>
    </rPh>
    <phoneticPr fontId="2"/>
  </si>
  <si>
    <t>L22</t>
  </si>
  <si>
    <t>列車荷重(使用性)上り本線</t>
    <rPh sb="0" eb="2">
      <t>レッシャ</t>
    </rPh>
    <rPh sb="2" eb="4">
      <t>カジュウ</t>
    </rPh>
    <rPh sb="9" eb="10">
      <t>ノボ</t>
    </rPh>
    <rPh sb="11" eb="13">
      <t>ホンセン</t>
    </rPh>
    <phoneticPr fontId="2"/>
  </si>
  <si>
    <t>L23</t>
  </si>
  <si>
    <t>列車荷重(使用性)保守基地線</t>
    <rPh sb="0" eb="2">
      <t>レッシャ</t>
    </rPh>
    <rPh sb="2" eb="4">
      <t>カジュウ</t>
    </rPh>
    <rPh sb="9" eb="14">
      <t>ホシュキチセン</t>
    </rPh>
    <phoneticPr fontId="2"/>
  </si>
  <si>
    <t>LF1</t>
    <phoneticPr fontId="2"/>
  </si>
  <si>
    <t>車両横荷重(安全性)</t>
    <rPh sb="0" eb="2">
      <t>シャリョウ</t>
    </rPh>
    <rPh sb="2" eb="3">
      <t>ヨコ</t>
    </rPh>
    <rPh sb="3" eb="5">
      <t>カジュウ</t>
    </rPh>
    <rPh sb="6" eb="9">
      <t>アンゼンセイ</t>
    </rPh>
    <phoneticPr fontId="2"/>
  </si>
  <si>
    <t>LF2</t>
  </si>
  <si>
    <t>車両横荷重(使用性)</t>
    <rPh sb="0" eb="2">
      <t>シャリョウ</t>
    </rPh>
    <rPh sb="2" eb="3">
      <t>ヨコ</t>
    </rPh>
    <rPh sb="3" eb="5">
      <t>カジュウ</t>
    </rPh>
    <rPh sb="6" eb="9">
      <t>シヨウセイ</t>
    </rPh>
    <phoneticPr fontId="2"/>
  </si>
  <si>
    <t>W1</t>
    <phoneticPr fontId="2"/>
  </si>
  <si>
    <t>風荷重(列車あり)</t>
    <rPh sb="0" eb="1">
      <t>カゼ</t>
    </rPh>
    <rPh sb="1" eb="3">
      <t>カジュウ</t>
    </rPh>
    <rPh sb="4" eb="6">
      <t>レッシャ</t>
    </rPh>
    <phoneticPr fontId="2"/>
  </si>
  <si>
    <t>風荷重(列車なし)</t>
    <rPh sb="0" eb="1">
      <t>カゼ</t>
    </rPh>
    <rPh sb="1" eb="3">
      <t>カジュウ</t>
    </rPh>
    <rPh sb="4" eb="6">
      <t>レッシャ</t>
    </rPh>
    <phoneticPr fontId="2"/>
  </si>
  <si>
    <t>y</t>
    <phoneticPr fontId="2"/>
  </si>
  <si>
    <t>0</t>
    <phoneticPr fontId="2"/>
  </si>
  <si>
    <t>x</t>
    <phoneticPr fontId="2"/>
  </si>
  <si>
    <t>x</t>
    <phoneticPr fontId="2"/>
  </si>
  <si>
    <t>0</t>
    <phoneticPr fontId="2"/>
  </si>
  <si>
    <t>x</t>
    <phoneticPr fontId="2"/>
  </si>
  <si>
    <t>y</t>
    <phoneticPr fontId="2"/>
  </si>
  <si>
    <t>DEFINEケース</t>
    <phoneticPr fontId="71"/>
  </si>
  <si>
    <t>付加死荷重</t>
  </si>
  <si>
    <t>SH</t>
  </si>
  <si>
    <t>乾燥収縮</t>
  </si>
  <si>
    <t>T</t>
  </si>
  <si>
    <t>温度変化</t>
  </si>
  <si>
    <t>Sw2</t>
  </si>
  <si>
    <t>雪(2年)</t>
  </si>
  <si>
    <t>Sw10</t>
  </si>
  <si>
    <t>雪(10年)</t>
  </si>
  <si>
    <t>Sw100</t>
  </si>
  <si>
    <t>雪(100年)</t>
  </si>
  <si>
    <t>L11</t>
  </si>
  <si>
    <t>列車荷重(安全性)下り本線</t>
  </si>
  <si>
    <t>列車荷重(安全性)上り本線</t>
  </si>
  <si>
    <t>列車荷重(安全性)保守基地線</t>
  </si>
  <si>
    <t>L21</t>
  </si>
  <si>
    <t>列車荷重(使用性)下り本線</t>
  </si>
  <si>
    <t>列車荷重(使用性)上り本線</t>
  </si>
  <si>
    <t>列車荷重(使用性)保守基地線</t>
  </si>
  <si>
    <t>LF1</t>
  </si>
  <si>
    <t>車両横荷重(安全性)</t>
  </si>
  <si>
    <t>車両横荷重(使用性)</t>
  </si>
  <si>
    <t>W1</t>
  </si>
  <si>
    <t>風荷重(列車あり)</t>
  </si>
  <si>
    <t>風荷重(列車なし)</t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</si>
  <si>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</si>
  <si>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</si>
  <si>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</si>
  <si>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</si>
  <si>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</si>
  <si>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</si>
  <si>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</si>
  <si>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</si>
  <si>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</si>
  <si>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</si>
  <si>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</si>
  <si>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</si>
  <si>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M</t>
  </si>
  <si>
    <t>ITAN</t>
  </si>
  <si>
    <t>JTAN</t>
  </si>
  <si>
    <t>S</t>
  </si>
  <si>
    <t>N</t>
  </si>
  <si>
    <t>節点No</t>
  </si>
  <si>
    <t>最大X</t>
  </si>
  <si>
    <t>最大Y</t>
  </si>
  <si>
    <t>最大θ</t>
  </si>
  <si>
    <t>最小X</t>
  </si>
  <si>
    <t>最小Y</t>
  </si>
  <si>
    <t>最小θ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</si>
</sst>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  <numFmt numFmtId="186" formatCode="0.0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28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0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183" fontId="43" fillId="0" borderId="14" xfId="374" applyNumberFormat="1" applyFont="1" applyFill="1" applyBorder="1" applyProtection="1">
      <alignment vertical="center"/>
      <protection locked="0"/>
    </xf>
    <xf numFmtId="183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Fill="1" applyBorder="1" applyAlignment="1">
      <alignment horizontal="center" vertical="center"/>
    </xf>
    <xf numFmtId="2" fontId="53" fillId="0" borderId="14" xfId="0" applyNumberFormat="1" applyFont="1" applyBorder="1" applyAlignment="1">
      <alignment horizontal="center" vertical="center"/>
    </xf>
    <xf numFmtId="185" fontId="67" fillId="0" borderId="18" xfId="374" applyNumberFormat="1" applyFont="1" applyFill="1" applyBorder="1" applyProtection="1">
      <alignment vertical="center"/>
      <protection locked="0"/>
    </xf>
    <xf numFmtId="184" fontId="53" fillId="0" borderId="14" xfId="0" applyNumberFormat="1" applyFont="1" applyFill="1" applyBorder="1" applyAlignment="1">
      <alignment horizontal="right" vertical="center"/>
    </xf>
    <xf numFmtId="2" fontId="53" fillId="0" borderId="14" xfId="0" applyNumberFormat="1" applyFont="1" applyFill="1" applyBorder="1" applyAlignment="1">
      <alignment horizontal="center" vertical="center" shrinkToFit="1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  <xf numFmtId="184" fontId="23" fillId="0" borderId="14" xfId="0" applyNumberFormat="1" applyFont="1" applyFill="1" applyBorder="1" applyAlignment="1" applyProtection="1">
      <alignment vertical="center"/>
      <protection locked="0"/>
    </xf>
    <xf numFmtId="183" fontId="23" fillId="0" borderId="14" xfId="374" applyNumberFormat="1" applyFont="1" applyFill="1" applyBorder="1" applyAlignment="1" applyProtection="1">
      <alignment horizontal="center" vertical="center"/>
      <protection locked="0"/>
    </xf>
    <xf numFmtId="185" fontId="23" fillId="0" borderId="14" xfId="374" applyNumberFormat="1" applyFont="1" applyFill="1" applyBorder="1" applyProtection="1">
      <alignment vertical="center"/>
      <protection locked="0"/>
    </xf>
    <xf numFmtId="0" fontId="43" fillId="26" borderId="14" xfId="374" applyFont="1" applyFill="1" applyBorder="1" applyAlignment="1" applyProtection="1">
      <alignment horizontal="center" vertical="center"/>
    </xf>
    <xf numFmtId="0" fontId="43" fillId="0" borderId="14" xfId="0" applyNumberFormat="1" applyFont="1" applyFill="1" applyBorder="1" applyAlignment="1" applyProtection="1">
      <alignment horizontal="center" vertical="center"/>
      <protection locked="0"/>
    </xf>
    <xf numFmtId="184" fontId="43" fillId="26" borderId="14" xfId="374" applyNumberFormat="1" applyFont="1" applyFill="1" applyBorder="1" applyProtection="1">
      <alignment vertical="center"/>
    </xf>
    <xf numFmtId="0" fontId="43" fillId="0" borderId="15" xfId="374" applyFont="1" applyFill="1" applyBorder="1" applyAlignment="1" applyProtection="1">
      <alignment horizontal="center" vertical="center"/>
      <protection locked="0"/>
    </xf>
    <xf numFmtId="0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14" xfId="374" applyFont="1" applyFill="1" applyBorder="1" applyProtection="1">
      <alignment vertical="center"/>
      <protection locked="0"/>
    </xf>
    <xf numFmtId="11" fontId="23" fillId="0" borderId="14" xfId="374" applyNumberFormat="1" applyFont="1" applyBorder="1" applyProtection="1">
      <alignment vertical="center"/>
      <protection locked="0"/>
    </xf>
    <xf numFmtId="0" fontId="23" fillId="0" borderId="14" xfId="374" applyFont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protection locked="0"/>
    </xf>
    <xf numFmtId="0" fontId="23" fillId="26" borderId="14" xfId="374" applyFont="1" applyFill="1" applyBorder="1" applyAlignment="1" applyProtection="1"/>
    <xf numFmtId="0" fontId="23" fillId="0" borderId="14" xfId="0" applyFont="1" applyBorder="1" applyAlignment="1" applyProtection="1">
      <protection locked="0"/>
    </xf>
    <xf numFmtId="0" fontId="23" fillId="26" borderId="14" xfId="0" applyFont="1" applyFill="1" applyBorder="1" applyAlignment="1" applyProtection="1"/>
    <xf numFmtId="184" fontId="23" fillId="0" borderId="14" xfId="374" applyNumberFormat="1" applyFont="1" applyFill="1" applyBorder="1" applyAlignment="1" applyProtection="1">
      <alignment horizontal="right" vertical="center"/>
      <protection locked="0"/>
    </xf>
    <xf numFmtId="183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alignment horizontal="center" vertical="center"/>
      <protection locked="0"/>
    </xf>
    <xf numFmtId="49" fontId="23" fillId="0" borderId="14" xfId="374" applyNumberFormat="1" applyFont="1" applyFill="1" applyBorder="1" applyAlignment="1" applyProtection="1">
      <alignment horizontal="center" vertical="center"/>
      <protection locked="0"/>
    </xf>
    <xf numFmtId="186" fontId="23" fillId="0" borderId="14" xfId="374" applyNumberFormat="1" applyFont="1" applyFill="1" applyBorder="1" applyAlignment="1" applyProtection="1">
      <alignment horizontal="right" vertical="center"/>
      <protection locked="0"/>
    </xf>
    <xf numFmtId="186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0" xfId="374" applyFont="1" applyProtection="1">
      <alignment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101600</xdr:colOff>
      <xdr:row>7</xdr:row>
      <xdr:rowOff>2589</xdr:rowOff>
    </xdr:from>
    <xdr:to>
      <xdr:col>8</xdr:col>
      <xdr:colOff>152400</xdr:colOff>
      <xdr:row>7</xdr:row>
      <xdr:rowOff>53389</xdr:rowOff>
    </xdr:to>
    <xdr:sp macro="" textlink="">
      <xdr:nvSpPr>
        <xdr:cNvPr id="26" name="円/楕円 25"/>
        <xdr:cNvSpPr/>
      </xdr:nvSpPr>
      <xdr:spPr bwMode="auto">
        <a:xfrm>
          <a:off x="3644900" y="126941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119993</xdr:colOff>
      <xdr:row>7</xdr:row>
      <xdr:rowOff>2589</xdr:rowOff>
    </xdr:from>
    <xdr:to>
      <xdr:col>9</xdr:col>
      <xdr:colOff>170793</xdr:colOff>
      <xdr:row>7</xdr:row>
      <xdr:rowOff>53389</xdr:rowOff>
    </xdr:to>
    <xdr:sp macro="" textlink="">
      <xdr:nvSpPr>
        <xdr:cNvPr id="27" name="円/楕円 26"/>
        <xdr:cNvSpPr/>
      </xdr:nvSpPr>
      <xdr:spPr bwMode="auto">
        <a:xfrm>
          <a:off x="3882368" y="126941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23064</xdr:colOff>
      <xdr:row>7</xdr:row>
      <xdr:rowOff>2589</xdr:rowOff>
    </xdr:from>
    <xdr:to>
      <xdr:col>18</xdr:col>
      <xdr:colOff>73864</xdr:colOff>
      <xdr:row>7</xdr:row>
      <xdr:rowOff>53389</xdr:rowOff>
    </xdr:to>
    <xdr:sp macro="" textlink="">
      <xdr:nvSpPr>
        <xdr:cNvPr id="28" name="円/楕円 27"/>
        <xdr:cNvSpPr/>
      </xdr:nvSpPr>
      <xdr:spPr bwMode="auto">
        <a:xfrm>
          <a:off x="5757114" y="126941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145211</xdr:colOff>
      <xdr:row>7</xdr:row>
      <xdr:rowOff>2589</xdr:rowOff>
    </xdr:from>
    <xdr:to>
      <xdr:col>26</xdr:col>
      <xdr:colOff>196011</xdr:colOff>
      <xdr:row>7</xdr:row>
      <xdr:rowOff>53389</xdr:rowOff>
    </xdr:to>
    <xdr:sp macro="" textlink="">
      <xdr:nvSpPr>
        <xdr:cNvPr id="29" name="円/楕円 28"/>
        <xdr:cNvSpPr/>
      </xdr:nvSpPr>
      <xdr:spPr bwMode="auto">
        <a:xfrm>
          <a:off x="7631861" y="126941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48282</xdr:colOff>
      <xdr:row>7</xdr:row>
      <xdr:rowOff>2589</xdr:rowOff>
    </xdr:from>
    <xdr:to>
      <xdr:col>35</xdr:col>
      <xdr:colOff>99082</xdr:colOff>
      <xdr:row>7</xdr:row>
      <xdr:rowOff>53389</xdr:rowOff>
    </xdr:to>
    <xdr:sp macro="" textlink="">
      <xdr:nvSpPr>
        <xdr:cNvPr id="30" name="円/楕円 29"/>
        <xdr:cNvSpPr/>
      </xdr:nvSpPr>
      <xdr:spPr bwMode="auto">
        <a:xfrm>
          <a:off x="9506607" y="126941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66675</xdr:colOff>
      <xdr:row>7</xdr:row>
      <xdr:rowOff>2589</xdr:rowOff>
    </xdr:from>
    <xdr:to>
      <xdr:col>36</xdr:col>
      <xdr:colOff>117475</xdr:colOff>
      <xdr:row>7</xdr:row>
      <xdr:rowOff>53389</xdr:rowOff>
    </xdr:to>
    <xdr:sp macro="" textlink="">
      <xdr:nvSpPr>
        <xdr:cNvPr id="31" name="円/楕円 30"/>
        <xdr:cNvSpPr/>
      </xdr:nvSpPr>
      <xdr:spPr bwMode="auto">
        <a:xfrm>
          <a:off x="9744075" y="126941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119993</xdr:colOff>
      <xdr:row>9</xdr:row>
      <xdr:rowOff>21838</xdr:rowOff>
    </xdr:from>
    <xdr:to>
      <xdr:col>9</xdr:col>
      <xdr:colOff>170793</xdr:colOff>
      <xdr:row>9</xdr:row>
      <xdr:rowOff>72638</xdr:rowOff>
    </xdr:to>
    <xdr:sp macro="" textlink="">
      <xdr:nvSpPr>
        <xdr:cNvPr id="67680" name="円/楕円 67679"/>
        <xdr:cNvSpPr/>
      </xdr:nvSpPr>
      <xdr:spPr bwMode="auto">
        <a:xfrm>
          <a:off x="3882368" y="165061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23064</xdr:colOff>
      <xdr:row>9</xdr:row>
      <xdr:rowOff>21838</xdr:rowOff>
    </xdr:from>
    <xdr:to>
      <xdr:col>18</xdr:col>
      <xdr:colOff>73864</xdr:colOff>
      <xdr:row>9</xdr:row>
      <xdr:rowOff>72638</xdr:rowOff>
    </xdr:to>
    <xdr:sp macro="" textlink="">
      <xdr:nvSpPr>
        <xdr:cNvPr id="67681" name="円/楕円 67680"/>
        <xdr:cNvSpPr/>
      </xdr:nvSpPr>
      <xdr:spPr bwMode="auto">
        <a:xfrm>
          <a:off x="5757114" y="165061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145211</xdr:colOff>
      <xdr:row>9</xdr:row>
      <xdr:rowOff>21838</xdr:rowOff>
    </xdr:from>
    <xdr:to>
      <xdr:col>26</xdr:col>
      <xdr:colOff>196011</xdr:colOff>
      <xdr:row>9</xdr:row>
      <xdr:rowOff>72638</xdr:rowOff>
    </xdr:to>
    <xdr:sp macro="" textlink="">
      <xdr:nvSpPr>
        <xdr:cNvPr id="67682" name="円/楕円 67681"/>
        <xdr:cNvSpPr/>
      </xdr:nvSpPr>
      <xdr:spPr bwMode="auto">
        <a:xfrm>
          <a:off x="7631861" y="165061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48282</xdr:colOff>
      <xdr:row>9</xdr:row>
      <xdr:rowOff>21838</xdr:rowOff>
    </xdr:from>
    <xdr:to>
      <xdr:col>35</xdr:col>
      <xdr:colOff>99082</xdr:colOff>
      <xdr:row>9</xdr:row>
      <xdr:rowOff>72638</xdr:rowOff>
    </xdr:to>
    <xdr:sp macro="" textlink="">
      <xdr:nvSpPr>
        <xdr:cNvPr id="67683" name="円/楕円 67682"/>
        <xdr:cNvSpPr/>
      </xdr:nvSpPr>
      <xdr:spPr bwMode="auto">
        <a:xfrm>
          <a:off x="9506607" y="165061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48282</xdr:colOff>
      <xdr:row>32</xdr:row>
      <xdr:rowOff>127586</xdr:rowOff>
    </xdr:from>
    <xdr:to>
      <xdr:col>35</xdr:col>
      <xdr:colOff>99082</xdr:colOff>
      <xdr:row>32</xdr:row>
      <xdr:rowOff>178386</xdr:rowOff>
    </xdr:to>
    <xdr:sp macro="" textlink="">
      <xdr:nvSpPr>
        <xdr:cNvPr id="67684" name="円/楕円 67683"/>
        <xdr:cNvSpPr/>
      </xdr:nvSpPr>
      <xdr:spPr bwMode="auto">
        <a:xfrm>
          <a:off x="9506607" y="59187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145211</xdr:colOff>
      <xdr:row>32</xdr:row>
      <xdr:rowOff>127586</xdr:rowOff>
    </xdr:from>
    <xdr:to>
      <xdr:col>26</xdr:col>
      <xdr:colOff>196011</xdr:colOff>
      <xdr:row>32</xdr:row>
      <xdr:rowOff>178386</xdr:rowOff>
    </xdr:to>
    <xdr:sp macro="" textlink="">
      <xdr:nvSpPr>
        <xdr:cNvPr id="67685" name="円/楕円 67684"/>
        <xdr:cNvSpPr/>
      </xdr:nvSpPr>
      <xdr:spPr bwMode="auto">
        <a:xfrm>
          <a:off x="7631861" y="59187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145211</xdr:colOff>
      <xdr:row>32</xdr:row>
      <xdr:rowOff>127586</xdr:rowOff>
    </xdr:from>
    <xdr:to>
      <xdr:col>26</xdr:col>
      <xdr:colOff>196011</xdr:colOff>
      <xdr:row>32</xdr:row>
      <xdr:rowOff>178386</xdr:rowOff>
    </xdr:to>
    <xdr:sp macro="" textlink="">
      <xdr:nvSpPr>
        <xdr:cNvPr id="67686" name="円/楕円 67685"/>
        <xdr:cNvSpPr/>
      </xdr:nvSpPr>
      <xdr:spPr bwMode="auto">
        <a:xfrm>
          <a:off x="7631861" y="59187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48282</xdr:colOff>
      <xdr:row>32</xdr:row>
      <xdr:rowOff>127586</xdr:rowOff>
    </xdr:from>
    <xdr:to>
      <xdr:col>35</xdr:col>
      <xdr:colOff>99082</xdr:colOff>
      <xdr:row>32</xdr:row>
      <xdr:rowOff>178386</xdr:rowOff>
    </xdr:to>
    <xdr:sp macro="" textlink="">
      <xdr:nvSpPr>
        <xdr:cNvPr id="67687" name="円/楕円 67686"/>
        <xdr:cNvSpPr/>
      </xdr:nvSpPr>
      <xdr:spPr bwMode="auto">
        <a:xfrm>
          <a:off x="9506607" y="59187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127000</xdr:colOff>
      <xdr:row>7</xdr:row>
      <xdr:rowOff>27989</xdr:rowOff>
    </xdr:from>
    <xdr:to>
      <xdr:col>9</xdr:col>
      <xdr:colOff>145393</xdr:colOff>
      <xdr:row>7</xdr:row>
      <xdr:rowOff>27989</xdr:rowOff>
    </xdr:to>
    <xdr:cxnSp macro="">
      <xdr:nvCxnSpPr>
        <xdr:cNvPr id="67688" name="直線コネクタ 67687"/>
        <xdr:cNvCxnSpPr/>
      </xdr:nvCxnSpPr>
      <xdr:spPr bwMode="auto">
        <a:xfrm>
          <a:off x="3670300" y="1294814"/>
          <a:ext cx="237468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145393</xdr:colOff>
      <xdr:row>7</xdr:row>
      <xdr:rowOff>27989</xdr:rowOff>
    </xdr:from>
    <xdr:to>
      <xdr:col>18</xdr:col>
      <xdr:colOff>48464</xdr:colOff>
      <xdr:row>7</xdr:row>
      <xdr:rowOff>27989</xdr:rowOff>
    </xdr:to>
    <xdr:cxnSp macro="">
      <xdr:nvCxnSpPr>
        <xdr:cNvPr id="67689" name="直線コネクタ 67688"/>
        <xdr:cNvCxnSpPr/>
      </xdr:nvCxnSpPr>
      <xdr:spPr bwMode="auto">
        <a:xfrm>
          <a:off x="3907768" y="1294814"/>
          <a:ext cx="187474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48464</xdr:colOff>
      <xdr:row>7</xdr:row>
      <xdr:rowOff>27989</xdr:rowOff>
    </xdr:from>
    <xdr:to>
      <xdr:col>26</xdr:col>
      <xdr:colOff>170611</xdr:colOff>
      <xdr:row>7</xdr:row>
      <xdr:rowOff>27989</xdr:rowOff>
    </xdr:to>
    <xdr:cxnSp macro="">
      <xdr:nvCxnSpPr>
        <xdr:cNvPr id="67690" name="直線コネクタ 67689"/>
        <xdr:cNvCxnSpPr/>
      </xdr:nvCxnSpPr>
      <xdr:spPr bwMode="auto">
        <a:xfrm>
          <a:off x="5782514" y="1294814"/>
          <a:ext cx="187474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170611</xdr:colOff>
      <xdr:row>7</xdr:row>
      <xdr:rowOff>27989</xdr:rowOff>
    </xdr:from>
    <xdr:to>
      <xdr:col>35</xdr:col>
      <xdr:colOff>73682</xdr:colOff>
      <xdr:row>7</xdr:row>
      <xdr:rowOff>27989</xdr:rowOff>
    </xdr:to>
    <xdr:cxnSp macro="">
      <xdr:nvCxnSpPr>
        <xdr:cNvPr id="67691" name="直線コネクタ 67690"/>
        <xdr:cNvCxnSpPr/>
      </xdr:nvCxnSpPr>
      <xdr:spPr bwMode="auto">
        <a:xfrm>
          <a:off x="7657261" y="1294814"/>
          <a:ext cx="187474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73682</xdr:colOff>
      <xdr:row>7</xdr:row>
      <xdr:rowOff>27989</xdr:rowOff>
    </xdr:from>
    <xdr:to>
      <xdr:col>36</xdr:col>
      <xdr:colOff>92075</xdr:colOff>
      <xdr:row>7</xdr:row>
      <xdr:rowOff>27989</xdr:rowOff>
    </xdr:to>
    <xdr:cxnSp macro="">
      <xdr:nvCxnSpPr>
        <xdr:cNvPr id="67692" name="直線コネクタ 67691"/>
        <xdr:cNvCxnSpPr/>
      </xdr:nvCxnSpPr>
      <xdr:spPr bwMode="auto">
        <a:xfrm>
          <a:off x="9532007" y="1294814"/>
          <a:ext cx="237468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145393</xdr:colOff>
      <xdr:row>7</xdr:row>
      <xdr:rowOff>27989</xdr:rowOff>
    </xdr:from>
    <xdr:to>
      <xdr:col>9</xdr:col>
      <xdr:colOff>145393</xdr:colOff>
      <xdr:row>9</xdr:row>
      <xdr:rowOff>47238</xdr:rowOff>
    </xdr:to>
    <xdr:cxnSp macro="">
      <xdr:nvCxnSpPr>
        <xdr:cNvPr id="67693" name="直線コネクタ 67692"/>
        <xdr:cNvCxnSpPr/>
      </xdr:nvCxnSpPr>
      <xdr:spPr bwMode="auto">
        <a:xfrm>
          <a:off x="3907768" y="1294814"/>
          <a:ext cx="0" cy="3811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145393</xdr:colOff>
      <xdr:row>9</xdr:row>
      <xdr:rowOff>47238</xdr:rowOff>
    </xdr:from>
    <xdr:to>
      <xdr:col>35</xdr:col>
      <xdr:colOff>73682</xdr:colOff>
      <xdr:row>32</xdr:row>
      <xdr:rowOff>152986</xdr:rowOff>
    </xdr:to>
    <xdr:cxnSp macro="">
      <xdr:nvCxnSpPr>
        <xdr:cNvPr id="67694" name="直線コネクタ 67693"/>
        <xdr:cNvCxnSpPr/>
      </xdr:nvCxnSpPr>
      <xdr:spPr bwMode="auto">
        <a:xfrm>
          <a:off x="3907768" y="1676013"/>
          <a:ext cx="5624239" cy="426817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48464</xdr:colOff>
      <xdr:row>7</xdr:row>
      <xdr:rowOff>27989</xdr:rowOff>
    </xdr:from>
    <xdr:to>
      <xdr:col>18</xdr:col>
      <xdr:colOff>48464</xdr:colOff>
      <xdr:row>9</xdr:row>
      <xdr:rowOff>47238</xdr:rowOff>
    </xdr:to>
    <xdr:cxnSp macro="">
      <xdr:nvCxnSpPr>
        <xdr:cNvPr id="67695" name="直線コネクタ 67694"/>
        <xdr:cNvCxnSpPr/>
      </xdr:nvCxnSpPr>
      <xdr:spPr bwMode="auto">
        <a:xfrm>
          <a:off x="5782514" y="1294814"/>
          <a:ext cx="0" cy="3811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48464</xdr:colOff>
      <xdr:row>9</xdr:row>
      <xdr:rowOff>47238</xdr:rowOff>
    </xdr:from>
    <xdr:to>
      <xdr:col>26</xdr:col>
      <xdr:colOff>170611</xdr:colOff>
      <xdr:row>32</xdr:row>
      <xdr:rowOff>152986</xdr:rowOff>
    </xdr:to>
    <xdr:cxnSp macro="">
      <xdr:nvCxnSpPr>
        <xdr:cNvPr id="67696" name="直線コネクタ 67695"/>
        <xdr:cNvCxnSpPr/>
      </xdr:nvCxnSpPr>
      <xdr:spPr bwMode="auto">
        <a:xfrm>
          <a:off x="5782514" y="1676013"/>
          <a:ext cx="1874747" cy="426817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170611</xdr:colOff>
      <xdr:row>7</xdr:row>
      <xdr:rowOff>27989</xdr:rowOff>
    </xdr:from>
    <xdr:to>
      <xdr:col>26</xdr:col>
      <xdr:colOff>170611</xdr:colOff>
      <xdr:row>9</xdr:row>
      <xdr:rowOff>47238</xdr:rowOff>
    </xdr:to>
    <xdr:cxnSp macro="">
      <xdr:nvCxnSpPr>
        <xdr:cNvPr id="67697" name="直線コネクタ 67696"/>
        <xdr:cNvCxnSpPr/>
      </xdr:nvCxnSpPr>
      <xdr:spPr bwMode="auto">
        <a:xfrm>
          <a:off x="7657261" y="1294814"/>
          <a:ext cx="0" cy="3811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170611</xdr:colOff>
      <xdr:row>9</xdr:row>
      <xdr:rowOff>47238</xdr:rowOff>
    </xdr:from>
    <xdr:to>
      <xdr:col>26</xdr:col>
      <xdr:colOff>170611</xdr:colOff>
      <xdr:row>32</xdr:row>
      <xdr:rowOff>152986</xdr:rowOff>
    </xdr:to>
    <xdr:cxnSp macro="">
      <xdr:nvCxnSpPr>
        <xdr:cNvPr id="67698" name="直線コネクタ 67697"/>
        <xdr:cNvCxnSpPr/>
      </xdr:nvCxnSpPr>
      <xdr:spPr bwMode="auto">
        <a:xfrm>
          <a:off x="7657261" y="1676013"/>
          <a:ext cx="0" cy="426817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73682</xdr:colOff>
      <xdr:row>7</xdr:row>
      <xdr:rowOff>27989</xdr:rowOff>
    </xdr:from>
    <xdr:to>
      <xdr:col>35</xdr:col>
      <xdr:colOff>73682</xdr:colOff>
      <xdr:row>9</xdr:row>
      <xdr:rowOff>47238</xdr:rowOff>
    </xdr:to>
    <xdr:cxnSp macro="">
      <xdr:nvCxnSpPr>
        <xdr:cNvPr id="67699" name="直線コネクタ 67698"/>
        <xdr:cNvCxnSpPr/>
      </xdr:nvCxnSpPr>
      <xdr:spPr bwMode="auto">
        <a:xfrm>
          <a:off x="9532007" y="1294814"/>
          <a:ext cx="0" cy="3811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73682</xdr:colOff>
      <xdr:row>9</xdr:row>
      <xdr:rowOff>47238</xdr:rowOff>
    </xdr:from>
    <xdr:to>
      <xdr:col>35</xdr:col>
      <xdr:colOff>73682</xdr:colOff>
      <xdr:row>32</xdr:row>
      <xdr:rowOff>152986</xdr:rowOff>
    </xdr:to>
    <xdr:cxnSp macro="">
      <xdr:nvCxnSpPr>
        <xdr:cNvPr id="67700" name="直線コネクタ 67699"/>
        <xdr:cNvCxnSpPr/>
      </xdr:nvCxnSpPr>
      <xdr:spPr bwMode="auto">
        <a:xfrm>
          <a:off x="9532007" y="1676013"/>
          <a:ext cx="0" cy="426817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145393</xdr:colOff>
      <xdr:row>9</xdr:row>
      <xdr:rowOff>165972</xdr:rowOff>
    </xdr:from>
    <xdr:to>
      <xdr:col>35</xdr:col>
      <xdr:colOff>73682</xdr:colOff>
      <xdr:row>32</xdr:row>
      <xdr:rowOff>152986</xdr:rowOff>
    </xdr:to>
    <xdr:cxnSp macro="">
      <xdr:nvCxnSpPr>
        <xdr:cNvPr id="67701" name="直線コネクタ 67700"/>
        <xdr:cNvCxnSpPr/>
      </xdr:nvCxnSpPr>
      <xdr:spPr bwMode="auto">
        <a:xfrm>
          <a:off x="3907768" y="1794747"/>
          <a:ext cx="5624239" cy="414943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48464</xdr:colOff>
      <xdr:row>9</xdr:row>
      <xdr:rowOff>165972</xdr:rowOff>
    </xdr:from>
    <xdr:to>
      <xdr:col>26</xdr:col>
      <xdr:colOff>170611</xdr:colOff>
      <xdr:row>32</xdr:row>
      <xdr:rowOff>152986</xdr:rowOff>
    </xdr:to>
    <xdr:cxnSp macro="">
      <xdr:nvCxnSpPr>
        <xdr:cNvPr id="67704" name="直線コネクタ 67703"/>
        <xdr:cNvCxnSpPr/>
      </xdr:nvCxnSpPr>
      <xdr:spPr bwMode="auto">
        <a:xfrm>
          <a:off x="5782514" y="1794747"/>
          <a:ext cx="1874747" cy="414943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170611</xdr:colOff>
      <xdr:row>9</xdr:row>
      <xdr:rowOff>165972</xdr:rowOff>
    </xdr:from>
    <xdr:to>
      <xdr:col>26</xdr:col>
      <xdr:colOff>170611</xdr:colOff>
      <xdr:row>32</xdr:row>
      <xdr:rowOff>152986</xdr:rowOff>
    </xdr:to>
    <xdr:cxnSp macro="">
      <xdr:nvCxnSpPr>
        <xdr:cNvPr id="67705" name="直線コネクタ 67704"/>
        <xdr:cNvCxnSpPr/>
      </xdr:nvCxnSpPr>
      <xdr:spPr bwMode="auto">
        <a:xfrm>
          <a:off x="7657261" y="1794747"/>
          <a:ext cx="0" cy="414943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73682</xdr:colOff>
      <xdr:row>9</xdr:row>
      <xdr:rowOff>165972</xdr:rowOff>
    </xdr:from>
    <xdr:to>
      <xdr:col>35</xdr:col>
      <xdr:colOff>73682</xdr:colOff>
      <xdr:row>32</xdr:row>
      <xdr:rowOff>152986</xdr:rowOff>
    </xdr:to>
    <xdr:cxnSp macro="">
      <xdr:nvCxnSpPr>
        <xdr:cNvPr id="67706" name="直線コネクタ 67705"/>
        <xdr:cNvCxnSpPr/>
      </xdr:nvCxnSpPr>
      <xdr:spPr bwMode="auto">
        <a:xfrm>
          <a:off x="9532007" y="1794747"/>
          <a:ext cx="0" cy="414943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6</xdr:row>
      <xdr:rowOff>170646</xdr:rowOff>
    </xdr:from>
    <xdr:to>
      <xdr:col>8</xdr:col>
      <xdr:colOff>127000</xdr:colOff>
      <xdr:row>7</xdr:row>
      <xdr:rowOff>27989</xdr:rowOff>
    </xdr:to>
    <xdr:cxnSp macro="">
      <xdr:nvCxnSpPr>
        <xdr:cNvPr id="67707" name="直線コネクタ 67706"/>
        <xdr:cNvCxnSpPr/>
      </xdr:nvCxnSpPr>
      <xdr:spPr bwMode="auto">
        <a:xfrm flipV="1">
          <a:off x="3670300" y="1256496"/>
          <a:ext cx="0" cy="383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145393</xdr:colOff>
      <xdr:row>6</xdr:row>
      <xdr:rowOff>170646</xdr:rowOff>
    </xdr:from>
    <xdr:to>
      <xdr:col>9</xdr:col>
      <xdr:colOff>145393</xdr:colOff>
      <xdr:row>7</xdr:row>
      <xdr:rowOff>27989</xdr:rowOff>
    </xdr:to>
    <xdr:cxnSp macro="">
      <xdr:nvCxnSpPr>
        <xdr:cNvPr id="67708" name="直線コネクタ 67707"/>
        <xdr:cNvCxnSpPr/>
      </xdr:nvCxnSpPr>
      <xdr:spPr bwMode="auto">
        <a:xfrm flipV="1">
          <a:off x="3907768" y="1256496"/>
          <a:ext cx="0" cy="383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6</xdr:row>
      <xdr:rowOff>170646</xdr:rowOff>
    </xdr:from>
    <xdr:to>
      <xdr:col>9</xdr:col>
      <xdr:colOff>145393</xdr:colOff>
      <xdr:row>6</xdr:row>
      <xdr:rowOff>170646</xdr:rowOff>
    </xdr:to>
    <xdr:cxnSp macro="">
      <xdr:nvCxnSpPr>
        <xdr:cNvPr id="67709" name="直線コネクタ 67708"/>
        <xdr:cNvCxnSpPr/>
      </xdr:nvCxnSpPr>
      <xdr:spPr bwMode="auto">
        <a:xfrm>
          <a:off x="3670300" y="1256496"/>
          <a:ext cx="237468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145393</xdr:colOff>
      <xdr:row>6</xdr:row>
      <xdr:rowOff>170646</xdr:rowOff>
    </xdr:from>
    <xdr:to>
      <xdr:col>9</xdr:col>
      <xdr:colOff>145393</xdr:colOff>
      <xdr:row>7</xdr:row>
      <xdr:rowOff>27989</xdr:rowOff>
    </xdr:to>
    <xdr:cxnSp macro="">
      <xdr:nvCxnSpPr>
        <xdr:cNvPr id="67710" name="直線コネクタ 67709"/>
        <xdr:cNvCxnSpPr/>
      </xdr:nvCxnSpPr>
      <xdr:spPr bwMode="auto">
        <a:xfrm flipV="1">
          <a:off x="3907768" y="1256496"/>
          <a:ext cx="0" cy="383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48464</xdr:colOff>
      <xdr:row>6</xdr:row>
      <xdr:rowOff>170646</xdr:rowOff>
    </xdr:from>
    <xdr:to>
      <xdr:col>18</xdr:col>
      <xdr:colOff>48464</xdr:colOff>
      <xdr:row>7</xdr:row>
      <xdr:rowOff>27989</xdr:rowOff>
    </xdr:to>
    <xdr:cxnSp macro="">
      <xdr:nvCxnSpPr>
        <xdr:cNvPr id="67711" name="直線コネクタ 67710"/>
        <xdr:cNvCxnSpPr/>
      </xdr:nvCxnSpPr>
      <xdr:spPr bwMode="auto">
        <a:xfrm flipV="1">
          <a:off x="5782514" y="1256496"/>
          <a:ext cx="0" cy="383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145393</xdr:colOff>
      <xdr:row>6</xdr:row>
      <xdr:rowOff>170646</xdr:rowOff>
    </xdr:from>
    <xdr:to>
      <xdr:col>18</xdr:col>
      <xdr:colOff>48464</xdr:colOff>
      <xdr:row>6</xdr:row>
      <xdr:rowOff>170646</xdr:rowOff>
    </xdr:to>
    <xdr:cxnSp macro="">
      <xdr:nvCxnSpPr>
        <xdr:cNvPr id="67744" name="直線コネクタ 67743"/>
        <xdr:cNvCxnSpPr/>
      </xdr:nvCxnSpPr>
      <xdr:spPr bwMode="auto">
        <a:xfrm>
          <a:off x="3907768" y="1256496"/>
          <a:ext cx="187474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48464</xdr:colOff>
      <xdr:row>6</xdr:row>
      <xdr:rowOff>170646</xdr:rowOff>
    </xdr:from>
    <xdr:to>
      <xdr:col>18</xdr:col>
      <xdr:colOff>48464</xdr:colOff>
      <xdr:row>7</xdr:row>
      <xdr:rowOff>27989</xdr:rowOff>
    </xdr:to>
    <xdr:cxnSp macro="">
      <xdr:nvCxnSpPr>
        <xdr:cNvPr id="67745" name="直線コネクタ 67744"/>
        <xdr:cNvCxnSpPr/>
      </xdr:nvCxnSpPr>
      <xdr:spPr bwMode="auto">
        <a:xfrm flipV="1">
          <a:off x="5782514" y="1256496"/>
          <a:ext cx="0" cy="383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170611</xdr:colOff>
      <xdr:row>6</xdr:row>
      <xdr:rowOff>170646</xdr:rowOff>
    </xdr:from>
    <xdr:to>
      <xdr:col>26</xdr:col>
      <xdr:colOff>170611</xdr:colOff>
      <xdr:row>7</xdr:row>
      <xdr:rowOff>27989</xdr:rowOff>
    </xdr:to>
    <xdr:cxnSp macro="">
      <xdr:nvCxnSpPr>
        <xdr:cNvPr id="67746" name="直線コネクタ 67745"/>
        <xdr:cNvCxnSpPr/>
      </xdr:nvCxnSpPr>
      <xdr:spPr bwMode="auto">
        <a:xfrm flipV="1">
          <a:off x="7657261" y="1256496"/>
          <a:ext cx="0" cy="383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48464</xdr:colOff>
      <xdr:row>6</xdr:row>
      <xdr:rowOff>170646</xdr:rowOff>
    </xdr:from>
    <xdr:to>
      <xdr:col>26</xdr:col>
      <xdr:colOff>170611</xdr:colOff>
      <xdr:row>6</xdr:row>
      <xdr:rowOff>170646</xdr:rowOff>
    </xdr:to>
    <xdr:cxnSp macro="">
      <xdr:nvCxnSpPr>
        <xdr:cNvPr id="67747" name="直線コネクタ 67746"/>
        <xdr:cNvCxnSpPr/>
      </xdr:nvCxnSpPr>
      <xdr:spPr bwMode="auto">
        <a:xfrm>
          <a:off x="5782514" y="1256496"/>
          <a:ext cx="187474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170611</xdr:colOff>
      <xdr:row>6</xdr:row>
      <xdr:rowOff>170646</xdr:rowOff>
    </xdr:from>
    <xdr:to>
      <xdr:col>26</xdr:col>
      <xdr:colOff>170611</xdr:colOff>
      <xdr:row>7</xdr:row>
      <xdr:rowOff>27989</xdr:rowOff>
    </xdr:to>
    <xdr:cxnSp macro="">
      <xdr:nvCxnSpPr>
        <xdr:cNvPr id="67748" name="直線コネクタ 67747"/>
        <xdr:cNvCxnSpPr/>
      </xdr:nvCxnSpPr>
      <xdr:spPr bwMode="auto">
        <a:xfrm flipV="1">
          <a:off x="7657261" y="1256496"/>
          <a:ext cx="0" cy="383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73682</xdr:colOff>
      <xdr:row>6</xdr:row>
      <xdr:rowOff>170646</xdr:rowOff>
    </xdr:from>
    <xdr:to>
      <xdr:col>35</xdr:col>
      <xdr:colOff>73682</xdr:colOff>
      <xdr:row>7</xdr:row>
      <xdr:rowOff>27989</xdr:rowOff>
    </xdr:to>
    <xdr:cxnSp macro="">
      <xdr:nvCxnSpPr>
        <xdr:cNvPr id="67749" name="直線コネクタ 67748"/>
        <xdr:cNvCxnSpPr/>
      </xdr:nvCxnSpPr>
      <xdr:spPr bwMode="auto">
        <a:xfrm flipV="1">
          <a:off x="9532007" y="1256496"/>
          <a:ext cx="0" cy="383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170611</xdr:colOff>
      <xdr:row>6</xdr:row>
      <xdr:rowOff>170646</xdr:rowOff>
    </xdr:from>
    <xdr:to>
      <xdr:col>35</xdr:col>
      <xdr:colOff>73682</xdr:colOff>
      <xdr:row>6</xdr:row>
      <xdr:rowOff>170646</xdr:rowOff>
    </xdr:to>
    <xdr:cxnSp macro="">
      <xdr:nvCxnSpPr>
        <xdr:cNvPr id="67750" name="直線コネクタ 67749"/>
        <xdr:cNvCxnSpPr/>
      </xdr:nvCxnSpPr>
      <xdr:spPr bwMode="auto">
        <a:xfrm>
          <a:off x="7657261" y="1256496"/>
          <a:ext cx="187474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73682</xdr:colOff>
      <xdr:row>6</xdr:row>
      <xdr:rowOff>170646</xdr:rowOff>
    </xdr:from>
    <xdr:to>
      <xdr:col>35</xdr:col>
      <xdr:colOff>73682</xdr:colOff>
      <xdr:row>7</xdr:row>
      <xdr:rowOff>27989</xdr:rowOff>
    </xdr:to>
    <xdr:cxnSp macro="">
      <xdr:nvCxnSpPr>
        <xdr:cNvPr id="67751" name="直線コネクタ 67750"/>
        <xdr:cNvCxnSpPr/>
      </xdr:nvCxnSpPr>
      <xdr:spPr bwMode="auto">
        <a:xfrm flipV="1">
          <a:off x="9532007" y="1256496"/>
          <a:ext cx="0" cy="383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36</xdr:col>
      <xdr:colOff>92075</xdr:colOff>
      <xdr:row>6</xdr:row>
      <xdr:rowOff>170646</xdr:rowOff>
    </xdr:from>
    <xdr:to>
      <xdr:col>36</xdr:col>
      <xdr:colOff>92075</xdr:colOff>
      <xdr:row>7</xdr:row>
      <xdr:rowOff>27989</xdr:rowOff>
    </xdr:to>
    <xdr:cxnSp macro="">
      <xdr:nvCxnSpPr>
        <xdr:cNvPr id="67752" name="直線コネクタ 67751"/>
        <xdr:cNvCxnSpPr/>
      </xdr:nvCxnSpPr>
      <xdr:spPr bwMode="auto">
        <a:xfrm flipV="1">
          <a:off x="9769475" y="1256496"/>
          <a:ext cx="0" cy="383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73682</xdr:colOff>
      <xdr:row>6</xdr:row>
      <xdr:rowOff>170646</xdr:rowOff>
    </xdr:from>
    <xdr:to>
      <xdr:col>36</xdr:col>
      <xdr:colOff>92075</xdr:colOff>
      <xdr:row>6</xdr:row>
      <xdr:rowOff>170646</xdr:rowOff>
    </xdr:to>
    <xdr:cxnSp macro="">
      <xdr:nvCxnSpPr>
        <xdr:cNvPr id="67753" name="直線コネクタ 67752"/>
        <xdr:cNvCxnSpPr/>
      </xdr:nvCxnSpPr>
      <xdr:spPr bwMode="auto">
        <a:xfrm>
          <a:off x="9532007" y="1256496"/>
          <a:ext cx="237468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57196</xdr:colOff>
      <xdr:row>6</xdr:row>
      <xdr:rowOff>121585</xdr:rowOff>
    </xdr:from>
    <xdr:to>
      <xdr:col>11</xdr:col>
      <xdr:colOff>57196</xdr:colOff>
      <xdr:row>7</xdr:row>
      <xdr:rowOff>27989</xdr:rowOff>
    </xdr:to>
    <xdr:cxnSp macro="">
      <xdr:nvCxnSpPr>
        <xdr:cNvPr id="67754" name="直線コネクタ 67753"/>
        <xdr:cNvCxnSpPr/>
      </xdr:nvCxnSpPr>
      <xdr:spPr bwMode="auto">
        <a:xfrm flipV="1">
          <a:off x="4257721" y="1207435"/>
          <a:ext cx="0" cy="873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55777</xdr:colOff>
      <xdr:row>6</xdr:row>
      <xdr:rowOff>121585</xdr:rowOff>
    </xdr:from>
    <xdr:to>
      <xdr:col>15</xdr:col>
      <xdr:colOff>55777</xdr:colOff>
      <xdr:row>7</xdr:row>
      <xdr:rowOff>27989</xdr:rowOff>
    </xdr:to>
    <xdr:cxnSp macro="">
      <xdr:nvCxnSpPr>
        <xdr:cNvPr id="67755" name="直線コネクタ 67754"/>
        <xdr:cNvCxnSpPr/>
      </xdr:nvCxnSpPr>
      <xdr:spPr bwMode="auto">
        <a:xfrm flipV="1">
          <a:off x="5132602" y="1207435"/>
          <a:ext cx="0" cy="873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35257</xdr:colOff>
      <xdr:row>6</xdr:row>
      <xdr:rowOff>121585</xdr:rowOff>
    </xdr:from>
    <xdr:to>
      <xdr:col>20</xdr:col>
      <xdr:colOff>35257</xdr:colOff>
      <xdr:row>7</xdr:row>
      <xdr:rowOff>27989</xdr:rowOff>
    </xdr:to>
    <xdr:cxnSp macro="">
      <xdr:nvCxnSpPr>
        <xdr:cNvPr id="67756" name="直線コネクタ 67755"/>
        <xdr:cNvCxnSpPr/>
      </xdr:nvCxnSpPr>
      <xdr:spPr bwMode="auto">
        <a:xfrm flipV="1">
          <a:off x="6207457" y="1207435"/>
          <a:ext cx="0" cy="873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33838</xdr:colOff>
      <xdr:row>6</xdr:row>
      <xdr:rowOff>121585</xdr:rowOff>
    </xdr:from>
    <xdr:to>
      <xdr:col>24</xdr:col>
      <xdr:colOff>33838</xdr:colOff>
      <xdr:row>7</xdr:row>
      <xdr:rowOff>27989</xdr:rowOff>
    </xdr:to>
    <xdr:cxnSp macro="">
      <xdr:nvCxnSpPr>
        <xdr:cNvPr id="67757" name="直線コネクタ 67756"/>
        <xdr:cNvCxnSpPr/>
      </xdr:nvCxnSpPr>
      <xdr:spPr bwMode="auto">
        <a:xfrm flipV="1">
          <a:off x="7082338" y="1207435"/>
          <a:ext cx="0" cy="873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213291</xdr:colOff>
      <xdr:row>6</xdr:row>
      <xdr:rowOff>86312</xdr:rowOff>
    </xdr:from>
    <xdr:to>
      <xdr:col>29</xdr:col>
      <xdr:colOff>213291</xdr:colOff>
      <xdr:row>7</xdr:row>
      <xdr:rowOff>27989</xdr:rowOff>
    </xdr:to>
    <xdr:cxnSp macro="">
      <xdr:nvCxnSpPr>
        <xdr:cNvPr id="67758" name="直線コネクタ 67757"/>
        <xdr:cNvCxnSpPr/>
      </xdr:nvCxnSpPr>
      <xdr:spPr bwMode="auto">
        <a:xfrm flipV="1">
          <a:off x="8357166" y="1172162"/>
          <a:ext cx="0" cy="12265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32</xdr:col>
      <xdr:colOff>55998</xdr:colOff>
      <xdr:row>6</xdr:row>
      <xdr:rowOff>86312</xdr:rowOff>
    </xdr:from>
    <xdr:to>
      <xdr:col>32</xdr:col>
      <xdr:colOff>55998</xdr:colOff>
      <xdr:row>7</xdr:row>
      <xdr:rowOff>27989</xdr:rowOff>
    </xdr:to>
    <xdr:cxnSp macro="">
      <xdr:nvCxnSpPr>
        <xdr:cNvPr id="67759" name="直線コネクタ 67758"/>
        <xdr:cNvCxnSpPr/>
      </xdr:nvCxnSpPr>
      <xdr:spPr bwMode="auto">
        <a:xfrm flipV="1">
          <a:off x="8857098" y="1172162"/>
          <a:ext cx="0" cy="12265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164140</xdr:colOff>
      <xdr:row>6</xdr:row>
      <xdr:rowOff>13354</xdr:rowOff>
    </xdr:from>
    <xdr:to>
      <xdr:col>9</xdr:col>
      <xdr:colOff>164140</xdr:colOff>
      <xdr:row>7</xdr:row>
      <xdr:rowOff>27989</xdr:rowOff>
    </xdr:to>
    <xdr:cxnSp macro="">
      <xdr:nvCxnSpPr>
        <xdr:cNvPr id="67760" name="直線コネクタ 67759"/>
        <xdr:cNvCxnSpPr/>
      </xdr:nvCxnSpPr>
      <xdr:spPr bwMode="auto">
        <a:xfrm flipV="1">
          <a:off x="3926515" y="1099204"/>
          <a:ext cx="0" cy="1956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54714</xdr:colOff>
      <xdr:row>5</xdr:row>
      <xdr:rowOff>136193</xdr:rowOff>
    </xdr:from>
    <xdr:to>
      <xdr:col>18</xdr:col>
      <xdr:colOff>54714</xdr:colOff>
      <xdr:row>7</xdr:row>
      <xdr:rowOff>27989</xdr:rowOff>
    </xdr:to>
    <xdr:cxnSp macro="">
      <xdr:nvCxnSpPr>
        <xdr:cNvPr id="67761" name="直線コネクタ 67760"/>
        <xdr:cNvCxnSpPr/>
      </xdr:nvCxnSpPr>
      <xdr:spPr bwMode="auto">
        <a:xfrm flipV="1">
          <a:off x="5788764" y="1041068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164361</xdr:colOff>
      <xdr:row>5</xdr:row>
      <xdr:rowOff>136193</xdr:rowOff>
    </xdr:from>
    <xdr:to>
      <xdr:col>26</xdr:col>
      <xdr:colOff>164361</xdr:colOff>
      <xdr:row>7</xdr:row>
      <xdr:rowOff>27989</xdr:rowOff>
    </xdr:to>
    <xdr:cxnSp macro="">
      <xdr:nvCxnSpPr>
        <xdr:cNvPr id="67762" name="直線コネクタ 67761"/>
        <xdr:cNvCxnSpPr/>
      </xdr:nvCxnSpPr>
      <xdr:spPr bwMode="auto">
        <a:xfrm flipV="1">
          <a:off x="7651011" y="1041068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54935</xdr:colOff>
      <xdr:row>6</xdr:row>
      <xdr:rowOff>13354</xdr:rowOff>
    </xdr:from>
    <xdr:to>
      <xdr:col>35</xdr:col>
      <xdr:colOff>54935</xdr:colOff>
      <xdr:row>7</xdr:row>
      <xdr:rowOff>27989</xdr:rowOff>
    </xdr:to>
    <xdr:cxnSp macro="">
      <xdr:nvCxnSpPr>
        <xdr:cNvPr id="67763" name="直線コネクタ 67762"/>
        <xdr:cNvCxnSpPr/>
      </xdr:nvCxnSpPr>
      <xdr:spPr bwMode="auto">
        <a:xfrm flipV="1">
          <a:off x="9513260" y="1099204"/>
          <a:ext cx="0" cy="1956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67802" name="テキスト ボックス 67801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67803" name="直線コネクタ 67802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67804" name="テキスト ボックス 67803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67805" name="直線コネクタ 67804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167882</xdr:colOff>
      <xdr:row>3</xdr:row>
      <xdr:rowOff>101600</xdr:rowOff>
    </xdr:from>
    <xdr:to>
      <xdr:col>8</xdr:col>
      <xdr:colOff>218682</xdr:colOff>
      <xdr:row>3</xdr:row>
      <xdr:rowOff>152400</xdr:rowOff>
    </xdr:to>
    <xdr:sp macro="" textlink="">
      <xdr:nvSpPr>
        <xdr:cNvPr id="283374" name="円/楕円 283373"/>
        <xdr:cNvSpPr/>
      </xdr:nvSpPr>
      <xdr:spPr bwMode="auto">
        <a:xfrm>
          <a:off x="5625707" y="730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4</xdr:row>
      <xdr:rowOff>119440</xdr:rowOff>
    </xdr:from>
    <xdr:to>
      <xdr:col>7</xdr:col>
      <xdr:colOff>190046</xdr:colOff>
      <xdr:row>4</xdr:row>
      <xdr:rowOff>170240</xdr:rowOff>
    </xdr:to>
    <xdr:sp macro="" textlink="">
      <xdr:nvSpPr>
        <xdr:cNvPr id="283375" name="円/楕円 283374"/>
        <xdr:cNvSpPr/>
      </xdr:nvSpPr>
      <xdr:spPr bwMode="auto">
        <a:xfrm>
          <a:off x="4920796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167882</xdr:colOff>
      <xdr:row>4</xdr:row>
      <xdr:rowOff>119440</xdr:rowOff>
    </xdr:from>
    <xdr:to>
      <xdr:col>8</xdr:col>
      <xdr:colOff>218682</xdr:colOff>
      <xdr:row>4</xdr:row>
      <xdr:rowOff>170240</xdr:rowOff>
    </xdr:to>
    <xdr:sp macro="" textlink="">
      <xdr:nvSpPr>
        <xdr:cNvPr id="283376" name="円/楕円 283375"/>
        <xdr:cNvSpPr/>
      </xdr:nvSpPr>
      <xdr:spPr bwMode="auto">
        <a:xfrm>
          <a:off x="5625707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4</xdr:row>
      <xdr:rowOff>119440</xdr:rowOff>
    </xdr:from>
    <xdr:to>
      <xdr:col>8</xdr:col>
      <xdr:colOff>537028</xdr:colOff>
      <xdr:row>4</xdr:row>
      <xdr:rowOff>170240</xdr:rowOff>
    </xdr:to>
    <xdr:sp macro="" textlink="">
      <xdr:nvSpPr>
        <xdr:cNvPr id="283377" name="円/楕円 283376"/>
        <xdr:cNvSpPr/>
      </xdr:nvSpPr>
      <xdr:spPr bwMode="auto">
        <a:xfrm>
          <a:off x="5944053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5</xdr:row>
      <xdr:rowOff>137281</xdr:rowOff>
    </xdr:from>
    <xdr:to>
      <xdr:col>7</xdr:col>
      <xdr:colOff>190046</xdr:colOff>
      <xdr:row>5</xdr:row>
      <xdr:rowOff>188081</xdr:rowOff>
    </xdr:to>
    <xdr:sp macro="" textlink="">
      <xdr:nvSpPr>
        <xdr:cNvPr id="283378" name="円/楕円 283377"/>
        <xdr:cNvSpPr/>
      </xdr:nvSpPr>
      <xdr:spPr bwMode="auto">
        <a:xfrm>
          <a:off x="4920796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5</xdr:row>
      <xdr:rowOff>137281</xdr:rowOff>
    </xdr:from>
    <xdr:to>
      <xdr:col>8</xdr:col>
      <xdr:colOff>537028</xdr:colOff>
      <xdr:row>5</xdr:row>
      <xdr:rowOff>188081</xdr:rowOff>
    </xdr:to>
    <xdr:sp macro="" textlink="">
      <xdr:nvSpPr>
        <xdr:cNvPr id="283379" name="円/楕円 283378"/>
        <xdr:cNvSpPr/>
      </xdr:nvSpPr>
      <xdr:spPr bwMode="auto">
        <a:xfrm>
          <a:off x="5944053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8</xdr:row>
      <xdr:rowOff>17986</xdr:rowOff>
    </xdr:from>
    <xdr:to>
      <xdr:col>7</xdr:col>
      <xdr:colOff>190046</xdr:colOff>
      <xdr:row>8</xdr:row>
      <xdr:rowOff>68786</xdr:rowOff>
    </xdr:to>
    <xdr:sp macro="" textlink="">
      <xdr:nvSpPr>
        <xdr:cNvPr id="283380" name="円/楕円 283379"/>
        <xdr:cNvSpPr/>
      </xdr:nvSpPr>
      <xdr:spPr bwMode="auto">
        <a:xfrm>
          <a:off x="4920796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8</xdr:row>
      <xdr:rowOff>17986</xdr:rowOff>
    </xdr:from>
    <xdr:to>
      <xdr:col>8</xdr:col>
      <xdr:colOff>537028</xdr:colOff>
      <xdr:row>8</xdr:row>
      <xdr:rowOff>68786</xdr:rowOff>
    </xdr:to>
    <xdr:sp macro="" textlink="">
      <xdr:nvSpPr>
        <xdr:cNvPr id="283381" name="円/楕円 283380"/>
        <xdr:cNvSpPr/>
      </xdr:nvSpPr>
      <xdr:spPr bwMode="auto">
        <a:xfrm>
          <a:off x="5944053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11</xdr:row>
      <xdr:rowOff>207941</xdr:rowOff>
    </xdr:from>
    <xdr:to>
      <xdr:col>7</xdr:col>
      <xdr:colOff>190046</xdr:colOff>
      <xdr:row>12</xdr:row>
      <xdr:rowOff>49191</xdr:rowOff>
    </xdr:to>
    <xdr:sp macro="" textlink="">
      <xdr:nvSpPr>
        <xdr:cNvPr id="283382" name="円/楕円 283381"/>
        <xdr:cNvSpPr/>
      </xdr:nvSpPr>
      <xdr:spPr bwMode="auto">
        <a:xfrm>
          <a:off x="4920796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11</xdr:row>
      <xdr:rowOff>207941</xdr:rowOff>
    </xdr:from>
    <xdr:to>
      <xdr:col>8</xdr:col>
      <xdr:colOff>537028</xdr:colOff>
      <xdr:row>12</xdr:row>
      <xdr:rowOff>49191</xdr:rowOff>
    </xdr:to>
    <xdr:sp macro="" textlink="">
      <xdr:nvSpPr>
        <xdr:cNvPr id="283383" name="円/楕円 283382"/>
        <xdr:cNvSpPr/>
      </xdr:nvSpPr>
      <xdr:spPr bwMode="auto">
        <a:xfrm>
          <a:off x="5944053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14</xdr:row>
      <xdr:rowOff>193246</xdr:rowOff>
    </xdr:from>
    <xdr:to>
      <xdr:col>7</xdr:col>
      <xdr:colOff>190046</xdr:colOff>
      <xdr:row>15</xdr:row>
      <xdr:rowOff>34496</xdr:rowOff>
    </xdr:to>
    <xdr:sp macro="" textlink="">
      <xdr:nvSpPr>
        <xdr:cNvPr id="283384" name="円/楕円 283383"/>
        <xdr:cNvSpPr/>
      </xdr:nvSpPr>
      <xdr:spPr bwMode="auto">
        <a:xfrm>
          <a:off x="4920796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14</xdr:row>
      <xdr:rowOff>193246</xdr:rowOff>
    </xdr:from>
    <xdr:to>
      <xdr:col>8</xdr:col>
      <xdr:colOff>537028</xdr:colOff>
      <xdr:row>15</xdr:row>
      <xdr:rowOff>34496</xdr:rowOff>
    </xdr:to>
    <xdr:sp macro="" textlink="">
      <xdr:nvSpPr>
        <xdr:cNvPr id="283385" name="円/楕円 283384"/>
        <xdr:cNvSpPr/>
      </xdr:nvSpPr>
      <xdr:spPr bwMode="auto">
        <a:xfrm>
          <a:off x="5944053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17</xdr:row>
      <xdr:rowOff>201289</xdr:rowOff>
    </xdr:from>
    <xdr:to>
      <xdr:col>7</xdr:col>
      <xdr:colOff>190046</xdr:colOff>
      <xdr:row>18</xdr:row>
      <xdr:rowOff>42539</xdr:rowOff>
    </xdr:to>
    <xdr:sp macro="" textlink="">
      <xdr:nvSpPr>
        <xdr:cNvPr id="283386" name="円/楕円 283385"/>
        <xdr:cNvSpPr/>
      </xdr:nvSpPr>
      <xdr:spPr bwMode="auto">
        <a:xfrm>
          <a:off x="4920796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17</xdr:row>
      <xdr:rowOff>201289</xdr:rowOff>
    </xdr:from>
    <xdr:to>
      <xdr:col>8</xdr:col>
      <xdr:colOff>537028</xdr:colOff>
      <xdr:row>18</xdr:row>
      <xdr:rowOff>42539</xdr:rowOff>
    </xdr:to>
    <xdr:sp macro="" textlink="">
      <xdr:nvSpPr>
        <xdr:cNvPr id="283387" name="円/楕円 283386"/>
        <xdr:cNvSpPr/>
      </xdr:nvSpPr>
      <xdr:spPr bwMode="auto">
        <a:xfrm>
          <a:off x="5944053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24</xdr:row>
      <xdr:rowOff>135164</xdr:rowOff>
    </xdr:from>
    <xdr:to>
      <xdr:col>7</xdr:col>
      <xdr:colOff>190046</xdr:colOff>
      <xdr:row>24</xdr:row>
      <xdr:rowOff>185964</xdr:rowOff>
    </xdr:to>
    <xdr:sp macro="" textlink="">
      <xdr:nvSpPr>
        <xdr:cNvPr id="283388" name="円/楕円 283387"/>
        <xdr:cNvSpPr/>
      </xdr:nvSpPr>
      <xdr:spPr bwMode="auto">
        <a:xfrm>
          <a:off x="4920796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24</xdr:row>
      <xdr:rowOff>135164</xdr:rowOff>
    </xdr:from>
    <xdr:to>
      <xdr:col>8</xdr:col>
      <xdr:colOff>537028</xdr:colOff>
      <xdr:row>24</xdr:row>
      <xdr:rowOff>185964</xdr:rowOff>
    </xdr:to>
    <xdr:sp macro="" textlink="">
      <xdr:nvSpPr>
        <xdr:cNvPr id="283389" name="円/楕円 283388"/>
        <xdr:cNvSpPr/>
      </xdr:nvSpPr>
      <xdr:spPr bwMode="auto">
        <a:xfrm>
          <a:off x="5944053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26</xdr:row>
      <xdr:rowOff>57150</xdr:rowOff>
    </xdr:from>
    <xdr:to>
      <xdr:col>7</xdr:col>
      <xdr:colOff>190046</xdr:colOff>
      <xdr:row>26</xdr:row>
      <xdr:rowOff>107950</xdr:rowOff>
    </xdr:to>
    <xdr:sp macro="" textlink="">
      <xdr:nvSpPr>
        <xdr:cNvPr id="283390" name="円/楕円 283389"/>
        <xdr:cNvSpPr/>
      </xdr:nvSpPr>
      <xdr:spPr bwMode="auto">
        <a:xfrm>
          <a:off x="4920796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26</xdr:row>
      <xdr:rowOff>57150</xdr:rowOff>
    </xdr:from>
    <xdr:to>
      <xdr:col>8</xdr:col>
      <xdr:colOff>537028</xdr:colOff>
      <xdr:row>26</xdr:row>
      <xdr:rowOff>107950</xdr:rowOff>
    </xdr:to>
    <xdr:sp macro="" textlink="">
      <xdr:nvSpPr>
        <xdr:cNvPr id="283391" name="円/楕円 283390"/>
        <xdr:cNvSpPr/>
      </xdr:nvSpPr>
      <xdr:spPr bwMode="auto">
        <a:xfrm>
          <a:off x="5944053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8</xdr:col>
      <xdr:colOff>193282</xdr:colOff>
      <xdr:row>3</xdr:row>
      <xdr:rowOff>127000</xdr:rowOff>
    </xdr:from>
    <xdr:ext cx="229550" cy="209032"/>
    <xdr:sp macro="" textlink="">
      <xdr:nvSpPr>
        <xdr:cNvPr id="283136" name="テキスト ボックス 283135"/>
        <xdr:cNvSpPr txBox="1"/>
      </xdr:nvSpPr>
      <xdr:spPr>
        <a:xfrm>
          <a:off x="5651107" y="7556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4</xdr:row>
      <xdr:rowOff>144840</xdr:rowOff>
    </xdr:from>
    <xdr:ext cx="229550" cy="209032"/>
    <xdr:sp macro="" textlink="">
      <xdr:nvSpPr>
        <xdr:cNvPr id="283137" name="テキスト ボックス 283136"/>
        <xdr:cNvSpPr txBox="1"/>
      </xdr:nvSpPr>
      <xdr:spPr>
        <a:xfrm>
          <a:off x="4946196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193282</xdr:colOff>
      <xdr:row>4</xdr:row>
      <xdr:rowOff>144840</xdr:rowOff>
    </xdr:from>
    <xdr:ext cx="229550" cy="209032"/>
    <xdr:sp macro="" textlink="">
      <xdr:nvSpPr>
        <xdr:cNvPr id="283138" name="テキスト ボックス 283137"/>
        <xdr:cNvSpPr txBox="1"/>
      </xdr:nvSpPr>
      <xdr:spPr>
        <a:xfrm>
          <a:off x="5651107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4</xdr:row>
      <xdr:rowOff>144840</xdr:rowOff>
    </xdr:from>
    <xdr:ext cx="229550" cy="209032"/>
    <xdr:sp macro="" textlink="">
      <xdr:nvSpPr>
        <xdr:cNvPr id="283139" name="テキスト ボックス 283138"/>
        <xdr:cNvSpPr txBox="1"/>
      </xdr:nvSpPr>
      <xdr:spPr>
        <a:xfrm>
          <a:off x="5969453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5</xdr:row>
      <xdr:rowOff>162681</xdr:rowOff>
    </xdr:from>
    <xdr:ext cx="229550" cy="209032"/>
    <xdr:sp macro="" textlink="">
      <xdr:nvSpPr>
        <xdr:cNvPr id="283140" name="テキスト ボックス 283139"/>
        <xdr:cNvSpPr txBox="1"/>
      </xdr:nvSpPr>
      <xdr:spPr>
        <a:xfrm>
          <a:off x="4946196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5</xdr:row>
      <xdr:rowOff>162681</xdr:rowOff>
    </xdr:from>
    <xdr:ext cx="229550" cy="209032"/>
    <xdr:sp macro="" textlink="">
      <xdr:nvSpPr>
        <xdr:cNvPr id="283148" name="テキスト ボックス 283147"/>
        <xdr:cNvSpPr txBox="1"/>
      </xdr:nvSpPr>
      <xdr:spPr>
        <a:xfrm>
          <a:off x="5969453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8</xdr:row>
      <xdr:rowOff>43386</xdr:rowOff>
    </xdr:from>
    <xdr:ext cx="229550" cy="209032"/>
    <xdr:sp macro="" textlink="">
      <xdr:nvSpPr>
        <xdr:cNvPr id="283149" name="テキスト ボックス 283148"/>
        <xdr:cNvSpPr txBox="1"/>
      </xdr:nvSpPr>
      <xdr:spPr>
        <a:xfrm>
          <a:off x="4946196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8</xdr:row>
      <xdr:rowOff>43386</xdr:rowOff>
    </xdr:from>
    <xdr:ext cx="229550" cy="209032"/>
    <xdr:sp macro="" textlink="">
      <xdr:nvSpPr>
        <xdr:cNvPr id="283150" name="テキスト ボックス 283149"/>
        <xdr:cNvSpPr txBox="1"/>
      </xdr:nvSpPr>
      <xdr:spPr>
        <a:xfrm>
          <a:off x="5969453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12</xdr:row>
      <xdr:rowOff>23791</xdr:rowOff>
    </xdr:from>
    <xdr:ext cx="229550" cy="209032"/>
    <xdr:sp macro="" textlink="">
      <xdr:nvSpPr>
        <xdr:cNvPr id="283151" name="テキスト ボックス 283150"/>
        <xdr:cNvSpPr txBox="1"/>
      </xdr:nvSpPr>
      <xdr:spPr>
        <a:xfrm>
          <a:off x="4946196" y="253839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12</xdr:row>
      <xdr:rowOff>23791</xdr:rowOff>
    </xdr:from>
    <xdr:ext cx="274434" cy="209032"/>
    <xdr:sp macro="" textlink="">
      <xdr:nvSpPr>
        <xdr:cNvPr id="283152" name="テキスト ボックス 283151"/>
        <xdr:cNvSpPr txBox="1"/>
      </xdr:nvSpPr>
      <xdr:spPr>
        <a:xfrm>
          <a:off x="5969453" y="253839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15</xdr:row>
      <xdr:rowOff>9096</xdr:rowOff>
    </xdr:from>
    <xdr:ext cx="274434" cy="209032"/>
    <xdr:sp macro="" textlink="">
      <xdr:nvSpPr>
        <xdr:cNvPr id="283153" name="テキスト ボックス 283152"/>
        <xdr:cNvSpPr txBox="1"/>
      </xdr:nvSpPr>
      <xdr:spPr>
        <a:xfrm>
          <a:off x="4946196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15</xdr:row>
      <xdr:rowOff>9096</xdr:rowOff>
    </xdr:from>
    <xdr:ext cx="274434" cy="209032"/>
    <xdr:sp macro="" textlink="">
      <xdr:nvSpPr>
        <xdr:cNvPr id="283154" name="テキスト ボックス 283153"/>
        <xdr:cNvSpPr txBox="1"/>
      </xdr:nvSpPr>
      <xdr:spPr>
        <a:xfrm>
          <a:off x="5969453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18</xdr:row>
      <xdr:rowOff>17139</xdr:rowOff>
    </xdr:from>
    <xdr:ext cx="274434" cy="209032"/>
    <xdr:sp macro="" textlink="">
      <xdr:nvSpPr>
        <xdr:cNvPr id="283155" name="テキスト ボックス 283154"/>
        <xdr:cNvSpPr txBox="1"/>
      </xdr:nvSpPr>
      <xdr:spPr>
        <a:xfrm>
          <a:off x="4946196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18</xdr:row>
      <xdr:rowOff>17139</xdr:rowOff>
    </xdr:from>
    <xdr:ext cx="274434" cy="209032"/>
    <xdr:sp macro="" textlink="">
      <xdr:nvSpPr>
        <xdr:cNvPr id="283156" name="テキスト ボックス 283155"/>
        <xdr:cNvSpPr txBox="1"/>
      </xdr:nvSpPr>
      <xdr:spPr>
        <a:xfrm>
          <a:off x="5969453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24</xdr:row>
      <xdr:rowOff>160564</xdr:rowOff>
    </xdr:from>
    <xdr:ext cx="274434" cy="209032"/>
    <xdr:sp macro="" textlink="">
      <xdr:nvSpPr>
        <xdr:cNvPr id="283157" name="テキスト ボックス 283156"/>
        <xdr:cNvSpPr txBox="1"/>
      </xdr:nvSpPr>
      <xdr:spPr>
        <a:xfrm>
          <a:off x="4946196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24</xdr:row>
      <xdr:rowOff>160564</xdr:rowOff>
    </xdr:from>
    <xdr:ext cx="274434" cy="209032"/>
    <xdr:sp macro="" textlink="">
      <xdr:nvSpPr>
        <xdr:cNvPr id="283158" name="テキスト ボックス 283157"/>
        <xdr:cNvSpPr txBox="1"/>
      </xdr:nvSpPr>
      <xdr:spPr>
        <a:xfrm>
          <a:off x="5969453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26</xdr:row>
      <xdr:rowOff>82550</xdr:rowOff>
    </xdr:from>
    <xdr:ext cx="274434" cy="209032"/>
    <xdr:sp macro="" textlink="">
      <xdr:nvSpPr>
        <xdr:cNvPr id="283159" name="テキスト ボックス 283158"/>
        <xdr:cNvSpPr txBox="1"/>
      </xdr:nvSpPr>
      <xdr:spPr>
        <a:xfrm>
          <a:off x="4946196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26</xdr:row>
      <xdr:rowOff>82550</xdr:rowOff>
    </xdr:from>
    <xdr:ext cx="274434" cy="209032"/>
    <xdr:sp macro="" textlink="">
      <xdr:nvSpPr>
        <xdr:cNvPr id="283161" name="テキスト ボックス 283160"/>
        <xdr:cNvSpPr txBox="1"/>
      </xdr:nvSpPr>
      <xdr:spPr>
        <a:xfrm>
          <a:off x="5969453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8</xdr:col>
      <xdr:colOff>193282</xdr:colOff>
      <xdr:row>3</xdr:row>
      <xdr:rowOff>127000</xdr:rowOff>
    </xdr:from>
    <xdr:to>
      <xdr:col>8</xdr:col>
      <xdr:colOff>193282</xdr:colOff>
      <xdr:row>4</xdr:row>
      <xdr:rowOff>144840</xdr:rowOff>
    </xdr:to>
    <xdr:cxnSp macro="">
      <xdr:nvCxnSpPr>
        <xdr:cNvPr id="283163" name="直線コネクタ 283162"/>
        <xdr:cNvCxnSpPr/>
      </xdr:nvCxnSpPr>
      <xdr:spPr bwMode="auto">
        <a:xfrm>
          <a:off x="5651107" y="755650"/>
          <a:ext cx="0" cy="22739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8</xdr:col>
      <xdr:colOff>193282</xdr:colOff>
      <xdr:row>4</xdr:row>
      <xdr:rowOff>144840</xdr:rowOff>
    </xdr:to>
    <xdr:cxnSp macro="">
      <xdr:nvCxnSpPr>
        <xdr:cNvPr id="278051" name="直線コネクタ 278050"/>
        <xdr:cNvCxnSpPr/>
      </xdr:nvCxnSpPr>
      <xdr:spPr bwMode="auto">
        <a:xfrm>
          <a:off x="4946196" y="983040"/>
          <a:ext cx="70491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193282</xdr:colOff>
      <xdr:row>4</xdr:row>
      <xdr:rowOff>144840</xdr:rowOff>
    </xdr:from>
    <xdr:to>
      <xdr:col>8</xdr:col>
      <xdr:colOff>511628</xdr:colOff>
      <xdr:row>4</xdr:row>
      <xdr:rowOff>144840</xdr:rowOff>
    </xdr:to>
    <xdr:cxnSp macro="">
      <xdr:nvCxnSpPr>
        <xdr:cNvPr id="278052" name="直線コネクタ 278051"/>
        <xdr:cNvCxnSpPr/>
      </xdr:nvCxnSpPr>
      <xdr:spPr bwMode="auto">
        <a:xfrm>
          <a:off x="5651107" y="983040"/>
          <a:ext cx="31834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7</xdr:col>
      <xdr:colOff>164646</xdr:colOff>
      <xdr:row>5</xdr:row>
      <xdr:rowOff>162681</xdr:rowOff>
    </xdr:to>
    <xdr:cxnSp macro="">
      <xdr:nvCxnSpPr>
        <xdr:cNvPr id="278053" name="直線コネクタ 278052"/>
        <xdr:cNvCxnSpPr/>
      </xdr:nvCxnSpPr>
      <xdr:spPr bwMode="auto">
        <a:xfrm>
          <a:off x="4946196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5</xdr:row>
      <xdr:rowOff>162681</xdr:rowOff>
    </xdr:from>
    <xdr:to>
      <xdr:col>7</xdr:col>
      <xdr:colOff>164646</xdr:colOff>
      <xdr:row>8</xdr:row>
      <xdr:rowOff>43386</xdr:rowOff>
    </xdr:to>
    <xdr:cxnSp macro="">
      <xdr:nvCxnSpPr>
        <xdr:cNvPr id="278054" name="直線コネクタ 278053"/>
        <xdr:cNvCxnSpPr/>
      </xdr:nvCxnSpPr>
      <xdr:spPr bwMode="auto">
        <a:xfrm>
          <a:off x="4946196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8</xdr:row>
      <xdr:rowOff>43386</xdr:rowOff>
    </xdr:from>
    <xdr:to>
      <xdr:col>7</xdr:col>
      <xdr:colOff>164646</xdr:colOff>
      <xdr:row>12</xdr:row>
      <xdr:rowOff>23791</xdr:rowOff>
    </xdr:to>
    <xdr:cxnSp macro="">
      <xdr:nvCxnSpPr>
        <xdr:cNvPr id="278055" name="直線コネクタ 278054"/>
        <xdr:cNvCxnSpPr/>
      </xdr:nvCxnSpPr>
      <xdr:spPr bwMode="auto">
        <a:xfrm>
          <a:off x="4946196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12</xdr:row>
      <xdr:rowOff>23791</xdr:rowOff>
    </xdr:from>
    <xdr:to>
      <xdr:col>7</xdr:col>
      <xdr:colOff>164646</xdr:colOff>
      <xdr:row>15</xdr:row>
      <xdr:rowOff>9096</xdr:rowOff>
    </xdr:to>
    <xdr:cxnSp macro="">
      <xdr:nvCxnSpPr>
        <xdr:cNvPr id="278056" name="直線コネクタ 278055"/>
        <xdr:cNvCxnSpPr/>
      </xdr:nvCxnSpPr>
      <xdr:spPr bwMode="auto">
        <a:xfrm>
          <a:off x="4946196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15</xdr:row>
      <xdr:rowOff>9096</xdr:rowOff>
    </xdr:from>
    <xdr:to>
      <xdr:col>7</xdr:col>
      <xdr:colOff>164646</xdr:colOff>
      <xdr:row>18</xdr:row>
      <xdr:rowOff>17139</xdr:rowOff>
    </xdr:to>
    <xdr:cxnSp macro="">
      <xdr:nvCxnSpPr>
        <xdr:cNvPr id="278057" name="直線コネクタ 278056"/>
        <xdr:cNvCxnSpPr/>
      </xdr:nvCxnSpPr>
      <xdr:spPr bwMode="auto">
        <a:xfrm>
          <a:off x="4946196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18</xdr:row>
      <xdr:rowOff>17139</xdr:rowOff>
    </xdr:from>
    <xdr:to>
      <xdr:col>7</xdr:col>
      <xdr:colOff>164646</xdr:colOff>
      <xdr:row>24</xdr:row>
      <xdr:rowOff>160564</xdr:rowOff>
    </xdr:to>
    <xdr:cxnSp macro="">
      <xdr:nvCxnSpPr>
        <xdr:cNvPr id="278070" name="直線コネクタ 278069"/>
        <xdr:cNvCxnSpPr/>
      </xdr:nvCxnSpPr>
      <xdr:spPr bwMode="auto">
        <a:xfrm>
          <a:off x="4946196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24</xdr:row>
      <xdr:rowOff>160564</xdr:rowOff>
    </xdr:from>
    <xdr:to>
      <xdr:col>7</xdr:col>
      <xdr:colOff>164646</xdr:colOff>
      <xdr:row>26</xdr:row>
      <xdr:rowOff>82550</xdr:rowOff>
    </xdr:to>
    <xdr:cxnSp macro="">
      <xdr:nvCxnSpPr>
        <xdr:cNvPr id="278072" name="直線コネクタ 278071"/>
        <xdr:cNvCxnSpPr/>
      </xdr:nvCxnSpPr>
      <xdr:spPr bwMode="auto">
        <a:xfrm>
          <a:off x="4946196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4</xdr:row>
      <xdr:rowOff>144840</xdr:rowOff>
    </xdr:from>
    <xdr:to>
      <xdr:col>8</xdr:col>
      <xdr:colOff>511628</xdr:colOff>
      <xdr:row>5</xdr:row>
      <xdr:rowOff>162681</xdr:rowOff>
    </xdr:to>
    <xdr:cxnSp macro="">
      <xdr:nvCxnSpPr>
        <xdr:cNvPr id="283134" name="直線コネクタ 283133"/>
        <xdr:cNvCxnSpPr/>
      </xdr:nvCxnSpPr>
      <xdr:spPr bwMode="auto">
        <a:xfrm>
          <a:off x="5969453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5</xdr:row>
      <xdr:rowOff>162681</xdr:rowOff>
    </xdr:from>
    <xdr:to>
      <xdr:col>8</xdr:col>
      <xdr:colOff>511628</xdr:colOff>
      <xdr:row>8</xdr:row>
      <xdr:rowOff>43386</xdr:rowOff>
    </xdr:to>
    <xdr:cxnSp macro="">
      <xdr:nvCxnSpPr>
        <xdr:cNvPr id="283135" name="直線コネクタ 283134"/>
        <xdr:cNvCxnSpPr/>
      </xdr:nvCxnSpPr>
      <xdr:spPr bwMode="auto">
        <a:xfrm>
          <a:off x="5969453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8</xdr:row>
      <xdr:rowOff>43386</xdr:rowOff>
    </xdr:from>
    <xdr:to>
      <xdr:col>8</xdr:col>
      <xdr:colOff>511628</xdr:colOff>
      <xdr:row>12</xdr:row>
      <xdr:rowOff>23791</xdr:rowOff>
    </xdr:to>
    <xdr:cxnSp macro="">
      <xdr:nvCxnSpPr>
        <xdr:cNvPr id="283392" name="直線コネクタ 283391"/>
        <xdr:cNvCxnSpPr/>
      </xdr:nvCxnSpPr>
      <xdr:spPr bwMode="auto">
        <a:xfrm>
          <a:off x="5969453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12</xdr:row>
      <xdr:rowOff>23791</xdr:rowOff>
    </xdr:from>
    <xdr:to>
      <xdr:col>8</xdr:col>
      <xdr:colOff>511628</xdr:colOff>
      <xdr:row>15</xdr:row>
      <xdr:rowOff>9096</xdr:rowOff>
    </xdr:to>
    <xdr:cxnSp macro="">
      <xdr:nvCxnSpPr>
        <xdr:cNvPr id="283393" name="直線コネクタ 283392"/>
        <xdr:cNvCxnSpPr/>
      </xdr:nvCxnSpPr>
      <xdr:spPr bwMode="auto">
        <a:xfrm>
          <a:off x="5969453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15</xdr:row>
      <xdr:rowOff>9096</xdr:rowOff>
    </xdr:from>
    <xdr:to>
      <xdr:col>8</xdr:col>
      <xdr:colOff>511628</xdr:colOff>
      <xdr:row>18</xdr:row>
      <xdr:rowOff>17139</xdr:rowOff>
    </xdr:to>
    <xdr:cxnSp macro="">
      <xdr:nvCxnSpPr>
        <xdr:cNvPr id="283394" name="直線コネクタ 283393"/>
        <xdr:cNvCxnSpPr/>
      </xdr:nvCxnSpPr>
      <xdr:spPr bwMode="auto">
        <a:xfrm>
          <a:off x="5969453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18</xdr:row>
      <xdr:rowOff>17139</xdr:rowOff>
    </xdr:from>
    <xdr:to>
      <xdr:col>8</xdr:col>
      <xdr:colOff>511628</xdr:colOff>
      <xdr:row>24</xdr:row>
      <xdr:rowOff>160564</xdr:rowOff>
    </xdr:to>
    <xdr:cxnSp macro="">
      <xdr:nvCxnSpPr>
        <xdr:cNvPr id="283395" name="直線コネクタ 283394"/>
        <xdr:cNvCxnSpPr/>
      </xdr:nvCxnSpPr>
      <xdr:spPr bwMode="auto">
        <a:xfrm>
          <a:off x="5969453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24</xdr:row>
      <xdr:rowOff>160564</xdr:rowOff>
    </xdr:from>
    <xdr:to>
      <xdr:col>8</xdr:col>
      <xdr:colOff>511628</xdr:colOff>
      <xdr:row>26</xdr:row>
      <xdr:rowOff>82550</xdr:rowOff>
    </xdr:to>
    <xdr:cxnSp macro="">
      <xdr:nvCxnSpPr>
        <xdr:cNvPr id="283396" name="直線コネクタ 283395"/>
        <xdr:cNvCxnSpPr/>
      </xdr:nvCxnSpPr>
      <xdr:spPr bwMode="auto">
        <a:xfrm>
          <a:off x="5969453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4</xdr:row>
      <xdr:rowOff>147960</xdr:rowOff>
    </xdr:from>
    <xdr:to>
      <xdr:col>8</xdr:col>
      <xdr:colOff>298699</xdr:colOff>
      <xdr:row>5</xdr:row>
      <xdr:rowOff>165801</xdr:rowOff>
    </xdr:to>
    <xdr:cxnSp macro="">
      <xdr:nvCxnSpPr>
        <xdr:cNvPr id="283397" name="直線コネクタ 283396"/>
        <xdr:cNvCxnSpPr/>
      </xdr:nvCxnSpPr>
      <xdr:spPr bwMode="auto">
        <a:xfrm flipH="1">
          <a:off x="5739919" y="986160"/>
          <a:ext cx="16605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253458</xdr:colOff>
      <xdr:row>5</xdr:row>
      <xdr:rowOff>114244</xdr:rowOff>
    </xdr:from>
    <xdr:to>
      <xdr:col>8</xdr:col>
      <xdr:colOff>282094</xdr:colOff>
      <xdr:row>5</xdr:row>
      <xdr:rowOff>165801</xdr:rowOff>
    </xdr:to>
    <xdr:cxnSp macro="">
      <xdr:nvCxnSpPr>
        <xdr:cNvPr id="283398" name="直線コネクタ 283397"/>
        <xdr:cNvCxnSpPr/>
      </xdr:nvCxnSpPr>
      <xdr:spPr bwMode="auto">
        <a:xfrm>
          <a:off x="5035008" y="1161994"/>
          <a:ext cx="704911" cy="515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5</xdr:row>
      <xdr:rowOff>165801</xdr:rowOff>
    </xdr:from>
    <xdr:to>
      <xdr:col>8</xdr:col>
      <xdr:colOff>600440</xdr:colOff>
      <xdr:row>5</xdr:row>
      <xdr:rowOff>189037</xdr:rowOff>
    </xdr:to>
    <xdr:cxnSp macro="">
      <xdr:nvCxnSpPr>
        <xdr:cNvPr id="283399" name="直線コネクタ 283398"/>
        <xdr:cNvCxnSpPr/>
      </xdr:nvCxnSpPr>
      <xdr:spPr bwMode="auto">
        <a:xfrm>
          <a:off x="5739919" y="1213551"/>
          <a:ext cx="318346" cy="232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236815</xdr:colOff>
      <xdr:row>5</xdr:row>
      <xdr:rowOff>114244</xdr:rowOff>
    </xdr:from>
    <xdr:to>
      <xdr:col>7</xdr:col>
      <xdr:colOff>253458</xdr:colOff>
      <xdr:row>6</xdr:row>
      <xdr:rowOff>132076</xdr:rowOff>
    </xdr:to>
    <xdr:cxnSp macro="">
      <xdr:nvCxnSpPr>
        <xdr:cNvPr id="283400" name="直線コネクタ 283399"/>
        <xdr:cNvCxnSpPr/>
      </xdr:nvCxnSpPr>
      <xdr:spPr bwMode="auto">
        <a:xfrm flipH="1">
          <a:off x="5018365" y="1161994"/>
          <a:ext cx="16643" cy="2273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204557</xdr:colOff>
      <xdr:row>6</xdr:row>
      <xdr:rowOff>132076</xdr:rowOff>
    </xdr:from>
    <xdr:to>
      <xdr:col>7</xdr:col>
      <xdr:colOff>236815</xdr:colOff>
      <xdr:row>9</xdr:row>
      <xdr:rowOff>6803</xdr:rowOff>
    </xdr:to>
    <xdr:cxnSp macro="">
      <xdr:nvCxnSpPr>
        <xdr:cNvPr id="283401" name="直線コネクタ 283400"/>
        <xdr:cNvCxnSpPr/>
      </xdr:nvCxnSpPr>
      <xdr:spPr bwMode="auto">
        <a:xfrm flipH="1">
          <a:off x="4986107" y="1389376"/>
          <a:ext cx="32258" cy="50337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173154</xdr:colOff>
      <xdr:row>9</xdr:row>
      <xdr:rowOff>6803</xdr:rowOff>
    </xdr:from>
    <xdr:to>
      <xdr:col>7</xdr:col>
      <xdr:colOff>204557</xdr:colOff>
      <xdr:row>12</xdr:row>
      <xdr:rowOff>187693</xdr:rowOff>
    </xdr:to>
    <xdr:cxnSp macro="">
      <xdr:nvCxnSpPr>
        <xdr:cNvPr id="283402" name="直線コネクタ 283401"/>
        <xdr:cNvCxnSpPr/>
      </xdr:nvCxnSpPr>
      <xdr:spPr bwMode="auto">
        <a:xfrm flipH="1">
          <a:off x="4954704" y="1892753"/>
          <a:ext cx="31403" cy="8095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163061</xdr:colOff>
      <xdr:row>12</xdr:row>
      <xdr:rowOff>187693</xdr:rowOff>
    </xdr:from>
    <xdr:to>
      <xdr:col>7</xdr:col>
      <xdr:colOff>173154</xdr:colOff>
      <xdr:row>15</xdr:row>
      <xdr:rowOff>166671</xdr:rowOff>
    </xdr:to>
    <xdr:cxnSp macro="">
      <xdr:nvCxnSpPr>
        <xdr:cNvPr id="283403" name="直線コネクタ 283402"/>
        <xdr:cNvCxnSpPr/>
      </xdr:nvCxnSpPr>
      <xdr:spPr bwMode="auto">
        <a:xfrm flipH="1">
          <a:off x="4944611" y="2702293"/>
          <a:ext cx="10093" cy="60762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15</xdr:row>
      <xdr:rowOff>166671</xdr:rowOff>
    </xdr:from>
    <xdr:to>
      <xdr:col>7</xdr:col>
      <xdr:colOff>163061</xdr:colOff>
      <xdr:row>18</xdr:row>
      <xdr:rowOff>168732</xdr:rowOff>
    </xdr:to>
    <xdr:cxnSp macro="">
      <xdr:nvCxnSpPr>
        <xdr:cNvPr id="283404" name="直線コネクタ 283403"/>
        <xdr:cNvCxnSpPr/>
      </xdr:nvCxnSpPr>
      <xdr:spPr bwMode="auto">
        <a:xfrm flipH="1">
          <a:off x="4941667" y="3309921"/>
          <a:ext cx="2944" cy="63071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18</xdr:row>
      <xdr:rowOff>168732</xdr:rowOff>
    </xdr:from>
    <xdr:to>
      <xdr:col>7</xdr:col>
      <xdr:colOff>162828</xdr:colOff>
      <xdr:row>25</xdr:row>
      <xdr:rowOff>94699</xdr:rowOff>
    </xdr:to>
    <xdr:cxnSp macro="">
      <xdr:nvCxnSpPr>
        <xdr:cNvPr id="283405" name="直線コネクタ 283404"/>
        <xdr:cNvCxnSpPr/>
      </xdr:nvCxnSpPr>
      <xdr:spPr bwMode="auto">
        <a:xfrm>
          <a:off x="4941667" y="3940632"/>
          <a:ext cx="2711" cy="13928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162828</xdr:colOff>
      <xdr:row>25</xdr:row>
      <xdr:rowOff>94699</xdr:rowOff>
    </xdr:from>
    <xdr:to>
      <xdr:col>7</xdr:col>
      <xdr:colOff>163779</xdr:colOff>
      <xdr:row>27</xdr:row>
      <xdr:rowOff>15997</xdr:rowOff>
    </xdr:to>
    <xdr:cxnSp macro="">
      <xdr:nvCxnSpPr>
        <xdr:cNvPr id="283406" name="直線コネクタ 283405"/>
        <xdr:cNvCxnSpPr/>
      </xdr:nvCxnSpPr>
      <xdr:spPr bwMode="auto">
        <a:xfrm>
          <a:off x="4944378" y="5333449"/>
          <a:ext cx="951" cy="3403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583848</xdr:colOff>
      <xdr:row>5</xdr:row>
      <xdr:rowOff>189037</xdr:rowOff>
    </xdr:from>
    <xdr:to>
      <xdr:col>8</xdr:col>
      <xdr:colOff>600440</xdr:colOff>
      <xdr:row>6</xdr:row>
      <xdr:rowOff>206865</xdr:rowOff>
    </xdr:to>
    <xdr:cxnSp macro="">
      <xdr:nvCxnSpPr>
        <xdr:cNvPr id="283407" name="直線コネクタ 283406"/>
        <xdr:cNvCxnSpPr/>
      </xdr:nvCxnSpPr>
      <xdr:spPr bwMode="auto">
        <a:xfrm flipH="1">
          <a:off x="6041673" y="1236787"/>
          <a:ext cx="16592" cy="2273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551664</xdr:colOff>
      <xdr:row>6</xdr:row>
      <xdr:rowOff>206865</xdr:rowOff>
    </xdr:from>
    <xdr:to>
      <xdr:col>8</xdr:col>
      <xdr:colOff>583848</xdr:colOff>
      <xdr:row>9</xdr:row>
      <xdr:rowOff>79095</xdr:rowOff>
    </xdr:to>
    <xdr:cxnSp macro="">
      <xdr:nvCxnSpPr>
        <xdr:cNvPr id="283408" name="直線コネクタ 283407"/>
        <xdr:cNvCxnSpPr/>
      </xdr:nvCxnSpPr>
      <xdr:spPr bwMode="auto">
        <a:xfrm flipH="1">
          <a:off x="6009489" y="1464165"/>
          <a:ext cx="32184" cy="500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520269</xdr:colOff>
      <xdr:row>9</xdr:row>
      <xdr:rowOff>79095</xdr:rowOff>
    </xdr:from>
    <xdr:to>
      <xdr:col>8</xdr:col>
      <xdr:colOff>551664</xdr:colOff>
      <xdr:row>13</xdr:row>
      <xdr:rowOff>46644</xdr:rowOff>
    </xdr:to>
    <xdr:cxnSp macro="">
      <xdr:nvCxnSpPr>
        <xdr:cNvPr id="283409" name="直線コネクタ 283408"/>
        <xdr:cNvCxnSpPr/>
      </xdr:nvCxnSpPr>
      <xdr:spPr bwMode="auto">
        <a:xfrm flipH="1">
          <a:off x="5978094" y="1965045"/>
          <a:ext cx="31395" cy="8057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510140</xdr:colOff>
      <xdr:row>13</xdr:row>
      <xdr:rowOff>46644</xdr:rowOff>
    </xdr:from>
    <xdr:to>
      <xdr:col>8</xdr:col>
      <xdr:colOff>520269</xdr:colOff>
      <xdr:row>16</xdr:row>
      <xdr:rowOff>22979</xdr:rowOff>
    </xdr:to>
    <xdr:cxnSp macro="">
      <xdr:nvCxnSpPr>
        <xdr:cNvPr id="283410" name="直線コネクタ 283409"/>
        <xdr:cNvCxnSpPr/>
      </xdr:nvCxnSpPr>
      <xdr:spPr bwMode="auto">
        <a:xfrm flipH="1">
          <a:off x="5967965" y="2770794"/>
          <a:ext cx="10129" cy="60498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16</xdr:row>
      <xdr:rowOff>22979</xdr:rowOff>
    </xdr:from>
    <xdr:to>
      <xdr:col>8</xdr:col>
      <xdr:colOff>510140</xdr:colOff>
      <xdr:row>19</xdr:row>
      <xdr:rowOff>22539</xdr:rowOff>
    </xdr:to>
    <xdr:cxnSp macro="">
      <xdr:nvCxnSpPr>
        <xdr:cNvPr id="283411" name="直線コネクタ 283410"/>
        <xdr:cNvCxnSpPr/>
      </xdr:nvCxnSpPr>
      <xdr:spPr bwMode="auto">
        <a:xfrm flipH="1">
          <a:off x="5964974" y="3375779"/>
          <a:ext cx="2991" cy="6282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19</xdr:row>
      <xdr:rowOff>22539</xdr:rowOff>
    </xdr:from>
    <xdr:to>
      <xdr:col>8</xdr:col>
      <xdr:colOff>509779</xdr:colOff>
      <xdr:row>25</xdr:row>
      <xdr:rowOff>154752</xdr:rowOff>
    </xdr:to>
    <xdr:cxnSp macro="">
      <xdr:nvCxnSpPr>
        <xdr:cNvPr id="283412" name="直線コネクタ 283411"/>
        <xdr:cNvCxnSpPr/>
      </xdr:nvCxnSpPr>
      <xdr:spPr bwMode="auto">
        <a:xfrm>
          <a:off x="5964974" y="4003989"/>
          <a:ext cx="2630" cy="13895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509779</xdr:colOff>
      <xdr:row>25</xdr:row>
      <xdr:rowOff>154752</xdr:rowOff>
    </xdr:from>
    <xdr:to>
      <xdr:col>8</xdr:col>
      <xdr:colOff>510711</xdr:colOff>
      <xdr:row>27</xdr:row>
      <xdr:rowOff>75762</xdr:rowOff>
    </xdr:to>
    <xdr:cxnSp macro="">
      <xdr:nvCxnSpPr>
        <xdr:cNvPr id="283413" name="直線コネクタ 283412"/>
        <xdr:cNvCxnSpPr/>
      </xdr:nvCxnSpPr>
      <xdr:spPr bwMode="auto">
        <a:xfrm>
          <a:off x="5967604" y="5393502"/>
          <a:ext cx="932" cy="3401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3414" name="テキスト ボックス 283413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3415" name="直線コネクタ 283414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3416" name="テキスト ボックス 283415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3417" name="直線コネクタ 283416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12486;&#12473;&#12488;&#12487;&#12540;&#12479;\&#20013;&#22830;&#26032;&#24185;&#32218;P12&#27211;&#3305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ご利用方法"/>
      <sheetName val="く体の計算"/>
      <sheetName val="組合せ(線路)"/>
      <sheetName val="格点"/>
      <sheetName val="支点"/>
      <sheetName val="部材"/>
      <sheetName val="材料"/>
      <sheetName val="結合"/>
      <sheetName val="着目点"/>
      <sheetName val="バネ"/>
      <sheetName val="荷重名称"/>
      <sheetName val="荷重強度"/>
      <sheetName val="荷重図"/>
      <sheetName val="DEFINE"/>
      <sheetName val="COMBINE"/>
      <sheetName val="PICKUP"/>
      <sheetName val="計算・出力"/>
      <sheetName val="PickUp・出力"/>
      <sheetName val="応力図"/>
    </sheetNames>
    <sheetDataSet>
      <sheetData sheetId="0" refreshError="1"/>
      <sheetData sheetId="1">
        <row r="353">
          <cell r="O353">
            <v>2.0209999999999999</v>
          </cell>
        </row>
        <row r="354">
          <cell r="O354">
            <v>1.62</v>
          </cell>
        </row>
        <row r="358">
          <cell r="O358">
            <v>1.516</v>
          </cell>
        </row>
        <row r="359">
          <cell r="O359">
            <v>1.2150000000000001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com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opLeftCell="A49" zoomScaleNormal="100" workbookViewId="0">
      <selection activeCell="B16" sqref="B16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51"/>
      <c r="C13" s="151"/>
      <c r="D13" s="151"/>
      <c r="E13" s="151"/>
      <c r="F13" s="151"/>
      <c r="G13" s="151"/>
      <c r="H13" s="151"/>
      <c r="I13" s="151"/>
      <c r="J13" s="151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51"/>
      <c r="C15" s="151"/>
      <c r="D15" s="151"/>
      <c r="E15" s="151"/>
      <c r="F15" s="151"/>
      <c r="G15" s="151"/>
      <c r="H15" s="151"/>
      <c r="I15" s="151"/>
      <c r="J15" s="151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52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52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178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3" r:id="rId7" name="TextBox1">
          <controlPr defaultSize="0" autoLine="0" r:id="rId8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7" name="TextBox1"/>
      </mc:Fallback>
    </mc:AlternateContent>
    <mc:AlternateContent xmlns:mc="http://schemas.openxmlformats.org/markup-compatibility/2006">
      <mc:Choice Requires="x14">
        <control shapeId="231584" r:id="rId9" name="TextBox2">
          <controlPr defaultSize="0" autoLine="0" r:id="rId10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9" name="TextBox2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85"/>
  <sheetViews>
    <sheetView zoomScale="115" zoomScaleNormal="115" workbookViewId="0">
      <selection activeCell="A20" sqref="A20:XFD28"/>
    </sheetView>
  </sheetViews>
  <sheetFormatPr defaultRowHeight="13.5" customHeight="1"/>
  <cols>
    <col min="1" max="1" width="9" style="22" customWidth="1"/>
    <col min="2" max="3" width="9" style="24" customWidth="1"/>
    <col min="4" max="4" width="9" style="24" hidden="1" customWidth="1"/>
    <col min="5" max="255" width="9" style="19" customWidth="1"/>
    <col min="256" max="16384" width="9" style="19"/>
  </cols>
  <sheetData>
    <row r="1" spans="1:4" ht="13.5" customHeight="1">
      <c r="A1" s="28"/>
      <c r="B1" s="18"/>
      <c r="C1" s="18"/>
      <c r="D1" s="18"/>
    </row>
    <row r="2" spans="1:4" ht="13.5" customHeight="1">
      <c r="A2" s="30" t="s">
        <v>146</v>
      </c>
      <c r="B2" s="19"/>
      <c r="C2" s="18"/>
      <c r="D2" s="18"/>
    </row>
    <row r="3" spans="1:4" ht="13.5" customHeight="1">
      <c r="A3" s="28"/>
      <c r="B3" s="18"/>
      <c r="C3" s="18"/>
      <c r="D3" s="18"/>
    </row>
    <row r="4" spans="1:4" ht="13.5" customHeight="1">
      <c r="A4" s="43"/>
      <c r="B4" s="21"/>
      <c r="C4" s="21"/>
      <c r="D4" s="21"/>
    </row>
    <row r="5" spans="1:4" ht="13.5" customHeight="1">
      <c r="A5" s="22" t="s">
        <v>147</v>
      </c>
      <c r="B5" s="22" t="s">
        <v>148</v>
      </c>
      <c r="C5" s="22" t="s">
        <v>150</v>
      </c>
      <c r="D5" s="23" t="s">
        <v>152</v>
      </c>
    </row>
    <row r="6" spans="1:4" ht="13.5" customHeight="1">
      <c r="A6" s="22">
        <v>1</v>
      </c>
      <c r="B6" s="205">
        <v>-12.2</v>
      </c>
      <c r="C6" s="205">
        <v>-18.600000000000001</v>
      </c>
      <c r="D6" s="40">
        <v>0</v>
      </c>
    </row>
    <row r="7" spans="1:4" ht="13.5" customHeight="1">
      <c r="A7" s="22">
        <v>2</v>
      </c>
      <c r="B7" s="205">
        <v>-11.25</v>
      </c>
      <c r="C7" s="205">
        <v>-18.600000000000001</v>
      </c>
      <c r="D7" s="40">
        <v>0</v>
      </c>
    </row>
    <row r="8" spans="1:4" ht="13.5" customHeight="1">
      <c r="A8" s="22">
        <v>3</v>
      </c>
      <c r="B8" s="205">
        <v>-3.75</v>
      </c>
      <c r="C8" s="205">
        <v>-18.600000000000001</v>
      </c>
      <c r="D8" s="40">
        <v>0</v>
      </c>
    </row>
    <row r="9" spans="1:4" ht="13.5" customHeight="1">
      <c r="A9" s="22">
        <v>4</v>
      </c>
      <c r="B9" s="205">
        <v>3.75</v>
      </c>
      <c r="C9" s="205">
        <v>-18.600000000000001</v>
      </c>
      <c r="D9" s="40">
        <v>0</v>
      </c>
    </row>
    <row r="10" spans="1:4" ht="13.5" customHeight="1">
      <c r="A10" s="22">
        <v>5</v>
      </c>
      <c r="B10" s="205">
        <v>11.25</v>
      </c>
      <c r="C10" s="205">
        <v>-18.600000000000001</v>
      </c>
      <c r="D10" s="40">
        <v>0</v>
      </c>
    </row>
    <row r="11" spans="1:4" ht="13.5" customHeight="1">
      <c r="A11" s="22">
        <v>6</v>
      </c>
      <c r="B11" s="205">
        <v>12.2</v>
      </c>
      <c r="C11" s="205">
        <v>-18.600000000000001</v>
      </c>
      <c r="D11" s="40">
        <v>0</v>
      </c>
    </row>
    <row r="12" spans="1:4" ht="13.5" customHeight="1">
      <c r="A12" s="22">
        <v>7</v>
      </c>
      <c r="B12" s="205">
        <v>-11.25</v>
      </c>
      <c r="C12" s="205">
        <v>-17.075000000000003</v>
      </c>
      <c r="D12" s="40">
        <v>0</v>
      </c>
    </row>
    <row r="13" spans="1:4" ht="13.5" customHeight="1">
      <c r="A13" s="22">
        <v>8</v>
      </c>
      <c r="B13" s="205">
        <v>-3.75</v>
      </c>
      <c r="C13" s="205">
        <v>-17.075000000000003</v>
      </c>
      <c r="D13" s="40"/>
    </row>
    <row r="14" spans="1:4" ht="13.5" customHeight="1">
      <c r="A14" s="22">
        <v>9</v>
      </c>
      <c r="B14" s="205">
        <v>3.75</v>
      </c>
      <c r="C14" s="205">
        <v>-17.075000000000003</v>
      </c>
      <c r="D14" s="40"/>
    </row>
    <row r="15" spans="1:4" ht="13.5" customHeight="1">
      <c r="A15" s="22">
        <v>10</v>
      </c>
      <c r="B15" s="205">
        <v>11.25</v>
      </c>
      <c r="C15" s="205">
        <v>-17.075000000000003</v>
      </c>
      <c r="D15" s="40"/>
    </row>
    <row r="16" spans="1:4" ht="13.5" customHeight="1">
      <c r="A16" s="22">
        <v>11</v>
      </c>
      <c r="B16" s="205">
        <v>-11.25</v>
      </c>
      <c r="C16" s="205">
        <v>0</v>
      </c>
      <c r="D16" s="40"/>
    </row>
    <row r="17" spans="1:4" ht="13.5" customHeight="1">
      <c r="A17" s="22">
        <v>12</v>
      </c>
      <c r="B17" s="205">
        <v>-3.75</v>
      </c>
      <c r="C17" s="205">
        <v>0</v>
      </c>
      <c r="D17" s="40"/>
    </row>
    <row r="18" spans="1:4" ht="13.5" customHeight="1">
      <c r="A18" s="22">
        <v>13</v>
      </c>
      <c r="B18" s="205">
        <v>3.75</v>
      </c>
      <c r="C18" s="205">
        <v>0</v>
      </c>
      <c r="D18" s="40"/>
    </row>
    <row r="19" spans="1:4" ht="13.5" customHeight="1">
      <c r="A19" s="22">
        <v>14</v>
      </c>
      <c r="B19" s="205">
        <v>11.25</v>
      </c>
      <c r="C19" s="205">
        <v>0</v>
      </c>
    </row>
    <row r="20" spans="1:4" ht="13.5" customHeight="1">
      <c r="B20" s="40"/>
      <c r="C20" s="40"/>
    </row>
    <row r="21" spans="1:4" ht="13.5" customHeight="1">
      <c r="B21" s="40"/>
      <c r="C21" s="40"/>
    </row>
    <row r="22" spans="1:4" ht="13.5" customHeight="1">
      <c r="B22" s="40"/>
      <c r="C22" s="40"/>
    </row>
    <row r="23" spans="1:4" ht="13.5" customHeight="1">
      <c r="B23" s="40"/>
      <c r="C23" s="40"/>
    </row>
    <row r="24" spans="1:4" ht="13.5" customHeight="1">
      <c r="B24" s="40"/>
      <c r="C24" s="40"/>
    </row>
    <row r="25" spans="1:4" ht="13.5" customHeight="1">
      <c r="B25" s="40"/>
      <c r="C25" s="40"/>
    </row>
    <row r="26" spans="1:4" ht="13.5" customHeight="1">
      <c r="B26" s="40"/>
      <c r="C26" s="40"/>
    </row>
    <row r="27" spans="1:4" ht="13.5" customHeight="1">
      <c r="B27" s="40"/>
      <c r="C27" s="40"/>
    </row>
    <row r="28" spans="1:4" ht="13.5" customHeight="1">
      <c r="B28" s="40"/>
      <c r="C28" s="40"/>
    </row>
    <row r="29" spans="1:4" ht="13.5" customHeight="1">
      <c r="B29" s="40"/>
      <c r="C29" s="40"/>
    </row>
    <row r="30" spans="1:4" ht="13.5" customHeight="1">
      <c r="B30" s="40"/>
      <c r="C30" s="40"/>
    </row>
    <row r="31" spans="1:4" ht="13.5" customHeight="1">
      <c r="B31" s="40"/>
      <c r="C31" s="40"/>
    </row>
    <row r="32" spans="1:4" ht="13.5" customHeight="1">
      <c r="B32" s="40"/>
      <c r="C32" s="40"/>
    </row>
    <row r="33" spans="2:3" ht="13.5" customHeight="1">
      <c r="B33" s="40"/>
      <c r="C33" s="40"/>
    </row>
    <row r="34" spans="2:3" ht="13.5" customHeight="1">
      <c r="B34" s="40"/>
      <c r="C34" s="40"/>
    </row>
    <row r="35" spans="2:3" ht="13.5" customHeight="1">
      <c r="B35" s="40"/>
      <c r="C35" s="40"/>
    </row>
    <row r="36" spans="2:3" ht="13.5" customHeight="1">
      <c r="B36" s="40"/>
      <c r="C36" s="40"/>
    </row>
    <row r="37" spans="2:3" ht="13.5" customHeight="1">
      <c r="B37" s="40"/>
      <c r="C37" s="40"/>
    </row>
    <row r="38" spans="2:3" ht="13.5" customHeight="1">
      <c r="B38" s="40"/>
      <c r="C38" s="40"/>
    </row>
    <row r="39" spans="2:3" ht="13.5" customHeight="1">
      <c r="B39" s="40"/>
      <c r="C39" s="40"/>
    </row>
    <row r="40" spans="2:3" ht="13.5" customHeight="1">
      <c r="B40" s="40"/>
      <c r="C40" s="40"/>
    </row>
    <row r="41" spans="2:3" ht="13.5" customHeight="1">
      <c r="B41" s="40"/>
      <c r="C41" s="40"/>
    </row>
    <row r="42" spans="2:3" ht="13.5" customHeight="1">
      <c r="B42" s="40"/>
      <c r="C42" s="40"/>
    </row>
    <row r="43" spans="2:3" ht="13.5" customHeight="1">
      <c r="B43" s="40"/>
      <c r="C43" s="40"/>
    </row>
    <row r="44" spans="2:3" ht="13.5" customHeight="1">
      <c r="B44" s="40"/>
      <c r="C44" s="40"/>
    </row>
    <row r="45" spans="2:3" ht="13.5" customHeight="1">
      <c r="B45" s="40"/>
      <c r="C45" s="40"/>
    </row>
    <row r="46" spans="2:3" ht="13.5" customHeight="1">
      <c r="B46" s="40"/>
      <c r="C46" s="40"/>
    </row>
    <row r="47" spans="2:3" ht="13.5" customHeight="1">
      <c r="B47" s="40"/>
      <c r="C47" s="40"/>
    </row>
    <row r="48" spans="2:3" ht="13.5" customHeight="1">
      <c r="B48" s="40"/>
      <c r="C48" s="40"/>
    </row>
    <row r="49" spans="2:3" ht="13.5" customHeight="1">
      <c r="B49" s="40"/>
      <c r="C49" s="40"/>
    </row>
    <row r="50" spans="2:3" ht="13.5" customHeight="1">
      <c r="B50" s="40"/>
      <c r="C50" s="40"/>
    </row>
    <row r="51" spans="2:3" ht="13.5" customHeight="1">
      <c r="B51" s="123"/>
      <c r="C51" s="40"/>
    </row>
    <row r="52" spans="2:3" ht="13.5" customHeight="1">
      <c r="B52" s="123"/>
      <c r="C52" s="40"/>
    </row>
    <row r="53" spans="2:3" ht="13.5" customHeight="1">
      <c r="B53" s="123"/>
      <c r="C53" s="40"/>
    </row>
    <row r="54" spans="2:3" ht="13.5" customHeight="1">
      <c r="B54" s="123"/>
      <c r="C54" s="40"/>
    </row>
    <row r="55" spans="2:3" ht="13.5" customHeight="1">
      <c r="B55" s="123"/>
      <c r="C55" s="40"/>
    </row>
    <row r="56" spans="2:3" ht="13.5" customHeight="1">
      <c r="B56" s="40"/>
      <c r="C56" s="40"/>
    </row>
    <row r="57" spans="2:3" ht="13.5" customHeight="1">
      <c r="B57" s="123"/>
      <c r="C57" s="40"/>
    </row>
    <row r="58" spans="2:3" ht="13.5" customHeight="1">
      <c r="B58" s="123"/>
      <c r="C58" s="40"/>
    </row>
    <row r="59" spans="2:3" ht="13.5" customHeight="1">
      <c r="B59" s="123"/>
      <c r="C59" s="40"/>
    </row>
    <row r="60" spans="2:3" ht="13.5" customHeight="1">
      <c r="B60" s="123"/>
      <c r="C60" s="40"/>
    </row>
    <row r="61" spans="2:3" ht="13.5" customHeight="1">
      <c r="B61" s="123"/>
      <c r="C61" s="40"/>
    </row>
    <row r="62" spans="2:3" ht="13.5" customHeight="1">
      <c r="B62" s="123"/>
      <c r="C62" s="40"/>
    </row>
    <row r="63" spans="2:3" ht="13.5" customHeight="1">
      <c r="B63" s="123"/>
      <c r="C63" s="40"/>
    </row>
    <row r="64" spans="2:3" ht="13.5" customHeight="1">
      <c r="B64" s="123"/>
      <c r="C64" s="40"/>
    </row>
    <row r="65" spans="2:3" ht="13.5" customHeight="1">
      <c r="B65" s="123"/>
      <c r="C65" s="40"/>
    </row>
    <row r="66" spans="2:3" ht="13.5" customHeight="1">
      <c r="B66" s="123"/>
      <c r="C66" s="40"/>
    </row>
    <row r="67" spans="2:3" ht="13.5" customHeight="1">
      <c r="B67" s="123"/>
      <c r="C67" s="40"/>
    </row>
    <row r="68" spans="2:3" ht="13.5" customHeight="1">
      <c r="B68" s="123"/>
      <c r="C68" s="40"/>
    </row>
    <row r="69" spans="2:3" ht="13.5" customHeight="1">
      <c r="B69" s="123"/>
      <c r="C69" s="40"/>
    </row>
    <row r="70" spans="2:3" ht="13.5" customHeight="1">
      <c r="B70" s="123"/>
      <c r="C70" s="40"/>
    </row>
    <row r="71" spans="2:3" ht="13.5" customHeight="1">
      <c r="B71" s="123"/>
      <c r="C71" s="40"/>
    </row>
    <row r="72" spans="2:3" ht="13.5" customHeight="1">
      <c r="B72" s="123"/>
      <c r="C72" s="40"/>
    </row>
    <row r="73" spans="2:3" ht="13.5" customHeight="1">
      <c r="B73" s="123"/>
      <c r="C73" s="40"/>
    </row>
    <row r="74" spans="2:3" ht="13.5" customHeight="1">
      <c r="B74" s="123"/>
      <c r="C74" s="40"/>
    </row>
    <row r="75" spans="2:3" ht="13.5" customHeight="1">
      <c r="B75" s="123"/>
      <c r="C75" s="40"/>
    </row>
    <row r="76" spans="2:3" ht="13.5" customHeight="1">
      <c r="B76" s="123"/>
      <c r="C76" s="40"/>
    </row>
    <row r="77" spans="2:3" ht="13.5" customHeight="1">
      <c r="B77" s="123"/>
      <c r="C77" s="40"/>
    </row>
    <row r="78" spans="2:3" ht="13.5" customHeight="1">
      <c r="B78" s="123"/>
      <c r="C78" s="40"/>
    </row>
    <row r="79" spans="2:3" ht="13.5" customHeight="1">
      <c r="B79" s="123"/>
      <c r="C79" s="40"/>
    </row>
    <row r="80" spans="2:3" ht="13.5" customHeight="1">
      <c r="B80" s="123"/>
      <c r="C80" s="40"/>
    </row>
    <row r="81" spans="2:3" ht="13.5" customHeight="1">
      <c r="B81" s="123"/>
      <c r="C81" s="40"/>
    </row>
    <row r="82" spans="2:3" ht="13.5" customHeight="1">
      <c r="B82" s="123"/>
      <c r="C82" s="40"/>
    </row>
    <row r="83" spans="2:3" ht="13.5" customHeight="1">
      <c r="B83" s="123"/>
      <c r="C83" s="40"/>
    </row>
    <row r="84" spans="2:3" ht="13.5" customHeight="1">
      <c r="B84" s="123"/>
      <c r="C84" s="40"/>
    </row>
    <row r="85" spans="2:3" ht="13.5" customHeight="1">
      <c r="B85" s="123"/>
      <c r="C85" s="40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85" zoomScaleNormal="85" workbookViewId="0">
      <selection activeCell="H8" sqref="H8:I12"/>
    </sheetView>
  </sheetViews>
  <sheetFormatPr defaultColWidth="13.625" defaultRowHeight="13.5" customHeight="1"/>
  <cols>
    <col min="1" max="1" width="8.875" style="42" customWidth="1"/>
    <col min="2" max="3" width="13.625" style="39" customWidth="1"/>
    <col min="4" max="4" width="13.625" style="39" hidden="1" customWidth="1"/>
    <col min="5" max="5" width="13.625" style="39" hidden="1" customWidth="1" collapsed="1"/>
    <col min="6" max="6" width="13.625" style="39" hidden="1" customWidth="1"/>
    <col min="7" max="9" width="13.625" style="39" customWidth="1"/>
    <col min="10" max="12" width="13.625" style="39" hidden="1" customWidth="1"/>
    <col min="13" max="15" width="13.625" style="39" customWidth="1"/>
    <col min="16" max="18" width="13.625" style="39" hidden="1" customWidth="1"/>
    <col min="19" max="19" width="13.625" style="39" customWidth="1"/>
    <col min="20" max="16384" width="13.625" style="19"/>
  </cols>
  <sheetData>
    <row r="1" spans="1:19" ht="13.5" customHeight="1">
      <c r="A1" s="28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</row>
    <row r="2" spans="1:19" ht="13.5" customHeight="1">
      <c r="A2" s="30" t="s">
        <v>48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19" ht="13.5" customHeight="1">
      <c r="A3" s="28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</row>
    <row r="4" spans="1:19" ht="13.5" customHeight="1">
      <c r="A4" s="28"/>
      <c r="B4" s="37" t="s">
        <v>109</v>
      </c>
      <c r="C4" s="38"/>
      <c r="D4" s="38"/>
      <c r="E4" s="38"/>
      <c r="F4" s="38"/>
      <c r="G4" s="38"/>
      <c r="H4" s="38"/>
      <c r="I4" s="38"/>
      <c r="J4" s="38"/>
      <c r="K4" s="37"/>
      <c r="L4" s="38"/>
      <c r="M4" s="38"/>
      <c r="N4" s="38"/>
      <c r="O4" s="38"/>
      <c r="P4" s="38"/>
      <c r="Q4" s="37"/>
      <c r="R4" s="38"/>
      <c r="S4" s="38"/>
    </row>
    <row r="5" spans="1:19" ht="13.5" customHeight="1">
      <c r="A5" s="155" t="s">
        <v>37</v>
      </c>
      <c r="B5" s="157" t="s">
        <v>153</v>
      </c>
      <c r="C5" s="157"/>
      <c r="D5" s="157"/>
      <c r="E5" s="157"/>
      <c r="F5" s="157"/>
      <c r="G5" s="157"/>
      <c r="H5" s="158" t="s">
        <v>50</v>
      </c>
      <c r="I5" s="158"/>
      <c r="J5" s="158"/>
      <c r="K5" s="158"/>
      <c r="L5" s="158"/>
      <c r="M5" s="158"/>
      <c r="N5" s="153" t="s">
        <v>154</v>
      </c>
      <c r="O5" s="153"/>
      <c r="P5" s="153"/>
      <c r="Q5" s="153"/>
      <c r="R5" s="153"/>
      <c r="S5" s="153"/>
    </row>
    <row r="6" spans="1:19" ht="13.5" customHeight="1">
      <c r="A6" s="155"/>
      <c r="B6" s="156" t="s">
        <v>33</v>
      </c>
      <c r="C6" s="156"/>
      <c r="D6" s="156"/>
      <c r="E6" s="156" t="s">
        <v>34</v>
      </c>
      <c r="F6" s="156"/>
      <c r="G6" s="156"/>
      <c r="H6" s="159" t="s">
        <v>33</v>
      </c>
      <c r="I6" s="159"/>
      <c r="J6" s="159"/>
      <c r="K6" s="159" t="s">
        <v>34</v>
      </c>
      <c r="L6" s="159"/>
      <c r="M6" s="159"/>
      <c r="N6" s="154" t="s">
        <v>33</v>
      </c>
      <c r="O6" s="154"/>
      <c r="P6" s="154"/>
      <c r="Q6" s="154" t="s">
        <v>34</v>
      </c>
      <c r="R6" s="154"/>
      <c r="S6" s="154"/>
    </row>
    <row r="7" spans="1:19" ht="13.5" customHeight="1">
      <c r="A7" s="155"/>
      <c r="B7" s="115" t="s">
        <v>148</v>
      </c>
      <c r="C7" s="115" t="s">
        <v>149</v>
      </c>
      <c r="D7" s="115" t="s">
        <v>151</v>
      </c>
      <c r="E7" s="115" t="s">
        <v>148</v>
      </c>
      <c r="F7" s="115" t="s">
        <v>149</v>
      </c>
      <c r="G7" s="115" t="s">
        <v>151</v>
      </c>
      <c r="H7" s="116" t="s">
        <v>148</v>
      </c>
      <c r="I7" s="116" t="s">
        <v>149</v>
      </c>
      <c r="J7" s="116" t="s">
        <v>151</v>
      </c>
      <c r="K7" s="116" t="s">
        <v>148</v>
      </c>
      <c r="L7" s="116" t="s">
        <v>149</v>
      </c>
      <c r="M7" s="116" t="s">
        <v>151</v>
      </c>
      <c r="N7" s="114" t="s">
        <v>148</v>
      </c>
      <c r="O7" s="114" t="s">
        <v>149</v>
      </c>
      <c r="P7" s="114" t="s">
        <v>151</v>
      </c>
      <c r="Q7" s="114" t="s">
        <v>148</v>
      </c>
      <c r="R7" s="114" t="s">
        <v>149</v>
      </c>
      <c r="S7" s="114" t="s">
        <v>151</v>
      </c>
    </row>
    <row r="8" spans="1:19" ht="13.5" customHeight="1">
      <c r="A8" s="206">
        <v>11</v>
      </c>
      <c r="B8" s="207">
        <v>1</v>
      </c>
      <c r="C8" s="207">
        <v>1</v>
      </c>
      <c r="D8" s="207">
        <v>0</v>
      </c>
      <c r="E8" s="207"/>
      <c r="F8" s="207"/>
      <c r="G8" s="207">
        <v>1</v>
      </c>
    </row>
    <row r="9" spans="1:19" ht="13.5" customHeight="1">
      <c r="A9" s="206">
        <v>12</v>
      </c>
      <c r="B9" s="207">
        <v>1</v>
      </c>
      <c r="C9" s="207">
        <v>1</v>
      </c>
      <c r="D9" s="207">
        <v>0</v>
      </c>
      <c r="E9" s="207">
        <v>0</v>
      </c>
      <c r="F9" s="207">
        <v>0</v>
      </c>
      <c r="G9" s="207">
        <v>1</v>
      </c>
    </row>
    <row r="10" spans="1:19" ht="13.5" customHeight="1">
      <c r="A10" s="206">
        <v>13</v>
      </c>
      <c r="B10" s="207">
        <v>1</v>
      </c>
      <c r="C10" s="207">
        <v>1</v>
      </c>
      <c r="D10" s="207">
        <v>0</v>
      </c>
      <c r="E10" s="207">
        <v>0</v>
      </c>
      <c r="F10" s="207">
        <v>0</v>
      </c>
      <c r="G10" s="207">
        <v>1</v>
      </c>
    </row>
    <row r="11" spans="1:19" ht="13.5" customHeight="1">
      <c r="A11" s="206">
        <v>14</v>
      </c>
      <c r="B11" s="207">
        <v>1</v>
      </c>
      <c r="C11" s="207">
        <v>1</v>
      </c>
      <c r="D11" s="207">
        <v>0</v>
      </c>
      <c r="E11" s="207">
        <v>0</v>
      </c>
      <c r="F11" s="207">
        <v>0</v>
      </c>
      <c r="G11" s="207">
        <v>1</v>
      </c>
    </row>
    <row r="12" spans="1:19" ht="13.5" customHeight="1">
      <c r="A12" s="41"/>
    </row>
    <row r="13" spans="1:19" ht="13.5" customHeight="1">
      <c r="A13" s="41"/>
    </row>
    <row r="14" spans="1:19" ht="13.5" customHeight="1">
      <c r="A14" s="41"/>
    </row>
    <row r="15" spans="1:19" ht="13.5" customHeight="1">
      <c r="A15" s="41"/>
      <c r="D15" s="39">
        <v>2</v>
      </c>
    </row>
    <row r="16" spans="1:19" ht="13.5" customHeight="1">
      <c r="A16" s="41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27"/>
  <sheetViews>
    <sheetView zoomScale="85" zoomScaleNormal="85" workbookViewId="0">
      <selection activeCell="I18" sqref="I18"/>
    </sheetView>
  </sheetViews>
  <sheetFormatPr defaultColWidth="10.875" defaultRowHeight="13.5" customHeight="1"/>
  <cols>
    <col min="1" max="1" width="10.875" style="22" customWidth="1"/>
    <col min="2" max="3" width="10.875" style="113" customWidth="1"/>
    <col min="4" max="4" width="10.875" style="34" customWidth="1"/>
    <col min="5" max="5" width="10.875" style="44" customWidth="1"/>
    <col min="6" max="6" width="10.875" style="35" hidden="1" customWidth="1"/>
    <col min="7" max="7" width="10.875" style="45" customWidth="1"/>
    <col min="8" max="16384" width="10.875" style="19"/>
  </cols>
  <sheetData>
    <row r="1" spans="1:7" ht="13.5" customHeight="1">
      <c r="A1" s="28"/>
      <c r="B1" s="73"/>
      <c r="C1" s="73"/>
      <c r="D1" s="29"/>
      <c r="E1" s="28"/>
      <c r="F1" s="18"/>
      <c r="G1" s="46"/>
    </row>
    <row r="2" spans="1:7" ht="13.5" customHeight="1">
      <c r="A2" s="30" t="s">
        <v>51</v>
      </c>
      <c r="B2" s="73"/>
      <c r="C2" s="73"/>
      <c r="D2" s="29"/>
      <c r="E2" s="28"/>
      <c r="F2" s="18"/>
      <c r="G2" s="46"/>
    </row>
    <row r="3" spans="1:7" ht="13.5" customHeight="1">
      <c r="A3" s="31"/>
      <c r="B3" s="73"/>
      <c r="C3" s="110"/>
      <c r="D3" s="29"/>
      <c r="E3" s="28"/>
      <c r="F3" s="18"/>
      <c r="G3" s="46"/>
    </row>
    <row r="4" spans="1:7" ht="13.5" customHeight="1">
      <c r="A4" s="32"/>
      <c r="B4" s="111"/>
      <c r="C4" s="111"/>
      <c r="D4" s="29"/>
      <c r="E4" s="43"/>
      <c r="F4" s="21"/>
      <c r="G4" s="46"/>
    </row>
    <row r="5" spans="1:7" ht="13.5" customHeight="1">
      <c r="A5" s="117" t="s">
        <v>155</v>
      </c>
      <c r="B5" s="119" t="s">
        <v>25</v>
      </c>
      <c r="C5" s="119" t="s">
        <v>26</v>
      </c>
      <c r="D5" s="119" t="s">
        <v>94</v>
      </c>
      <c r="E5" s="33" t="s">
        <v>108</v>
      </c>
      <c r="F5" s="33" t="s">
        <v>156</v>
      </c>
    </row>
    <row r="6" spans="1:7" ht="13.5" customHeight="1">
      <c r="A6" s="208">
        <v>1</v>
      </c>
      <c r="B6" s="209">
        <v>1</v>
      </c>
      <c r="C6" s="209">
        <v>2</v>
      </c>
      <c r="D6" s="210">
        <v>0.95</v>
      </c>
      <c r="E6" s="211">
        <v>1</v>
      </c>
      <c r="F6" s="35">
        <v>0</v>
      </c>
    </row>
    <row r="7" spans="1:7" ht="13.5" customHeight="1">
      <c r="A7" s="208">
        <v>2</v>
      </c>
      <c r="B7" s="209">
        <v>2</v>
      </c>
      <c r="C7" s="209">
        <v>3</v>
      </c>
      <c r="D7" s="210">
        <v>7.5</v>
      </c>
      <c r="E7" s="211">
        <v>2</v>
      </c>
      <c r="F7" s="35">
        <v>0</v>
      </c>
    </row>
    <row r="8" spans="1:7" ht="13.5" customHeight="1">
      <c r="A8" s="208">
        <v>3</v>
      </c>
      <c r="B8" s="209">
        <v>3</v>
      </c>
      <c r="C8" s="209">
        <v>4</v>
      </c>
      <c r="D8" s="210">
        <v>7.5</v>
      </c>
      <c r="E8" s="211">
        <f t="shared" ref="E8" si="0">E7</f>
        <v>2</v>
      </c>
      <c r="F8" s="35">
        <v>0</v>
      </c>
    </row>
    <row r="9" spans="1:7" ht="13.5" customHeight="1">
      <c r="A9" s="208">
        <v>4</v>
      </c>
      <c r="B9" s="209">
        <v>4</v>
      </c>
      <c r="C9" s="209">
        <v>5</v>
      </c>
      <c r="D9" s="210">
        <v>7.5</v>
      </c>
      <c r="E9" s="211">
        <v>2</v>
      </c>
      <c r="F9" s="35">
        <v>0</v>
      </c>
    </row>
    <row r="10" spans="1:7" ht="13.5" customHeight="1">
      <c r="A10" s="208">
        <v>5</v>
      </c>
      <c r="B10" s="209">
        <v>5</v>
      </c>
      <c r="C10" s="209">
        <v>6</v>
      </c>
      <c r="D10" s="210">
        <v>0.95</v>
      </c>
      <c r="E10" s="211">
        <v>1</v>
      </c>
      <c r="F10" s="35">
        <v>0</v>
      </c>
    </row>
    <row r="11" spans="1:7" ht="13.5" customHeight="1">
      <c r="A11" s="208">
        <v>6</v>
      </c>
      <c r="B11" s="209">
        <v>2</v>
      </c>
      <c r="C11" s="209">
        <v>7</v>
      </c>
      <c r="D11" s="210">
        <v>1.5249999999999999</v>
      </c>
      <c r="E11" s="211">
        <v>1</v>
      </c>
      <c r="F11" s="35">
        <v>0</v>
      </c>
    </row>
    <row r="12" spans="1:7" ht="13.5" customHeight="1">
      <c r="A12" s="208">
        <v>7</v>
      </c>
      <c r="B12" s="209">
        <v>7</v>
      </c>
      <c r="C12" s="209">
        <v>11</v>
      </c>
      <c r="D12" s="210">
        <v>17.074999999999999</v>
      </c>
      <c r="E12" s="211">
        <v>3</v>
      </c>
    </row>
    <row r="13" spans="1:7" ht="13.5" customHeight="1">
      <c r="A13" s="208">
        <v>8</v>
      </c>
      <c r="B13" s="212">
        <v>3</v>
      </c>
      <c r="C13" s="212">
        <v>8</v>
      </c>
      <c r="D13" s="210">
        <v>1.5249999999999999</v>
      </c>
      <c r="E13" s="211">
        <v>1</v>
      </c>
    </row>
    <row r="14" spans="1:7" ht="13.5" customHeight="1">
      <c r="A14" s="208">
        <v>9</v>
      </c>
      <c r="B14" s="212">
        <v>8</v>
      </c>
      <c r="C14" s="212">
        <v>12</v>
      </c>
      <c r="D14" s="210">
        <v>17.074999999999999</v>
      </c>
      <c r="E14" s="211">
        <v>3</v>
      </c>
    </row>
    <row r="15" spans="1:7" ht="13.5" customHeight="1">
      <c r="A15" s="208">
        <v>10</v>
      </c>
      <c r="B15" s="212">
        <v>4</v>
      </c>
      <c r="C15" s="212">
        <v>9</v>
      </c>
      <c r="D15" s="210">
        <v>1.5249999999999999</v>
      </c>
      <c r="E15" s="211">
        <v>1</v>
      </c>
    </row>
    <row r="16" spans="1:7" ht="13.5" customHeight="1">
      <c r="A16" s="208">
        <v>11</v>
      </c>
      <c r="B16" s="212">
        <v>9</v>
      </c>
      <c r="C16" s="212">
        <v>13</v>
      </c>
      <c r="D16" s="210">
        <v>17.074999999999999</v>
      </c>
      <c r="E16" s="211">
        <v>3</v>
      </c>
    </row>
    <row r="17" spans="1:5" ht="13.5" customHeight="1">
      <c r="A17" s="208">
        <v>12</v>
      </c>
      <c r="B17" s="212">
        <v>5</v>
      </c>
      <c r="C17" s="212">
        <v>10</v>
      </c>
      <c r="D17" s="210">
        <v>1.5249999999999999</v>
      </c>
      <c r="E17" s="211">
        <v>1</v>
      </c>
    </row>
    <row r="18" spans="1:5" ht="13.5" customHeight="1">
      <c r="A18" s="208">
        <v>13</v>
      </c>
      <c r="B18" s="212">
        <v>10</v>
      </c>
      <c r="C18" s="212">
        <v>14</v>
      </c>
      <c r="D18" s="210">
        <v>17.074999999999999</v>
      </c>
      <c r="E18" s="211">
        <v>3</v>
      </c>
    </row>
    <row r="19" spans="1:5" ht="13.5" customHeight="1">
      <c r="B19" s="112"/>
      <c r="C19" s="112"/>
    </row>
    <row r="20" spans="1:5" ht="13.5" customHeight="1">
      <c r="B20" s="112"/>
      <c r="C20" s="112"/>
    </row>
    <row r="21" spans="1:5" ht="13.5" customHeight="1">
      <c r="B21" s="112"/>
      <c r="C21" s="112"/>
    </row>
    <row r="22" spans="1:5" ht="13.5" customHeight="1">
      <c r="B22" s="112"/>
      <c r="C22" s="112"/>
    </row>
    <row r="23" spans="1:5" ht="13.5" customHeight="1">
      <c r="B23" s="112"/>
      <c r="C23" s="112"/>
    </row>
    <row r="24" spans="1:5" ht="13.5" customHeight="1">
      <c r="B24" s="112"/>
      <c r="C24" s="112"/>
    </row>
    <row r="25" spans="1:5" ht="13.5" customHeight="1">
      <c r="B25" s="112"/>
      <c r="C25" s="112"/>
    </row>
    <row r="26" spans="1:5" ht="13.5" customHeight="1">
      <c r="B26" s="112"/>
      <c r="C26" s="112"/>
    </row>
    <row r="27" spans="1:5" ht="13.5" customHeight="1">
      <c r="B27" s="112"/>
      <c r="C27" s="112"/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85" zoomScaleNormal="85" workbookViewId="0">
      <selection activeCell="A7" sqref="A7:H9"/>
    </sheetView>
  </sheetViews>
  <sheetFormatPr defaultColWidth="10" defaultRowHeight="13.5" customHeight="1"/>
  <cols>
    <col min="1" max="1" width="7.125" style="24" customWidth="1"/>
    <col min="2" max="2" width="10" style="51" customWidth="1"/>
    <col min="3" max="3" width="10" style="51" hidden="1" customWidth="1"/>
    <col min="4" max="4" width="10" style="51" customWidth="1" collapsed="1"/>
    <col min="5" max="5" width="10" style="51" customWidth="1"/>
    <col min="6" max="7" width="10" style="51" hidden="1" customWidth="1"/>
    <col min="8" max="8" width="15.75" style="51" customWidth="1"/>
    <col min="9" max="9" width="10" style="51" customWidth="1"/>
    <col min="10" max="10" width="10" style="51" hidden="1" customWidth="1"/>
    <col min="11" max="11" width="10" style="51" customWidth="1" collapsed="1"/>
    <col min="12" max="12" width="10" style="51" customWidth="1"/>
    <col min="13" max="14" width="10" style="51" hidden="1" customWidth="1"/>
    <col min="15" max="15" width="15.75" style="51" customWidth="1"/>
    <col min="16" max="16" width="10" style="51" customWidth="1"/>
    <col min="17" max="17" width="10" style="51" hidden="1" customWidth="1"/>
    <col min="18" max="18" width="10" style="51" customWidth="1" collapsed="1"/>
    <col min="19" max="19" width="10" style="51" customWidth="1"/>
    <col min="20" max="21" width="10" style="51" hidden="1" customWidth="1"/>
    <col min="22" max="22" width="15.75" style="51" customWidth="1"/>
    <col min="23" max="16384" width="10" style="48"/>
  </cols>
  <sheetData>
    <row r="1" spans="1:22" ht="13.5" customHeight="1">
      <c r="A1" s="18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3.5" customHeight="1">
      <c r="A4" s="21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2" ht="13.5" customHeight="1">
      <c r="A5" s="162" t="s">
        <v>157</v>
      </c>
      <c r="B5" s="164" t="s">
        <v>153</v>
      </c>
      <c r="C5" s="165"/>
      <c r="D5" s="165"/>
      <c r="E5" s="165"/>
      <c r="F5" s="166"/>
      <c r="G5" s="164" t="s">
        <v>91</v>
      </c>
      <c r="H5" s="166"/>
      <c r="I5" s="167" t="s">
        <v>158</v>
      </c>
      <c r="J5" s="168"/>
      <c r="K5" s="168"/>
      <c r="L5" s="168"/>
      <c r="M5" s="169"/>
      <c r="N5" s="167" t="s">
        <v>91</v>
      </c>
      <c r="O5" s="169"/>
      <c r="P5" s="160" t="s">
        <v>154</v>
      </c>
      <c r="Q5" s="170"/>
      <c r="R5" s="170"/>
      <c r="S5" s="170"/>
      <c r="T5" s="161"/>
      <c r="U5" s="160" t="s">
        <v>91</v>
      </c>
      <c r="V5" s="161"/>
    </row>
    <row r="6" spans="1:22" ht="13.5" customHeight="1">
      <c r="A6" s="163"/>
      <c r="B6" s="52" t="s">
        <v>23</v>
      </c>
      <c r="C6" s="52" t="s">
        <v>159</v>
      </c>
      <c r="D6" s="52" t="s">
        <v>73</v>
      </c>
      <c r="E6" s="52" t="s">
        <v>24</v>
      </c>
      <c r="F6" s="52" t="s">
        <v>160</v>
      </c>
      <c r="G6" s="52" t="s">
        <v>161</v>
      </c>
      <c r="H6" s="52" t="s">
        <v>162</v>
      </c>
      <c r="I6" s="53" t="s">
        <v>23</v>
      </c>
      <c r="J6" s="53" t="s">
        <v>159</v>
      </c>
      <c r="K6" s="53" t="s">
        <v>163</v>
      </c>
      <c r="L6" s="53" t="s">
        <v>24</v>
      </c>
      <c r="M6" s="53" t="s">
        <v>160</v>
      </c>
      <c r="N6" s="53" t="s">
        <v>161</v>
      </c>
      <c r="O6" s="53" t="s">
        <v>162</v>
      </c>
      <c r="P6" s="54" t="s">
        <v>23</v>
      </c>
      <c r="Q6" s="54" t="s">
        <v>159</v>
      </c>
      <c r="R6" s="54" t="s">
        <v>163</v>
      </c>
      <c r="S6" s="54" t="s">
        <v>24</v>
      </c>
      <c r="T6" s="54" t="s">
        <v>160</v>
      </c>
      <c r="U6" s="54" t="s">
        <v>161</v>
      </c>
      <c r="V6" s="54" t="s">
        <v>162</v>
      </c>
    </row>
    <row r="7" spans="1:22" ht="13.5" customHeight="1">
      <c r="A7" s="213">
        <v>1</v>
      </c>
      <c r="B7" s="214">
        <v>26500000</v>
      </c>
      <c r="C7" s="214">
        <v>1.0000000000000001E-5</v>
      </c>
      <c r="D7" s="214">
        <v>1.0000000000000001E-5</v>
      </c>
      <c r="E7" s="215">
        <v>1000</v>
      </c>
      <c r="F7" s="215"/>
      <c r="G7" s="215"/>
      <c r="H7" s="215">
        <v>1000</v>
      </c>
      <c r="I7" s="50"/>
      <c r="J7" s="50"/>
      <c r="K7" s="50"/>
    </row>
    <row r="8" spans="1:22" ht="13.5" customHeight="1">
      <c r="A8" s="213">
        <v>2</v>
      </c>
      <c r="B8" s="214">
        <v>26500000</v>
      </c>
      <c r="C8" s="214">
        <v>1.0000000000000001E-5</v>
      </c>
      <c r="D8" s="214">
        <v>1.0000000000000001E-5</v>
      </c>
      <c r="E8" s="215">
        <v>11.120000000000001</v>
      </c>
      <c r="F8" s="215"/>
      <c r="G8" s="215"/>
      <c r="H8" s="215">
        <v>39.59684</v>
      </c>
      <c r="I8" s="50"/>
      <c r="J8" s="50"/>
      <c r="K8" s="50"/>
    </row>
    <row r="9" spans="1:22" ht="13.5" customHeight="1">
      <c r="A9" s="213">
        <v>3</v>
      </c>
      <c r="B9" s="214">
        <v>26500000</v>
      </c>
      <c r="C9" s="214"/>
      <c r="D9" s="214">
        <v>1.0000000000000001E-5</v>
      </c>
      <c r="E9" s="215">
        <v>7.22</v>
      </c>
      <c r="F9" s="215"/>
      <c r="G9" s="215"/>
      <c r="H9" s="215">
        <v>2.1720199999999998</v>
      </c>
      <c r="I9" s="50"/>
      <c r="J9" s="50"/>
      <c r="K9" s="50"/>
    </row>
    <row r="10" spans="1:22" ht="13.5" customHeight="1">
      <c r="B10" s="50"/>
      <c r="C10" s="50"/>
      <c r="D10" s="50"/>
      <c r="I10" s="50"/>
      <c r="J10" s="50"/>
      <c r="K10" s="50"/>
    </row>
    <row r="11" spans="1:22" ht="13.5" customHeight="1">
      <c r="B11" s="50"/>
      <c r="C11" s="50"/>
      <c r="D11" s="50"/>
      <c r="I11" s="50"/>
      <c r="J11" s="50"/>
      <c r="K11" s="50"/>
    </row>
    <row r="12" spans="1:22" ht="13.5" customHeight="1">
      <c r="B12" s="50"/>
      <c r="C12" s="50"/>
      <c r="D12" s="50"/>
    </row>
    <row r="13" spans="1:22" ht="13.5" customHeight="1">
      <c r="B13" s="50"/>
      <c r="C13" s="50"/>
      <c r="D13" s="50"/>
    </row>
    <row r="14" spans="1:22" ht="13.5" customHeight="1">
      <c r="B14" s="50"/>
      <c r="C14" s="50"/>
      <c r="D14" s="50"/>
    </row>
    <row r="15" spans="1:22" ht="13.5" customHeight="1">
      <c r="B15" s="50"/>
      <c r="C15" s="50"/>
      <c r="D15" s="50"/>
    </row>
    <row r="16" spans="1:22" ht="13.5" customHeight="1">
      <c r="B16" s="50"/>
      <c r="C16" s="50"/>
      <c r="D16" s="50"/>
    </row>
    <row r="17" spans="2:4" ht="13.5" customHeight="1">
      <c r="B17" s="50"/>
      <c r="C17" s="50"/>
      <c r="D17" s="50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P34" sqref="P34"/>
    </sheetView>
  </sheetViews>
  <sheetFormatPr defaultColWidth="11" defaultRowHeight="13.5" customHeight="1"/>
  <cols>
    <col min="1" max="1" width="11" style="35" customWidth="1"/>
    <col min="2" max="3" width="11" style="24" hidden="1" customWidth="1"/>
    <col min="4" max="4" width="11" style="24" customWidth="1"/>
    <col min="5" max="6" width="11" style="24" hidden="1" customWidth="1"/>
    <col min="7" max="7" width="11" style="24" customWidth="1"/>
    <col min="8" max="9" width="11" style="24" hidden="1" customWidth="1"/>
    <col min="10" max="10" width="11" style="24" customWidth="1"/>
    <col min="11" max="12" width="11" style="24" hidden="1" customWidth="1"/>
    <col min="13" max="13" width="11" style="24" customWidth="1"/>
    <col min="14" max="15" width="11" style="24" hidden="1" customWidth="1"/>
    <col min="16" max="16" width="11" style="24" customWidth="1"/>
    <col min="17" max="18" width="11" style="24" hidden="1" customWidth="1"/>
    <col min="19" max="19" width="11" style="24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5"/>
      <c r="C4" s="21"/>
      <c r="D4" s="21"/>
      <c r="E4" s="18"/>
      <c r="F4" s="18"/>
      <c r="G4" s="18"/>
      <c r="H4" s="26"/>
      <c r="I4" s="18"/>
      <c r="J4" s="18"/>
      <c r="K4" s="18"/>
      <c r="L4" s="18"/>
      <c r="M4" s="18"/>
      <c r="N4" s="26"/>
      <c r="O4" s="18"/>
      <c r="P4" s="18"/>
      <c r="Q4" s="18"/>
      <c r="R4" s="18"/>
      <c r="S4" s="18"/>
    </row>
    <row r="5" spans="1:19" ht="13.5" customHeight="1">
      <c r="A5" s="171" t="s">
        <v>53</v>
      </c>
      <c r="B5" s="172" t="s">
        <v>49</v>
      </c>
      <c r="C5" s="172"/>
      <c r="D5" s="172"/>
      <c r="E5" s="172"/>
      <c r="F5" s="172"/>
      <c r="G5" s="172"/>
      <c r="H5" s="173" t="s">
        <v>50</v>
      </c>
      <c r="I5" s="173"/>
      <c r="J5" s="173"/>
      <c r="K5" s="173"/>
      <c r="L5" s="173"/>
      <c r="M5" s="173"/>
      <c r="N5" s="174" t="s">
        <v>52</v>
      </c>
      <c r="O5" s="174"/>
      <c r="P5" s="174"/>
      <c r="Q5" s="174"/>
      <c r="R5" s="174"/>
      <c r="S5" s="174"/>
    </row>
    <row r="6" spans="1:19" ht="13.5" customHeight="1">
      <c r="A6" s="171"/>
      <c r="B6" s="56" t="s">
        <v>27</v>
      </c>
      <c r="C6" s="52" t="s">
        <v>28</v>
      </c>
      <c r="D6" s="52" t="s">
        <v>29</v>
      </c>
      <c r="E6" s="52" t="s">
        <v>30</v>
      </c>
      <c r="F6" s="52" t="s">
        <v>31</v>
      </c>
      <c r="G6" s="52" t="s">
        <v>32</v>
      </c>
      <c r="H6" s="57" t="s">
        <v>27</v>
      </c>
      <c r="I6" s="54" t="s">
        <v>28</v>
      </c>
      <c r="J6" s="54" t="s">
        <v>29</v>
      </c>
      <c r="K6" s="54" t="s">
        <v>30</v>
      </c>
      <c r="L6" s="54" t="s">
        <v>31</v>
      </c>
      <c r="M6" s="54" t="s">
        <v>32</v>
      </c>
      <c r="N6" s="58" t="s">
        <v>27</v>
      </c>
      <c r="O6" s="53" t="s">
        <v>28</v>
      </c>
      <c r="P6" s="53" t="s">
        <v>29</v>
      </c>
      <c r="Q6" s="53" t="s">
        <v>30</v>
      </c>
      <c r="R6" s="53" t="s">
        <v>31</v>
      </c>
      <c r="S6" s="53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2"/>
  <sheetViews>
    <sheetView zoomScaleNormal="100" workbookViewId="0">
      <selection activeCell="E24" sqref="E24"/>
    </sheetView>
  </sheetViews>
  <sheetFormatPr defaultRowHeight="13.5"/>
  <cols>
    <col min="1" max="1" width="9" style="60"/>
    <col min="2" max="2" width="9" style="62"/>
    <col min="3" max="14" width="9" style="60"/>
    <col min="15" max="16384" width="9" style="61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59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71" t="s">
        <v>53</v>
      </c>
      <c r="B4" s="171" t="s">
        <v>164</v>
      </c>
      <c r="C4" s="175" t="s">
        <v>96</v>
      </c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5"/>
    </row>
    <row r="5" spans="1:14" s="19" customFormat="1" ht="13.5" customHeight="1">
      <c r="A5" s="171"/>
      <c r="B5" s="171"/>
      <c r="C5" s="117" t="s">
        <v>165</v>
      </c>
      <c r="D5" s="117" t="s">
        <v>97</v>
      </c>
      <c r="E5" s="117" t="s">
        <v>98</v>
      </c>
      <c r="F5" s="117" t="s">
        <v>99</v>
      </c>
      <c r="G5" s="117" t="s">
        <v>100</v>
      </c>
      <c r="H5" s="117" t="s">
        <v>101</v>
      </c>
      <c r="I5" s="117" t="s">
        <v>102</v>
      </c>
      <c r="J5" s="117" t="s">
        <v>103</v>
      </c>
      <c r="K5" s="117" t="s">
        <v>104</v>
      </c>
      <c r="L5" s="117" t="s">
        <v>105</v>
      </c>
      <c r="M5" s="117" t="s">
        <v>106</v>
      </c>
      <c r="N5" s="117" t="s">
        <v>107</v>
      </c>
    </row>
    <row r="6" spans="1:14" s="19" customFormat="1" ht="13.5" customHeight="1">
      <c r="A6" s="216">
        <v>2</v>
      </c>
      <c r="B6" s="217">
        <v>7.5</v>
      </c>
      <c r="C6" s="216">
        <v>0.95</v>
      </c>
      <c r="D6" s="216">
        <v>3.75</v>
      </c>
      <c r="E6" s="216">
        <v>6.55</v>
      </c>
      <c r="F6" s="24"/>
      <c r="G6" s="24"/>
      <c r="H6" s="24"/>
      <c r="I6" s="24"/>
      <c r="J6" s="24"/>
      <c r="K6" s="24"/>
      <c r="L6" s="24"/>
      <c r="M6" s="24"/>
      <c r="N6" s="24"/>
    </row>
    <row r="7" spans="1:14">
      <c r="A7" s="218">
        <v>3</v>
      </c>
      <c r="B7" s="219">
        <v>7.5</v>
      </c>
      <c r="C7" s="218">
        <v>0.95</v>
      </c>
      <c r="D7" s="216">
        <v>3.75</v>
      </c>
      <c r="E7" s="216">
        <v>6.55</v>
      </c>
    </row>
    <row r="8" spans="1:14">
      <c r="A8" s="218">
        <v>4</v>
      </c>
      <c r="B8" s="219">
        <v>7.5</v>
      </c>
      <c r="C8" s="218">
        <v>0.95</v>
      </c>
      <c r="D8" s="216">
        <v>3.75</v>
      </c>
      <c r="E8" s="216">
        <v>6.55</v>
      </c>
    </row>
    <row r="9" spans="1:14">
      <c r="A9" s="218">
        <v>7</v>
      </c>
      <c r="B9" s="219">
        <v>17.074999999999999</v>
      </c>
      <c r="C9" s="218">
        <v>0.47500000000000009</v>
      </c>
      <c r="D9" s="218"/>
      <c r="E9" s="218"/>
    </row>
    <row r="10" spans="1:14">
      <c r="A10" s="218">
        <v>9</v>
      </c>
      <c r="B10" s="219">
        <v>17.074999999999999</v>
      </c>
      <c r="C10" s="218">
        <v>0.47500000000000009</v>
      </c>
      <c r="D10" s="218"/>
      <c r="E10" s="218"/>
      <c r="F10" s="24"/>
      <c r="G10" s="24"/>
      <c r="H10" s="24"/>
      <c r="I10" s="24"/>
      <c r="J10" s="24"/>
      <c r="K10" s="24"/>
    </row>
    <row r="11" spans="1:14">
      <c r="A11" s="218">
        <v>11</v>
      </c>
      <c r="B11" s="219">
        <v>17.074999999999999</v>
      </c>
      <c r="C11" s="218">
        <v>0.47500000000000009</v>
      </c>
      <c r="D11" s="218"/>
      <c r="E11" s="218"/>
    </row>
    <row r="12" spans="1:14">
      <c r="A12" s="218">
        <v>13</v>
      </c>
      <c r="B12" s="219">
        <v>17.074999999999999</v>
      </c>
      <c r="C12" s="218">
        <v>0.47500000000000009</v>
      </c>
      <c r="D12" s="218"/>
      <c r="E12" s="218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38"/>
  <sheetViews>
    <sheetView topLeftCell="A3" zoomScale="115" zoomScaleNormal="115" workbookViewId="0">
      <selection activeCell="A8" sqref="A8:K23"/>
    </sheetView>
  </sheetViews>
  <sheetFormatPr defaultRowHeight="13.5" customHeight="1"/>
  <cols>
    <col min="1" max="1" width="9" style="35" customWidth="1"/>
    <col min="2" max="3" width="9" style="65" customWidth="1"/>
    <col min="4" max="5" width="9" style="65" hidden="1" customWidth="1"/>
    <col min="6" max="6" width="9" style="66" customWidth="1"/>
    <col min="7" max="7" width="9" style="65" customWidth="1"/>
    <col min="8" max="8" width="9" style="67" hidden="1" customWidth="1"/>
    <col min="9" max="9" width="9" style="65" hidden="1" customWidth="1"/>
    <col min="10" max="11" width="9" style="65" customWidth="1"/>
    <col min="12" max="13" width="9" style="65" hidden="1" customWidth="1"/>
    <col min="14" max="235" width="9" style="19" customWidth="1"/>
    <col min="236" max="16384" width="9" style="19"/>
  </cols>
  <sheetData>
    <row r="1" spans="1:13" ht="13.5" customHeight="1">
      <c r="A1" s="18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2" spans="1:13" ht="13.5" customHeight="1">
      <c r="A2" s="20" t="s">
        <v>79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</row>
    <row r="3" spans="1:13" ht="13.5" customHeight="1">
      <c r="A3" s="20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1:13" ht="13.5" customHeight="1">
      <c r="A4" s="26"/>
      <c r="B4" s="27" t="s">
        <v>54</v>
      </c>
      <c r="C4" s="64"/>
      <c r="D4" s="64"/>
      <c r="E4" s="64"/>
      <c r="F4" s="64"/>
      <c r="G4" s="64"/>
      <c r="H4" s="64"/>
      <c r="I4" s="27"/>
      <c r="J4" s="64"/>
      <c r="K4" s="64"/>
      <c r="L4" s="64"/>
      <c r="M4" s="27"/>
    </row>
    <row r="5" spans="1:13" ht="13.5" customHeight="1">
      <c r="A5" s="176" t="s">
        <v>53</v>
      </c>
      <c r="B5" s="160" t="s">
        <v>153</v>
      </c>
      <c r="C5" s="170"/>
      <c r="D5" s="170"/>
      <c r="E5" s="161"/>
      <c r="F5" s="179" t="s">
        <v>57</v>
      </c>
      <c r="G5" s="180"/>
      <c r="H5" s="180"/>
      <c r="I5" s="181"/>
      <c r="J5" s="182" t="s">
        <v>166</v>
      </c>
      <c r="K5" s="183"/>
      <c r="L5" s="183"/>
      <c r="M5" s="184"/>
    </row>
    <row r="6" spans="1:13" ht="13.5" customHeight="1">
      <c r="A6" s="177"/>
      <c r="B6" s="160" t="s">
        <v>33</v>
      </c>
      <c r="C6" s="170"/>
      <c r="D6" s="161"/>
      <c r="E6" s="68" t="s">
        <v>55</v>
      </c>
      <c r="F6" s="179" t="s">
        <v>33</v>
      </c>
      <c r="G6" s="180"/>
      <c r="H6" s="181"/>
      <c r="I6" s="69" t="s">
        <v>55</v>
      </c>
      <c r="J6" s="182" t="s">
        <v>33</v>
      </c>
      <c r="K6" s="183"/>
      <c r="L6" s="184"/>
      <c r="M6" s="70" t="s">
        <v>55</v>
      </c>
    </row>
    <row r="7" spans="1:13" ht="13.5" customHeight="1">
      <c r="A7" s="178"/>
      <c r="B7" s="118" t="s">
        <v>148</v>
      </c>
      <c r="C7" s="118" t="s">
        <v>149</v>
      </c>
      <c r="D7" s="118" t="s">
        <v>151</v>
      </c>
      <c r="E7" s="118" t="s">
        <v>56</v>
      </c>
      <c r="F7" s="120" t="s">
        <v>148</v>
      </c>
      <c r="G7" s="71" t="s">
        <v>149</v>
      </c>
      <c r="H7" s="121" t="s">
        <v>151</v>
      </c>
      <c r="I7" s="71" t="s">
        <v>56</v>
      </c>
      <c r="J7" s="72" t="s">
        <v>148</v>
      </c>
      <c r="K7" s="72" t="s">
        <v>149</v>
      </c>
      <c r="L7" s="72" t="s">
        <v>151</v>
      </c>
      <c r="M7" s="72" t="s">
        <v>56</v>
      </c>
    </row>
    <row r="8" spans="1:13" ht="13.5" customHeight="1">
      <c r="B8" s="39"/>
      <c r="C8" s="39"/>
      <c r="D8" s="39"/>
      <c r="E8" s="39"/>
      <c r="F8" s="39"/>
      <c r="G8" s="39"/>
      <c r="H8" s="148"/>
      <c r="I8" s="39"/>
      <c r="J8" s="39"/>
      <c r="K8" s="39"/>
    </row>
    <row r="9" spans="1:13" ht="13.5" customHeight="1">
      <c r="B9" s="39"/>
      <c r="C9" s="39"/>
      <c r="D9" s="39"/>
      <c r="E9" s="39"/>
      <c r="F9" s="39"/>
      <c r="G9" s="39"/>
      <c r="H9" s="148"/>
      <c r="I9" s="39"/>
      <c r="J9" s="39"/>
      <c r="K9" s="39"/>
    </row>
    <row r="10" spans="1:13" ht="13.5" customHeight="1">
      <c r="B10" s="39"/>
      <c r="C10" s="39"/>
      <c r="D10" s="39"/>
      <c r="E10" s="39"/>
      <c r="F10" s="39"/>
      <c r="G10" s="39"/>
      <c r="H10" s="148"/>
      <c r="I10" s="39"/>
      <c r="J10" s="39"/>
      <c r="K10" s="39"/>
    </row>
    <row r="11" spans="1:13" ht="13.5" customHeight="1">
      <c r="B11" s="39"/>
      <c r="C11" s="39"/>
      <c r="D11" s="39"/>
      <c r="E11" s="39"/>
      <c r="F11" s="39"/>
      <c r="G11" s="39"/>
      <c r="H11" s="148"/>
      <c r="I11" s="39"/>
      <c r="J11" s="39"/>
      <c r="K11" s="39"/>
    </row>
    <row r="12" spans="1:13" ht="13.5" customHeight="1">
      <c r="B12" s="39"/>
      <c r="C12" s="39"/>
      <c r="D12" s="39"/>
      <c r="E12" s="39"/>
      <c r="F12" s="39"/>
      <c r="G12" s="39"/>
      <c r="H12" s="148"/>
      <c r="I12" s="39"/>
      <c r="J12" s="39"/>
      <c r="K12" s="39"/>
    </row>
    <row r="13" spans="1:13" ht="13.5" customHeight="1">
      <c r="B13" s="39"/>
      <c r="C13" s="39"/>
      <c r="D13" s="39"/>
      <c r="E13" s="39"/>
      <c r="F13" s="39"/>
      <c r="G13" s="39"/>
      <c r="H13" s="148"/>
      <c r="I13" s="39"/>
      <c r="J13" s="39"/>
      <c r="K13" s="39"/>
    </row>
    <row r="14" spans="1:13" ht="13.5" customHeight="1">
      <c r="B14" s="39"/>
      <c r="C14" s="39"/>
      <c r="D14" s="39"/>
      <c r="E14" s="39"/>
      <c r="F14" s="39"/>
      <c r="G14" s="39"/>
      <c r="H14" s="148"/>
      <c r="I14" s="39"/>
      <c r="J14" s="39"/>
      <c r="K14" s="39"/>
    </row>
    <row r="15" spans="1:13" ht="13.5" customHeight="1">
      <c r="B15" s="39"/>
      <c r="C15" s="39"/>
      <c r="D15" s="39"/>
      <c r="E15" s="39"/>
      <c r="F15" s="39"/>
      <c r="G15" s="39"/>
      <c r="H15" s="148"/>
      <c r="I15" s="39"/>
      <c r="J15" s="39"/>
      <c r="K15" s="39"/>
    </row>
    <row r="16" spans="1:13" ht="13.5" customHeight="1">
      <c r="B16" s="39"/>
      <c r="C16" s="39"/>
      <c r="D16" s="39"/>
      <c r="E16" s="39"/>
      <c r="F16" s="39"/>
      <c r="G16" s="39"/>
      <c r="H16" s="148"/>
      <c r="I16" s="39"/>
      <c r="J16" s="39"/>
      <c r="K16" s="39"/>
    </row>
    <row r="17" spans="2:11" ht="13.5" customHeight="1">
      <c r="B17" s="39"/>
      <c r="C17" s="39"/>
      <c r="D17" s="39"/>
      <c r="E17" s="39"/>
      <c r="F17" s="39"/>
      <c r="G17" s="39"/>
      <c r="H17" s="148"/>
      <c r="I17" s="39"/>
      <c r="J17" s="39"/>
      <c r="K17" s="39"/>
    </row>
    <row r="18" spans="2:11" ht="13.5" customHeight="1">
      <c r="B18" s="39"/>
      <c r="C18" s="39"/>
      <c r="D18" s="39"/>
      <c r="E18" s="39"/>
      <c r="F18" s="39"/>
      <c r="G18" s="39"/>
      <c r="H18" s="148"/>
      <c r="I18" s="39"/>
      <c r="J18" s="39"/>
      <c r="K18" s="39"/>
    </row>
    <row r="19" spans="2:11" ht="13.5" customHeight="1">
      <c r="B19" s="39"/>
      <c r="C19" s="39"/>
      <c r="D19" s="39"/>
      <c r="E19" s="39"/>
      <c r="F19" s="39"/>
      <c r="G19" s="39"/>
      <c r="H19" s="148"/>
      <c r="I19" s="39"/>
      <c r="J19" s="39"/>
      <c r="K19" s="39"/>
    </row>
    <row r="20" spans="2:11" ht="13.5" customHeight="1">
      <c r="B20" s="39"/>
      <c r="C20" s="39"/>
      <c r="D20" s="39"/>
      <c r="E20" s="39"/>
      <c r="F20" s="39"/>
      <c r="G20" s="39"/>
      <c r="H20" s="148"/>
      <c r="I20" s="39"/>
      <c r="J20" s="39"/>
      <c r="K20" s="39"/>
    </row>
    <row r="21" spans="2:11" ht="13.5" customHeight="1">
      <c r="B21" s="39"/>
      <c r="C21" s="39"/>
      <c r="D21" s="39"/>
      <c r="E21" s="39"/>
      <c r="F21" s="39"/>
      <c r="G21" s="39"/>
      <c r="H21" s="148"/>
      <c r="I21" s="39"/>
      <c r="J21" s="39"/>
      <c r="K21" s="39"/>
    </row>
    <row r="22" spans="2:11" ht="13.5" customHeight="1">
      <c r="B22" s="39"/>
      <c r="C22" s="39"/>
      <c r="D22" s="39"/>
      <c r="E22" s="39"/>
      <c r="F22" s="39"/>
      <c r="G22" s="39"/>
      <c r="H22" s="148"/>
      <c r="I22" s="39"/>
      <c r="J22" s="39"/>
      <c r="K22" s="39"/>
    </row>
    <row r="23" spans="2:11" ht="13.5" customHeight="1">
      <c r="B23" s="39"/>
      <c r="C23" s="39"/>
      <c r="D23" s="39"/>
      <c r="E23" s="39"/>
      <c r="F23" s="39"/>
      <c r="G23" s="39"/>
      <c r="H23" s="148"/>
      <c r="I23" s="39"/>
      <c r="J23" s="39"/>
      <c r="K23" s="39"/>
    </row>
    <row r="24" spans="2:11" ht="13.5" customHeight="1">
      <c r="F24" s="65"/>
    </row>
    <row r="25" spans="2:11" ht="13.5" customHeight="1">
      <c r="F25" s="65"/>
    </row>
    <row r="26" spans="2:11" ht="13.5" customHeight="1">
      <c r="F26" s="65"/>
    </row>
    <row r="27" spans="2:11" ht="13.5" customHeight="1">
      <c r="F27" s="65"/>
    </row>
    <row r="28" spans="2:11" ht="13.5" customHeight="1">
      <c r="F28" s="65"/>
    </row>
    <row r="29" spans="2:11" ht="13.5" customHeight="1">
      <c r="F29" s="65"/>
    </row>
    <row r="30" spans="2:11" ht="13.5" customHeight="1">
      <c r="F30" s="65"/>
    </row>
    <row r="31" spans="2:11" ht="13.5" customHeight="1">
      <c r="F31" s="65"/>
    </row>
    <row r="32" spans="2:11" ht="13.5" customHeight="1">
      <c r="F32" s="65"/>
    </row>
    <row r="33" spans="6:6" ht="13.5" customHeight="1">
      <c r="F33" s="65"/>
    </row>
    <row r="34" spans="6:6" ht="13.5" customHeight="1">
      <c r="F34" s="65"/>
    </row>
    <row r="35" spans="6:6" ht="13.5" customHeight="1">
      <c r="F35" s="65"/>
    </row>
    <row r="36" spans="6:6" ht="13.5" customHeight="1">
      <c r="F36" s="65"/>
    </row>
    <row r="37" spans="6:6" ht="13.5" customHeight="1">
      <c r="F37" s="65"/>
    </row>
    <row r="38" spans="6:6" ht="13.5" customHeight="1">
      <c r="F38" s="65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26"/>
  <sheetViews>
    <sheetView view="pageBreakPreview" zoomScaleNormal="85" zoomScaleSheetLayoutView="100" workbookViewId="0">
      <selection activeCell="D19" sqref="D19"/>
    </sheetView>
  </sheetViews>
  <sheetFormatPr defaultRowHeight="13.5" customHeight="1"/>
  <cols>
    <col min="1" max="1" width="9" style="133" bestFit="1" customWidth="1"/>
    <col min="2" max="2" width="7.5" style="136" bestFit="1" customWidth="1"/>
    <col min="3" max="3" width="9.75" style="137" bestFit="1" customWidth="1"/>
    <col min="4" max="4" width="38.875" style="136" bestFit="1" customWidth="1"/>
    <col min="5" max="5" width="5.25" style="136" bestFit="1" customWidth="1"/>
    <col min="6" max="6" width="5.125" style="136" bestFit="1" customWidth="1"/>
    <col min="7" max="8" width="5.25" style="136" bestFit="1" customWidth="1"/>
    <col min="9" max="16384" width="9" style="131"/>
  </cols>
  <sheetData>
    <row r="1" spans="1:8" s="127" customFormat="1" ht="13.5" customHeight="1">
      <c r="A1" s="124"/>
      <c r="B1" s="125"/>
      <c r="C1" s="126"/>
      <c r="D1" s="125"/>
      <c r="E1" s="125"/>
      <c r="F1" s="125"/>
      <c r="G1" s="125"/>
      <c r="H1" s="125"/>
    </row>
    <row r="2" spans="1:8" s="127" customFormat="1" ht="13.5" customHeight="1">
      <c r="A2" s="128" t="s">
        <v>66</v>
      </c>
      <c r="C2" s="129"/>
    </row>
    <row r="3" spans="1:8" s="127" customFormat="1" ht="13.5" customHeight="1">
      <c r="A3" s="130"/>
      <c r="C3" s="129"/>
    </row>
    <row r="4" spans="1:8" ht="13.5" customHeight="1">
      <c r="A4" s="186" t="s">
        <v>58</v>
      </c>
      <c r="B4" s="185" t="s">
        <v>59</v>
      </c>
      <c r="C4" s="185" t="s">
        <v>60</v>
      </c>
      <c r="D4" s="185" t="s">
        <v>61</v>
      </c>
      <c r="E4" s="185" t="s">
        <v>62</v>
      </c>
      <c r="F4" s="185"/>
      <c r="G4" s="185"/>
      <c r="H4" s="185"/>
    </row>
    <row r="5" spans="1:8" ht="13.5" customHeight="1">
      <c r="A5" s="186"/>
      <c r="B5" s="185"/>
      <c r="C5" s="185"/>
      <c r="D5" s="185"/>
      <c r="E5" s="132" t="s">
        <v>63</v>
      </c>
      <c r="F5" s="132" t="s">
        <v>167</v>
      </c>
      <c r="G5" s="132" t="s">
        <v>64</v>
      </c>
      <c r="H5" s="132" t="s">
        <v>65</v>
      </c>
    </row>
    <row r="6" spans="1:8" ht="13.5" customHeight="1">
      <c r="A6" s="220">
        <v>1</v>
      </c>
      <c r="B6" s="221">
        <v>1</v>
      </c>
      <c r="C6" s="206" t="s">
        <v>144</v>
      </c>
      <c r="D6" s="221" t="s">
        <v>168</v>
      </c>
      <c r="E6" s="221">
        <v>1</v>
      </c>
      <c r="F6" s="213">
        <v>1</v>
      </c>
      <c r="G6" s="213">
        <v>1</v>
      </c>
      <c r="H6" s="213">
        <v>1</v>
      </c>
    </row>
    <row r="7" spans="1:8" ht="13.5" customHeight="1">
      <c r="A7" s="220">
        <v>1</v>
      </c>
      <c r="B7" s="221">
        <v>2</v>
      </c>
      <c r="C7" s="206" t="s">
        <v>181</v>
      </c>
      <c r="D7" s="221" t="s">
        <v>182</v>
      </c>
      <c r="E7" s="221">
        <v>1</v>
      </c>
      <c r="F7" s="213">
        <v>1</v>
      </c>
      <c r="G7" s="213">
        <v>1</v>
      </c>
      <c r="H7" s="213">
        <v>1</v>
      </c>
    </row>
    <row r="8" spans="1:8" ht="13.5" customHeight="1">
      <c r="A8" s="220">
        <v>1</v>
      </c>
      <c r="B8" s="221">
        <v>3</v>
      </c>
      <c r="C8" s="206" t="s">
        <v>183</v>
      </c>
      <c r="D8" s="221" t="s">
        <v>184</v>
      </c>
      <c r="E8" s="221">
        <v>1</v>
      </c>
      <c r="F8" s="213">
        <v>1</v>
      </c>
      <c r="G8" s="213">
        <v>1</v>
      </c>
      <c r="H8" s="213">
        <v>1</v>
      </c>
    </row>
    <row r="9" spans="1:8" ht="13.5" customHeight="1">
      <c r="A9" s="220">
        <v>1</v>
      </c>
      <c r="B9" s="221">
        <v>4</v>
      </c>
      <c r="C9" s="206" t="s">
        <v>185</v>
      </c>
      <c r="D9" s="221" t="s">
        <v>186</v>
      </c>
      <c r="E9" s="221">
        <v>1</v>
      </c>
      <c r="F9" s="213">
        <v>1</v>
      </c>
      <c r="G9" s="213">
        <v>1</v>
      </c>
      <c r="H9" s="213">
        <v>1</v>
      </c>
    </row>
    <row r="10" spans="1:8" ht="13.5" customHeight="1">
      <c r="A10" s="220">
        <v>1</v>
      </c>
      <c r="B10" s="221">
        <v>5</v>
      </c>
      <c r="C10" s="206" t="s">
        <v>187</v>
      </c>
      <c r="D10" s="221" t="s">
        <v>188</v>
      </c>
      <c r="E10" s="221">
        <v>1</v>
      </c>
      <c r="F10" s="213">
        <v>1</v>
      </c>
      <c r="G10" s="213">
        <v>1</v>
      </c>
      <c r="H10" s="213">
        <v>1</v>
      </c>
    </row>
    <row r="11" spans="1:8" ht="13.5" customHeight="1">
      <c r="A11" s="220">
        <v>1</v>
      </c>
      <c r="B11" s="221">
        <v>6</v>
      </c>
      <c r="C11" s="206" t="s">
        <v>189</v>
      </c>
      <c r="D11" s="221" t="s">
        <v>190</v>
      </c>
      <c r="E11" s="221">
        <v>1</v>
      </c>
      <c r="F11" s="213">
        <v>1</v>
      </c>
      <c r="G11" s="213">
        <v>1</v>
      </c>
      <c r="H11" s="213">
        <v>1</v>
      </c>
    </row>
    <row r="12" spans="1:8" ht="13.5" customHeight="1">
      <c r="A12" s="220">
        <v>1</v>
      </c>
      <c r="B12" s="221">
        <v>7</v>
      </c>
      <c r="C12" s="206" t="s">
        <v>191</v>
      </c>
      <c r="D12" s="221" t="s">
        <v>192</v>
      </c>
      <c r="E12" s="221">
        <v>1</v>
      </c>
      <c r="F12" s="213">
        <v>1</v>
      </c>
      <c r="G12" s="213">
        <v>1</v>
      </c>
      <c r="H12" s="213">
        <v>1</v>
      </c>
    </row>
    <row r="13" spans="1:8" ht="13.5" customHeight="1">
      <c r="A13" s="220">
        <v>1</v>
      </c>
      <c r="B13" s="221">
        <v>8</v>
      </c>
      <c r="C13" s="206" t="s">
        <v>193</v>
      </c>
      <c r="D13" s="221" t="s">
        <v>194</v>
      </c>
      <c r="E13" s="221">
        <v>1</v>
      </c>
      <c r="F13" s="213">
        <v>1</v>
      </c>
      <c r="G13" s="213">
        <v>1</v>
      </c>
      <c r="H13" s="213">
        <v>1</v>
      </c>
    </row>
    <row r="14" spans="1:8" ht="13.5" customHeight="1">
      <c r="A14" s="220">
        <v>1</v>
      </c>
      <c r="B14" s="221">
        <v>9</v>
      </c>
      <c r="C14" s="206" t="s">
        <v>195</v>
      </c>
      <c r="D14" s="221" t="s">
        <v>196</v>
      </c>
      <c r="E14" s="221">
        <v>1</v>
      </c>
      <c r="F14" s="213">
        <v>1</v>
      </c>
      <c r="G14" s="213">
        <v>1</v>
      </c>
      <c r="H14" s="213">
        <v>1</v>
      </c>
    </row>
    <row r="15" spans="1:8" ht="13.5" customHeight="1">
      <c r="A15" s="220">
        <v>1</v>
      </c>
      <c r="B15" s="221">
        <v>10</v>
      </c>
      <c r="C15" s="206" t="s">
        <v>197</v>
      </c>
      <c r="D15" s="221" t="s">
        <v>198</v>
      </c>
      <c r="E15" s="221">
        <v>1</v>
      </c>
      <c r="F15" s="213">
        <v>1</v>
      </c>
      <c r="G15" s="213">
        <v>1</v>
      </c>
      <c r="H15" s="213">
        <v>1</v>
      </c>
    </row>
    <row r="16" spans="1:8" ht="13.5" customHeight="1">
      <c r="A16" s="220">
        <v>1</v>
      </c>
      <c r="B16" s="221">
        <v>11</v>
      </c>
      <c r="C16" s="206" t="s">
        <v>199</v>
      </c>
      <c r="D16" s="221" t="s">
        <v>200</v>
      </c>
      <c r="E16" s="221">
        <v>1</v>
      </c>
      <c r="F16" s="213">
        <v>1</v>
      </c>
      <c r="G16" s="213">
        <v>1</v>
      </c>
      <c r="H16" s="213">
        <v>1</v>
      </c>
    </row>
    <row r="17" spans="1:8" ht="13.5" customHeight="1">
      <c r="A17" s="220">
        <v>1</v>
      </c>
      <c r="B17" s="221">
        <v>12</v>
      </c>
      <c r="C17" s="206" t="s">
        <v>201</v>
      </c>
      <c r="D17" s="221" t="s">
        <v>202</v>
      </c>
      <c r="E17" s="221">
        <v>1</v>
      </c>
      <c r="F17" s="213">
        <v>1</v>
      </c>
      <c r="G17" s="213">
        <v>1</v>
      </c>
      <c r="H17" s="213">
        <v>1</v>
      </c>
    </row>
    <row r="18" spans="1:8" ht="13.5" customHeight="1">
      <c r="A18" s="220">
        <v>1</v>
      </c>
      <c r="B18" s="221">
        <v>13</v>
      </c>
      <c r="C18" s="206" t="s">
        <v>203</v>
      </c>
      <c r="D18" s="221" t="s">
        <v>204</v>
      </c>
      <c r="E18" s="221">
        <v>1</v>
      </c>
      <c r="F18" s="213">
        <v>1</v>
      </c>
      <c r="G18" s="213">
        <v>1</v>
      </c>
      <c r="H18" s="213">
        <v>1</v>
      </c>
    </row>
    <row r="19" spans="1:8" ht="13.5" customHeight="1">
      <c r="A19" s="220">
        <v>1</v>
      </c>
      <c r="B19" s="221">
        <v>14</v>
      </c>
      <c r="C19" s="206" t="s">
        <v>205</v>
      </c>
      <c r="D19" s="221" t="s">
        <v>206</v>
      </c>
      <c r="E19" s="221">
        <v>1</v>
      </c>
      <c r="F19" s="213">
        <v>1</v>
      </c>
      <c r="G19" s="213">
        <v>1</v>
      </c>
      <c r="H19" s="213">
        <v>1</v>
      </c>
    </row>
    <row r="20" spans="1:8" ht="13.5" customHeight="1">
      <c r="A20" s="220">
        <v>1</v>
      </c>
      <c r="B20" s="221">
        <v>15</v>
      </c>
      <c r="C20" s="206" t="s">
        <v>207</v>
      </c>
      <c r="D20" s="221" t="s">
        <v>208</v>
      </c>
      <c r="E20" s="221">
        <v>1</v>
      </c>
      <c r="F20" s="213">
        <v>1</v>
      </c>
      <c r="G20" s="213">
        <v>1</v>
      </c>
      <c r="H20" s="213">
        <v>1</v>
      </c>
    </row>
    <row r="21" spans="1:8" ht="13.5" customHeight="1">
      <c r="A21" s="220">
        <v>1</v>
      </c>
      <c r="B21" s="221">
        <v>16</v>
      </c>
      <c r="C21" s="206" t="s">
        <v>209</v>
      </c>
      <c r="D21" s="221" t="s">
        <v>210</v>
      </c>
      <c r="E21" s="221">
        <v>1</v>
      </c>
      <c r="F21" s="213">
        <v>1</v>
      </c>
      <c r="G21" s="213">
        <v>1</v>
      </c>
      <c r="H21" s="213">
        <v>1</v>
      </c>
    </row>
    <row r="22" spans="1:8" ht="13.5" customHeight="1">
      <c r="A22" s="220">
        <v>1</v>
      </c>
      <c r="B22" s="221">
        <v>17</v>
      </c>
      <c r="C22" s="206" t="s">
        <v>180</v>
      </c>
      <c r="D22" s="221" t="s">
        <v>211</v>
      </c>
      <c r="E22" s="221">
        <v>1</v>
      </c>
      <c r="F22" s="213">
        <v>1</v>
      </c>
      <c r="G22" s="213">
        <v>1</v>
      </c>
      <c r="H22" s="213">
        <v>1</v>
      </c>
    </row>
    <row r="23" spans="1:8" ht="13.5" customHeight="1">
      <c r="B23" s="134"/>
      <c r="C23" s="135"/>
      <c r="D23" s="134"/>
      <c r="E23" s="134"/>
    </row>
    <row r="24" spans="1:8" ht="13.5" customHeight="1">
      <c r="B24" s="134"/>
      <c r="C24" s="135"/>
      <c r="D24" s="134"/>
      <c r="E24" s="134"/>
    </row>
    <row r="25" spans="1:8" ht="13.5" customHeight="1">
      <c r="B25" s="134"/>
      <c r="C25" s="135"/>
      <c r="D25" s="134"/>
      <c r="E25" s="134"/>
    </row>
    <row r="26" spans="1:8" ht="13.5" customHeight="1">
      <c r="B26" s="134"/>
      <c r="C26" s="135"/>
      <c r="D26" s="134"/>
      <c r="E26" s="134"/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15"/>
  <sheetViews>
    <sheetView zoomScaleNormal="100" zoomScaleSheetLayoutView="100" workbookViewId="0">
      <pane ySplit="6" topLeftCell="A7" activePane="bottomLeft" state="frozen"/>
      <selection pane="bottomLeft" activeCell="A20" sqref="A20:XFD26"/>
    </sheetView>
  </sheetViews>
  <sheetFormatPr defaultRowHeight="13.5" customHeight="1"/>
  <cols>
    <col min="1" max="1" width="7.125" style="24" customWidth="1"/>
    <col min="2" max="5" width="7.125" style="42" customWidth="1"/>
    <col min="6" max="7" width="9" style="76" customWidth="1"/>
    <col min="8" max="9" width="9" style="24" customWidth="1"/>
    <col min="10" max="10" width="7.125" style="42" customWidth="1"/>
    <col min="11" max="12" width="9" style="24" customWidth="1"/>
    <col min="13" max="15" width="9" style="24" hidden="1" customWidth="1"/>
    <col min="16" max="16" width="9" style="24" customWidth="1"/>
    <col min="17" max="16384" width="9" style="48"/>
  </cols>
  <sheetData>
    <row r="1" spans="1:16" s="19" customFormat="1" ht="13.5" customHeight="1">
      <c r="A1" s="18"/>
      <c r="B1" s="73"/>
      <c r="C1" s="73"/>
      <c r="D1" s="73"/>
      <c r="E1" s="73"/>
      <c r="F1" s="74"/>
      <c r="G1" s="74"/>
      <c r="H1" s="63"/>
      <c r="I1" s="18"/>
      <c r="J1" s="31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143</v>
      </c>
      <c r="B2" s="31"/>
      <c r="C2" s="31"/>
      <c r="D2" s="31"/>
      <c r="E2" s="31"/>
      <c r="F2" s="74"/>
      <c r="G2" s="74"/>
      <c r="H2" s="18"/>
      <c r="I2" s="18"/>
      <c r="J2" s="31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2"/>
      <c r="C3" s="32"/>
      <c r="D3" s="32"/>
      <c r="E3" s="32"/>
      <c r="F3" s="75"/>
      <c r="G3" s="75"/>
      <c r="H3" s="21"/>
      <c r="I3" s="21"/>
      <c r="J3" s="32"/>
      <c r="K3" s="21"/>
      <c r="L3" s="21"/>
      <c r="M3" s="21"/>
      <c r="N3" s="21"/>
      <c r="O3" s="21"/>
      <c r="P3" s="21"/>
    </row>
    <row r="4" spans="1:16" ht="13.5" customHeight="1">
      <c r="A4" s="188" t="s">
        <v>59</v>
      </c>
      <c r="B4" s="189" t="s">
        <v>69</v>
      </c>
      <c r="C4" s="189"/>
      <c r="D4" s="189"/>
      <c r="E4" s="189"/>
      <c r="F4" s="189"/>
      <c r="G4" s="189"/>
      <c r="H4" s="189"/>
      <c r="I4" s="189"/>
      <c r="J4" s="187" t="s">
        <v>70</v>
      </c>
      <c r="K4" s="187"/>
      <c r="L4" s="187"/>
      <c r="M4" s="187"/>
      <c r="N4" s="187"/>
      <c r="O4" s="187"/>
      <c r="P4" s="187"/>
    </row>
    <row r="5" spans="1:16" ht="13.5" customHeight="1">
      <c r="A5" s="188"/>
      <c r="B5" s="189" t="s">
        <v>67</v>
      </c>
      <c r="C5" s="189" t="s">
        <v>68</v>
      </c>
      <c r="D5" s="190" t="s">
        <v>77</v>
      </c>
      <c r="E5" s="189" t="s">
        <v>169</v>
      </c>
      <c r="F5" s="191" t="s">
        <v>165</v>
      </c>
      <c r="G5" s="191" t="s">
        <v>170</v>
      </c>
      <c r="H5" s="189" t="s">
        <v>171</v>
      </c>
      <c r="I5" s="189" t="s">
        <v>172</v>
      </c>
      <c r="J5" s="187" t="s">
        <v>37</v>
      </c>
      <c r="K5" s="187" t="s">
        <v>35</v>
      </c>
      <c r="L5" s="187"/>
      <c r="M5" s="187"/>
      <c r="N5" s="187" t="s">
        <v>36</v>
      </c>
      <c r="O5" s="187"/>
      <c r="P5" s="187"/>
    </row>
    <row r="6" spans="1:16" ht="13.5" customHeight="1">
      <c r="A6" s="188"/>
      <c r="B6" s="189"/>
      <c r="C6" s="189"/>
      <c r="D6" s="189"/>
      <c r="E6" s="189"/>
      <c r="F6" s="191"/>
      <c r="G6" s="191"/>
      <c r="H6" s="189"/>
      <c r="I6" s="189"/>
      <c r="J6" s="187"/>
      <c r="K6" s="122" t="s">
        <v>148</v>
      </c>
      <c r="L6" s="122" t="s">
        <v>149</v>
      </c>
      <c r="M6" s="122" t="s">
        <v>151</v>
      </c>
      <c r="N6" s="122" t="s">
        <v>148</v>
      </c>
      <c r="O6" s="122" t="s">
        <v>149</v>
      </c>
      <c r="P6" s="122" t="s">
        <v>151</v>
      </c>
    </row>
    <row r="7" spans="1:16" ht="13.5" customHeight="1">
      <c r="A7" s="213">
        <v>1</v>
      </c>
      <c r="B7" s="222">
        <v>1</v>
      </c>
      <c r="C7" s="222">
        <v>-5</v>
      </c>
      <c r="D7" s="222" t="s">
        <v>212</v>
      </c>
      <c r="E7" s="222">
        <v>2</v>
      </c>
      <c r="F7" s="223" t="s">
        <v>213</v>
      </c>
      <c r="G7" s="223" t="s">
        <v>213</v>
      </c>
      <c r="H7" s="224">
        <v>478</v>
      </c>
      <c r="I7" s="224">
        <v>478</v>
      </c>
      <c r="J7" s="222"/>
      <c r="K7" s="225"/>
      <c r="L7" s="225"/>
    </row>
    <row r="8" spans="1:16" ht="13.5" customHeight="1">
      <c r="A8" s="213">
        <v>1</v>
      </c>
      <c r="B8" s="222">
        <v>7</v>
      </c>
      <c r="C8" s="222"/>
      <c r="D8" s="222" t="s">
        <v>215</v>
      </c>
      <c r="E8" s="222">
        <v>2</v>
      </c>
      <c r="F8" s="226">
        <v>0.47500000000000009</v>
      </c>
      <c r="G8" s="223" t="s">
        <v>216</v>
      </c>
      <c r="H8" s="224">
        <v>180.5</v>
      </c>
      <c r="I8" s="224">
        <v>180.5</v>
      </c>
      <c r="J8" s="222"/>
      <c r="K8" s="225"/>
      <c r="L8" s="225"/>
    </row>
    <row r="9" spans="1:16" ht="13.5" customHeight="1">
      <c r="A9" s="213">
        <v>1</v>
      </c>
      <c r="B9" s="222">
        <v>9</v>
      </c>
      <c r="C9" s="222"/>
      <c r="D9" s="222" t="s">
        <v>217</v>
      </c>
      <c r="E9" s="222">
        <v>2</v>
      </c>
      <c r="F9" s="226">
        <v>0.47500000000000009</v>
      </c>
      <c r="G9" s="223" t="s">
        <v>216</v>
      </c>
      <c r="H9" s="224">
        <v>180.5</v>
      </c>
      <c r="I9" s="224">
        <v>180.5</v>
      </c>
      <c r="J9" s="222"/>
      <c r="K9" s="225"/>
      <c r="L9" s="225"/>
    </row>
    <row r="10" spans="1:16" ht="13.5" customHeight="1">
      <c r="A10" s="213">
        <v>1</v>
      </c>
      <c r="B10" s="222">
        <v>11</v>
      </c>
      <c r="C10" s="222"/>
      <c r="D10" s="222" t="s">
        <v>215</v>
      </c>
      <c r="E10" s="222">
        <v>2</v>
      </c>
      <c r="F10" s="226">
        <v>0.47500000000000009</v>
      </c>
      <c r="G10" s="223" t="s">
        <v>216</v>
      </c>
      <c r="H10" s="224">
        <v>180.5</v>
      </c>
      <c r="I10" s="224">
        <v>180.5</v>
      </c>
      <c r="J10" s="222"/>
      <c r="K10" s="225"/>
      <c r="L10" s="225"/>
    </row>
    <row r="11" spans="1:16" ht="13.5" customHeight="1">
      <c r="A11" s="213">
        <v>1</v>
      </c>
      <c r="B11" s="222">
        <v>13</v>
      </c>
      <c r="C11" s="222"/>
      <c r="D11" s="222" t="s">
        <v>217</v>
      </c>
      <c r="E11" s="222">
        <v>2</v>
      </c>
      <c r="F11" s="226">
        <v>0.47500000000000009</v>
      </c>
      <c r="G11" s="223" t="s">
        <v>216</v>
      </c>
      <c r="H11" s="224">
        <v>180.5</v>
      </c>
      <c r="I11" s="224">
        <v>180.5</v>
      </c>
      <c r="J11" s="222"/>
      <c r="K11" s="225"/>
      <c r="L11" s="225"/>
    </row>
    <row r="12" spans="1:16" ht="13.5" customHeight="1">
      <c r="A12" s="213">
        <v>1</v>
      </c>
      <c r="B12" s="222"/>
      <c r="C12" s="222"/>
      <c r="D12" s="222"/>
      <c r="E12" s="222"/>
      <c r="F12" s="223"/>
      <c r="G12" s="223"/>
      <c r="H12" s="224"/>
      <c r="I12" s="224"/>
      <c r="J12" s="222"/>
      <c r="K12" s="225"/>
      <c r="L12" s="225"/>
    </row>
    <row r="13" spans="1:16" ht="13.5" customHeight="1">
      <c r="A13" s="213">
        <v>1</v>
      </c>
      <c r="B13" s="222">
        <v>1</v>
      </c>
      <c r="C13" s="222">
        <v>-5</v>
      </c>
      <c r="D13" s="222" t="s">
        <v>212</v>
      </c>
      <c r="E13" s="222">
        <v>1</v>
      </c>
      <c r="F13" s="220">
        <v>2.35</v>
      </c>
      <c r="G13" s="220">
        <v>-3.5</v>
      </c>
      <c r="H13" s="224">
        <v>1090</v>
      </c>
      <c r="I13" s="224">
        <v>1090</v>
      </c>
      <c r="J13" s="222"/>
      <c r="K13" s="225"/>
      <c r="L13" s="225"/>
    </row>
    <row r="14" spans="1:16" ht="13.5" customHeight="1">
      <c r="A14" s="213">
        <v>1</v>
      </c>
      <c r="B14" s="222">
        <v>1</v>
      </c>
      <c r="C14" s="222">
        <v>-5</v>
      </c>
      <c r="D14" s="222" t="s">
        <v>212</v>
      </c>
      <c r="E14" s="222">
        <v>1</v>
      </c>
      <c r="F14" s="220">
        <v>-4.3</v>
      </c>
      <c r="G14" s="220">
        <v>-3.5</v>
      </c>
      <c r="H14" s="224">
        <v>1090</v>
      </c>
      <c r="I14" s="224">
        <v>1090</v>
      </c>
      <c r="J14" s="222"/>
      <c r="K14" s="225"/>
      <c r="L14" s="225"/>
    </row>
    <row r="15" spans="1:16" ht="13.5" customHeight="1">
      <c r="A15" s="213">
        <v>1</v>
      </c>
      <c r="B15" s="222">
        <v>1</v>
      </c>
      <c r="C15" s="222">
        <v>-5</v>
      </c>
      <c r="D15" s="222" t="s">
        <v>212</v>
      </c>
      <c r="E15" s="222">
        <v>1</v>
      </c>
      <c r="F15" s="220">
        <v>-5.0999999999999996</v>
      </c>
      <c r="G15" s="220">
        <v>-2</v>
      </c>
      <c r="H15" s="224">
        <v>1530</v>
      </c>
      <c r="I15" s="224">
        <v>1530</v>
      </c>
      <c r="J15" s="222"/>
      <c r="K15" s="225"/>
      <c r="L15" s="225"/>
    </row>
    <row r="16" spans="1:16" ht="13.5" customHeight="1">
      <c r="A16" s="213">
        <v>1</v>
      </c>
      <c r="B16" s="222"/>
      <c r="C16" s="222"/>
      <c r="D16" s="222"/>
      <c r="E16" s="222"/>
      <c r="F16" s="220"/>
      <c r="G16" s="220"/>
      <c r="H16" s="224"/>
      <c r="I16" s="224"/>
      <c r="J16" s="222"/>
      <c r="K16" s="225"/>
      <c r="L16" s="225"/>
    </row>
    <row r="17" spans="1:12" ht="13.5" customHeight="1">
      <c r="A17" s="213">
        <v>1</v>
      </c>
      <c r="B17" s="222">
        <v>1</v>
      </c>
      <c r="C17" s="222">
        <v>-5</v>
      </c>
      <c r="D17" s="222" t="s">
        <v>212</v>
      </c>
      <c r="E17" s="222">
        <v>1</v>
      </c>
      <c r="F17" s="220">
        <v>1.0249999999999999</v>
      </c>
      <c r="G17" s="220">
        <v>-7.45</v>
      </c>
      <c r="H17" s="224">
        <v>2440.1</v>
      </c>
      <c r="I17" s="224">
        <v>3165.3</v>
      </c>
      <c r="J17" s="222"/>
      <c r="K17" s="225"/>
      <c r="L17" s="225"/>
    </row>
    <row r="18" spans="1:12" ht="13.5" customHeight="1">
      <c r="A18" s="213">
        <v>1</v>
      </c>
      <c r="B18" s="222">
        <v>1</v>
      </c>
      <c r="C18" s="222">
        <v>-5</v>
      </c>
      <c r="D18" s="222" t="s">
        <v>212</v>
      </c>
      <c r="E18" s="222">
        <v>1</v>
      </c>
      <c r="F18" s="220">
        <v>-7.45</v>
      </c>
      <c r="G18" s="220">
        <v>-7.45</v>
      </c>
      <c r="H18" s="224">
        <v>3165.3</v>
      </c>
      <c r="I18" s="224">
        <v>2440.1</v>
      </c>
      <c r="J18" s="222"/>
      <c r="K18" s="225"/>
      <c r="L18" s="225"/>
    </row>
    <row r="19" spans="1:12" ht="13.5" customHeight="1">
      <c r="A19" s="213"/>
      <c r="B19" s="222"/>
      <c r="C19" s="222"/>
      <c r="D19" s="222"/>
      <c r="E19" s="222"/>
      <c r="F19" s="220"/>
      <c r="G19" s="220"/>
      <c r="H19" s="224"/>
      <c r="I19" s="224"/>
      <c r="J19" s="222"/>
      <c r="K19" s="225"/>
      <c r="L19" s="225"/>
    </row>
    <row r="20" spans="1:12" ht="13.5" customHeight="1">
      <c r="A20" s="213">
        <v>2</v>
      </c>
      <c r="B20" s="222">
        <v>1</v>
      </c>
      <c r="C20" s="222">
        <v>-5</v>
      </c>
      <c r="D20" s="222" t="s">
        <v>218</v>
      </c>
      <c r="E20" s="222">
        <v>1</v>
      </c>
      <c r="F20" s="220">
        <v>2.35</v>
      </c>
      <c r="G20" s="220">
        <v>-3.5</v>
      </c>
      <c r="H20" s="224">
        <v>1700</v>
      </c>
      <c r="I20" s="224">
        <v>1700</v>
      </c>
      <c r="J20" s="222"/>
      <c r="K20" s="225"/>
      <c r="L20" s="225"/>
    </row>
    <row r="21" spans="1:12" ht="13.5" customHeight="1">
      <c r="A21" s="213">
        <v>2</v>
      </c>
      <c r="B21" s="222">
        <v>1</v>
      </c>
      <c r="C21" s="222">
        <v>-5</v>
      </c>
      <c r="D21" s="222" t="s">
        <v>212</v>
      </c>
      <c r="E21" s="222">
        <v>1</v>
      </c>
      <c r="F21" s="220">
        <v>-4.3</v>
      </c>
      <c r="G21" s="220">
        <v>-3.5</v>
      </c>
      <c r="H21" s="224">
        <v>1700</v>
      </c>
      <c r="I21" s="224">
        <v>1700</v>
      </c>
      <c r="J21" s="222"/>
      <c r="K21" s="225"/>
      <c r="L21" s="225"/>
    </row>
    <row r="22" spans="1:12" ht="13.5" customHeight="1">
      <c r="A22" s="213">
        <v>2</v>
      </c>
      <c r="B22" s="222">
        <v>1</v>
      </c>
      <c r="C22" s="222">
        <v>-5</v>
      </c>
      <c r="D22" s="222" t="s">
        <v>212</v>
      </c>
      <c r="E22" s="222">
        <v>1</v>
      </c>
      <c r="F22" s="220">
        <v>-5.0999999999999996</v>
      </c>
      <c r="G22" s="220">
        <v>-2</v>
      </c>
      <c r="H22" s="224">
        <v>370</v>
      </c>
      <c r="I22" s="224">
        <v>370</v>
      </c>
      <c r="J22" s="222"/>
      <c r="K22" s="225"/>
      <c r="L22" s="225"/>
    </row>
    <row r="23" spans="1:12" ht="13.5" customHeight="1">
      <c r="A23" s="213">
        <v>2</v>
      </c>
      <c r="B23" s="222"/>
      <c r="C23" s="222"/>
      <c r="D23" s="222"/>
      <c r="E23" s="222"/>
      <c r="F23" s="220"/>
      <c r="G23" s="220"/>
      <c r="H23" s="224"/>
      <c r="I23" s="224"/>
      <c r="J23" s="222"/>
      <c r="K23" s="225"/>
      <c r="L23" s="225"/>
    </row>
    <row r="24" spans="1:12" ht="13.5" customHeight="1">
      <c r="A24" s="213">
        <v>2</v>
      </c>
      <c r="B24" s="222">
        <v>1</v>
      </c>
      <c r="C24" s="222">
        <v>-5</v>
      </c>
      <c r="D24" s="222" t="s">
        <v>218</v>
      </c>
      <c r="E24" s="222">
        <v>1</v>
      </c>
      <c r="F24" s="220">
        <v>1.0249999999999999</v>
      </c>
      <c r="G24" s="220">
        <v>-7.45</v>
      </c>
      <c r="H24" s="224">
        <v>530.5</v>
      </c>
      <c r="I24" s="224">
        <v>776</v>
      </c>
      <c r="J24" s="222"/>
      <c r="K24" s="225"/>
      <c r="L24" s="225"/>
    </row>
    <row r="25" spans="1:12" ht="13.5" customHeight="1">
      <c r="A25" s="213">
        <v>2</v>
      </c>
      <c r="B25" s="222">
        <v>1</v>
      </c>
      <c r="C25" s="222">
        <v>-5</v>
      </c>
      <c r="D25" s="222" t="s">
        <v>212</v>
      </c>
      <c r="E25" s="222">
        <v>1</v>
      </c>
      <c r="F25" s="220">
        <v>-7.45</v>
      </c>
      <c r="G25" s="220">
        <v>-7.45</v>
      </c>
      <c r="H25" s="224">
        <v>776</v>
      </c>
      <c r="I25" s="224">
        <v>530.5</v>
      </c>
      <c r="J25" s="222"/>
      <c r="K25" s="225"/>
      <c r="L25" s="225"/>
    </row>
    <row r="26" spans="1:12" ht="13.5" customHeight="1">
      <c r="A26" s="213"/>
      <c r="B26" s="222"/>
      <c r="C26" s="222"/>
      <c r="D26" s="222"/>
      <c r="E26" s="222"/>
      <c r="F26" s="226"/>
      <c r="G26" s="226"/>
      <c r="H26" s="224"/>
      <c r="I26" s="224"/>
      <c r="J26" s="222"/>
      <c r="K26" s="225"/>
      <c r="L26" s="225"/>
    </row>
    <row r="27" spans="1:12" ht="13.5" customHeight="1">
      <c r="A27" s="213">
        <v>3</v>
      </c>
      <c r="B27" s="222">
        <v>1</v>
      </c>
      <c r="C27" s="222">
        <v>-5</v>
      </c>
      <c r="D27" s="222" t="s">
        <v>215</v>
      </c>
      <c r="E27" s="222">
        <v>9</v>
      </c>
      <c r="F27" s="226"/>
      <c r="G27" s="226"/>
      <c r="H27" s="224">
        <v>-15</v>
      </c>
      <c r="I27" s="224"/>
      <c r="J27" s="222"/>
      <c r="K27" s="225"/>
      <c r="L27" s="225"/>
    </row>
    <row r="28" spans="1:12" ht="13.5" customHeight="1">
      <c r="A28" s="213">
        <v>3</v>
      </c>
      <c r="B28" s="222"/>
      <c r="C28" s="222"/>
      <c r="D28" s="222"/>
      <c r="E28" s="222"/>
      <c r="F28" s="226"/>
      <c r="G28" s="226"/>
      <c r="H28" s="224"/>
      <c r="I28" s="224"/>
      <c r="J28" s="222"/>
      <c r="K28" s="225"/>
      <c r="L28" s="225"/>
    </row>
    <row r="29" spans="1:12" ht="13.5" customHeight="1">
      <c r="A29" s="213">
        <v>3</v>
      </c>
      <c r="B29" s="222">
        <v>1</v>
      </c>
      <c r="C29" s="222">
        <v>-5</v>
      </c>
      <c r="D29" s="222" t="s">
        <v>212</v>
      </c>
      <c r="E29" s="222">
        <v>1</v>
      </c>
      <c r="F29" s="220">
        <v>2.35</v>
      </c>
      <c r="G29" s="220">
        <v>-3.5</v>
      </c>
      <c r="H29" s="224">
        <v>30</v>
      </c>
      <c r="I29" s="224">
        <v>30</v>
      </c>
      <c r="J29" s="222"/>
      <c r="K29" s="225"/>
      <c r="L29" s="225"/>
    </row>
    <row r="30" spans="1:12" ht="13.5" customHeight="1">
      <c r="A30" s="213">
        <v>3</v>
      </c>
      <c r="B30" s="222">
        <v>1</v>
      </c>
      <c r="C30" s="222">
        <v>-5</v>
      </c>
      <c r="D30" s="222" t="s">
        <v>212</v>
      </c>
      <c r="E30" s="222">
        <v>1</v>
      </c>
      <c r="F30" s="220">
        <v>-4.3</v>
      </c>
      <c r="G30" s="220">
        <v>-3.5</v>
      </c>
      <c r="H30" s="224">
        <v>30</v>
      </c>
      <c r="I30" s="224">
        <v>30</v>
      </c>
      <c r="J30" s="222"/>
      <c r="K30" s="225"/>
      <c r="L30" s="225"/>
    </row>
    <row r="31" spans="1:12" ht="13.5" customHeight="1">
      <c r="A31" s="213"/>
      <c r="B31" s="222"/>
      <c r="C31" s="222"/>
      <c r="D31" s="222"/>
      <c r="E31" s="222"/>
      <c r="F31" s="223"/>
      <c r="G31" s="223"/>
      <c r="H31" s="224"/>
      <c r="I31" s="224"/>
      <c r="J31" s="222"/>
      <c r="K31" s="225"/>
      <c r="L31" s="225"/>
    </row>
    <row r="32" spans="1:12" ht="13.5" customHeight="1">
      <c r="A32" s="213"/>
      <c r="B32" s="222"/>
      <c r="C32" s="222"/>
      <c r="D32" s="222"/>
      <c r="E32" s="222"/>
      <c r="F32" s="223"/>
      <c r="G32" s="223"/>
      <c r="H32" s="224"/>
      <c r="I32" s="224"/>
      <c r="J32" s="222"/>
      <c r="K32" s="225"/>
      <c r="L32" s="225"/>
    </row>
    <row r="33" spans="1:12" ht="13.5" customHeight="1">
      <c r="A33" s="213">
        <v>4</v>
      </c>
      <c r="B33" s="222">
        <v>1</v>
      </c>
      <c r="C33" s="222">
        <v>-5</v>
      </c>
      <c r="D33" s="222" t="s">
        <v>214</v>
      </c>
      <c r="E33" s="222">
        <v>9</v>
      </c>
      <c r="F33" s="226"/>
      <c r="G33" s="226"/>
      <c r="H33" s="224">
        <v>10</v>
      </c>
      <c r="I33" s="224"/>
      <c r="J33" s="222"/>
      <c r="K33" s="225"/>
      <c r="L33" s="225"/>
    </row>
    <row r="34" spans="1:12" ht="13.5" customHeight="1">
      <c r="A34" s="213">
        <v>4</v>
      </c>
      <c r="B34" s="222"/>
      <c r="C34" s="222"/>
      <c r="D34" s="222"/>
      <c r="E34" s="222"/>
      <c r="F34" s="226"/>
      <c r="G34" s="226"/>
      <c r="H34" s="224"/>
      <c r="I34" s="224"/>
      <c r="J34" s="222"/>
      <c r="K34" s="225"/>
      <c r="L34" s="225"/>
    </row>
    <row r="35" spans="1:12" ht="13.5" customHeight="1">
      <c r="A35" s="213">
        <v>4</v>
      </c>
      <c r="B35" s="222">
        <v>1</v>
      </c>
      <c r="C35" s="222">
        <v>-5</v>
      </c>
      <c r="D35" s="222" t="s">
        <v>212</v>
      </c>
      <c r="E35" s="222">
        <v>1</v>
      </c>
      <c r="F35" s="220">
        <v>1.0249999999999999</v>
      </c>
      <c r="G35" s="220">
        <v>-7.45</v>
      </c>
      <c r="H35" s="224">
        <v>-1</v>
      </c>
      <c r="I35" s="224">
        <v>-0.9</v>
      </c>
      <c r="J35" s="222"/>
      <c r="K35" s="225"/>
      <c r="L35" s="225"/>
    </row>
    <row r="36" spans="1:12" ht="13.5" customHeight="1">
      <c r="A36" s="213">
        <v>4</v>
      </c>
      <c r="B36" s="222">
        <v>1</v>
      </c>
      <c r="C36" s="222">
        <v>-5</v>
      </c>
      <c r="D36" s="222" t="s">
        <v>179</v>
      </c>
      <c r="E36" s="222">
        <v>1</v>
      </c>
      <c r="F36" s="220">
        <v>-7.45</v>
      </c>
      <c r="G36" s="220">
        <v>-7.45</v>
      </c>
      <c r="H36" s="224">
        <v>-0.9</v>
      </c>
      <c r="I36" s="224">
        <v>-1</v>
      </c>
      <c r="J36" s="222"/>
      <c r="K36" s="225"/>
      <c r="L36" s="225"/>
    </row>
    <row r="37" spans="1:12" ht="13.5" customHeight="1">
      <c r="A37" s="213"/>
      <c r="B37" s="222"/>
      <c r="C37" s="222"/>
      <c r="D37" s="222"/>
      <c r="E37" s="222"/>
      <c r="F37" s="223"/>
      <c r="G37" s="223"/>
      <c r="H37" s="224"/>
      <c r="I37" s="224"/>
      <c r="J37" s="222"/>
      <c r="K37" s="225"/>
      <c r="L37" s="225"/>
    </row>
    <row r="38" spans="1:12" ht="13.5" customHeight="1">
      <c r="A38" s="213">
        <v>5</v>
      </c>
      <c r="B38" s="222">
        <v>1</v>
      </c>
      <c r="C38" s="222">
        <v>-5</v>
      </c>
      <c r="D38" s="222" t="s">
        <v>212</v>
      </c>
      <c r="E38" s="222">
        <v>1</v>
      </c>
      <c r="F38" s="220">
        <v>2.35</v>
      </c>
      <c r="G38" s="220">
        <v>-3.5</v>
      </c>
      <c r="H38" s="224">
        <v>40</v>
      </c>
      <c r="I38" s="224">
        <v>40</v>
      </c>
      <c r="J38" s="222"/>
      <c r="K38" s="225"/>
      <c r="L38" s="225"/>
    </row>
    <row r="39" spans="1:12" ht="13.5" customHeight="1">
      <c r="A39" s="213">
        <v>5</v>
      </c>
      <c r="B39" s="222">
        <v>1</v>
      </c>
      <c r="C39" s="222">
        <v>-5</v>
      </c>
      <c r="D39" s="222" t="s">
        <v>218</v>
      </c>
      <c r="E39" s="222">
        <v>1</v>
      </c>
      <c r="F39" s="220">
        <v>-4.3</v>
      </c>
      <c r="G39" s="220">
        <v>-3.5</v>
      </c>
      <c r="H39" s="224">
        <v>40</v>
      </c>
      <c r="I39" s="224">
        <v>40</v>
      </c>
      <c r="J39" s="222"/>
      <c r="K39" s="225"/>
      <c r="L39" s="225"/>
    </row>
    <row r="40" spans="1:12" ht="13.5" customHeight="1">
      <c r="A40" s="213">
        <v>5</v>
      </c>
      <c r="B40" s="222">
        <v>1</v>
      </c>
      <c r="C40" s="222">
        <v>-5</v>
      </c>
      <c r="D40" s="222" t="s">
        <v>179</v>
      </c>
      <c r="E40" s="222">
        <v>1</v>
      </c>
      <c r="F40" s="220">
        <v>-5.0999999999999996</v>
      </c>
      <c r="G40" s="220">
        <v>-2</v>
      </c>
      <c r="H40" s="224">
        <v>40</v>
      </c>
      <c r="I40" s="224">
        <v>40</v>
      </c>
      <c r="J40" s="222"/>
      <c r="K40" s="225"/>
      <c r="L40" s="225"/>
    </row>
    <row r="41" spans="1:12" ht="13.5" customHeight="1">
      <c r="A41" s="213">
        <v>5</v>
      </c>
      <c r="B41" s="222"/>
      <c r="C41" s="222"/>
      <c r="D41" s="222"/>
      <c r="E41" s="222"/>
      <c r="F41" s="220"/>
      <c r="G41" s="220"/>
      <c r="H41" s="224"/>
      <c r="I41" s="224"/>
      <c r="J41" s="222"/>
      <c r="K41" s="225"/>
      <c r="L41" s="225"/>
    </row>
    <row r="42" spans="1:12" ht="13.5" customHeight="1">
      <c r="A42" s="213">
        <v>5</v>
      </c>
      <c r="B42" s="222">
        <v>1</v>
      </c>
      <c r="C42" s="222">
        <v>-5</v>
      </c>
      <c r="D42" s="222" t="s">
        <v>179</v>
      </c>
      <c r="E42" s="222">
        <v>1</v>
      </c>
      <c r="F42" s="220">
        <v>1.0249999999999999</v>
      </c>
      <c r="G42" s="220">
        <v>-7.45</v>
      </c>
      <c r="H42" s="224">
        <v>27.3</v>
      </c>
      <c r="I42" s="224">
        <v>37.200000000000003</v>
      </c>
      <c r="J42" s="222"/>
      <c r="K42" s="225"/>
      <c r="L42" s="225"/>
    </row>
    <row r="43" spans="1:12" ht="13.5" customHeight="1">
      <c r="A43" s="213">
        <v>5</v>
      </c>
      <c r="B43" s="222">
        <v>1</v>
      </c>
      <c r="C43" s="222">
        <v>-5</v>
      </c>
      <c r="D43" s="222" t="s">
        <v>212</v>
      </c>
      <c r="E43" s="222">
        <v>1</v>
      </c>
      <c r="F43" s="220">
        <v>-7.45</v>
      </c>
      <c r="G43" s="220">
        <v>-7.45</v>
      </c>
      <c r="H43" s="224">
        <v>37.200000000000003</v>
      </c>
      <c r="I43" s="224">
        <v>27.3</v>
      </c>
      <c r="J43" s="222"/>
      <c r="K43" s="225"/>
      <c r="L43" s="225"/>
    </row>
    <row r="44" spans="1:12" ht="13.5" customHeight="1">
      <c r="A44" s="213"/>
      <c r="B44" s="222"/>
      <c r="C44" s="222"/>
      <c r="D44" s="222"/>
      <c r="E44" s="222"/>
      <c r="F44" s="220"/>
      <c r="G44" s="220"/>
      <c r="H44" s="224"/>
      <c r="I44" s="224"/>
      <c r="J44" s="222"/>
      <c r="K44" s="225"/>
      <c r="L44" s="225"/>
    </row>
    <row r="45" spans="1:12" ht="13.5" customHeight="1">
      <c r="A45" s="213">
        <v>6</v>
      </c>
      <c r="B45" s="222">
        <v>1</v>
      </c>
      <c r="C45" s="222">
        <v>-5</v>
      </c>
      <c r="D45" s="222" t="s">
        <v>212</v>
      </c>
      <c r="E45" s="222">
        <v>1</v>
      </c>
      <c r="F45" s="220">
        <v>2.35</v>
      </c>
      <c r="G45" s="220">
        <v>-3.5</v>
      </c>
      <c r="H45" s="224">
        <v>90</v>
      </c>
      <c r="I45" s="224">
        <v>90</v>
      </c>
      <c r="J45" s="222"/>
      <c r="K45" s="225"/>
      <c r="L45" s="225"/>
    </row>
    <row r="46" spans="1:12" ht="13.5" customHeight="1">
      <c r="A46" s="213">
        <v>6</v>
      </c>
      <c r="B46" s="222">
        <v>1</v>
      </c>
      <c r="C46" s="222">
        <v>-5</v>
      </c>
      <c r="D46" s="222" t="s">
        <v>212</v>
      </c>
      <c r="E46" s="222">
        <v>1</v>
      </c>
      <c r="F46" s="220">
        <v>-4.3</v>
      </c>
      <c r="G46" s="220">
        <v>-3.5</v>
      </c>
      <c r="H46" s="224">
        <v>90</v>
      </c>
      <c r="I46" s="224">
        <v>90</v>
      </c>
      <c r="J46" s="222"/>
      <c r="K46" s="225"/>
      <c r="L46" s="225"/>
    </row>
    <row r="47" spans="1:12" ht="13.5" customHeight="1">
      <c r="A47" s="213">
        <v>6</v>
      </c>
      <c r="B47" s="222">
        <v>1</v>
      </c>
      <c r="C47" s="222">
        <v>-5</v>
      </c>
      <c r="D47" s="222" t="s">
        <v>218</v>
      </c>
      <c r="E47" s="222">
        <v>1</v>
      </c>
      <c r="F47" s="220">
        <v>-5.0999999999999996</v>
      </c>
      <c r="G47" s="220">
        <v>-2</v>
      </c>
      <c r="H47" s="224">
        <v>90</v>
      </c>
      <c r="I47" s="224">
        <v>90</v>
      </c>
      <c r="J47" s="222"/>
      <c r="K47" s="225"/>
      <c r="L47" s="225"/>
    </row>
    <row r="48" spans="1:12" ht="13.5" customHeight="1">
      <c r="A48" s="213">
        <v>6</v>
      </c>
      <c r="B48" s="222"/>
      <c r="C48" s="222"/>
      <c r="D48" s="222"/>
      <c r="E48" s="222"/>
      <c r="F48" s="220"/>
      <c r="G48" s="220"/>
      <c r="H48" s="224"/>
      <c r="I48" s="224"/>
      <c r="J48" s="222"/>
      <c r="K48" s="225"/>
      <c r="L48" s="225"/>
    </row>
    <row r="49" spans="1:12" ht="13.5" customHeight="1">
      <c r="A49" s="213">
        <v>6</v>
      </c>
      <c r="B49" s="222">
        <v>1</v>
      </c>
      <c r="C49" s="222">
        <v>-5</v>
      </c>
      <c r="D49" s="222" t="s">
        <v>179</v>
      </c>
      <c r="E49" s="222">
        <v>1</v>
      </c>
      <c r="F49" s="220">
        <v>1.0249999999999999</v>
      </c>
      <c r="G49" s="220">
        <v>-7.45</v>
      </c>
      <c r="H49" s="224">
        <v>71.2</v>
      </c>
      <c r="I49" s="224">
        <v>97.2</v>
      </c>
      <c r="J49" s="222"/>
      <c r="K49" s="225"/>
      <c r="L49" s="225"/>
    </row>
    <row r="50" spans="1:12" ht="13.5" customHeight="1">
      <c r="A50" s="213">
        <v>6</v>
      </c>
      <c r="B50" s="222">
        <v>1</v>
      </c>
      <c r="C50" s="222">
        <v>-5</v>
      </c>
      <c r="D50" s="222" t="s">
        <v>212</v>
      </c>
      <c r="E50" s="222">
        <v>1</v>
      </c>
      <c r="F50" s="220">
        <v>-7.45</v>
      </c>
      <c r="G50" s="220">
        <v>-7.45</v>
      </c>
      <c r="H50" s="224">
        <v>97.2</v>
      </c>
      <c r="I50" s="224">
        <v>71.2</v>
      </c>
      <c r="J50" s="222"/>
      <c r="K50" s="225"/>
      <c r="L50" s="225"/>
    </row>
    <row r="51" spans="1:12" ht="13.5" customHeight="1">
      <c r="A51" s="213"/>
      <c r="B51" s="222"/>
      <c r="C51" s="222"/>
      <c r="D51" s="222"/>
      <c r="E51" s="222"/>
      <c r="F51" s="223"/>
      <c r="G51" s="223"/>
      <c r="H51" s="224"/>
      <c r="I51" s="224"/>
      <c r="J51" s="222"/>
      <c r="K51" s="225"/>
      <c r="L51" s="225"/>
    </row>
    <row r="52" spans="1:12" ht="13.5" customHeight="1">
      <c r="A52" s="213">
        <v>7</v>
      </c>
      <c r="B52" s="222">
        <v>1</v>
      </c>
      <c r="C52" s="222">
        <v>-5</v>
      </c>
      <c r="D52" s="222" t="s">
        <v>212</v>
      </c>
      <c r="E52" s="222">
        <v>1</v>
      </c>
      <c r="F52" s="220">
        <v>2.35</v>
      </c>
      <c r="G52" s="220">
        <v>-3.5</v>
      </c>
      <c r="H52" s="224">
        <v>170</v>
      </c>
      <c r="I52" s="224">
        <v>170</v>
      </c>
      <c r="J52" s="222"/>
      <c r="K52" s="225"/>
      <c r="L52" s="225"/>
    </row>
    <row r="53" spans="1:12" ht="13.5" customHeight="1">
      <c r="A53" s="213">
        <v>7</v>
      </c>
      <c r="B53" s="222">
        <v>1</v>
      </c>
      <c r="C53" s="222">
        <v>-5</v>
      </c>
      <c r="D53" s="222" t="s">
        <v>179</v>
      </c>
      <c r="E53" s="222">
        <v>1</v>
      </c>
      <c r="F53" s="220">
        <v>-4.3</v>
      </c>
      <c r="G53" s="220">
        <v>-3.5</v>
      </c>
      <c r="H53" s="224">
        <v>170</v>
      </c>
      <c r="I53" s="224">
        <v>170</v>
      </c>
      <c r="J53" s="222"/>
      <c r="K53" s="225"/>
      <c r="L53" s="225"/>
    </row>
    <row r="54" spans="1:12" ht="13.5" customHeight="1">
      <c r="A54" s="213">
        <v>7</v>
      </c>
      <c r="B54" s="222">
        <v>1</v>
      </c>
      <c r="C54" s="222">
        <v>-5</v>
      </c>
      <c r="D54" s="222" t="s">
        <v>212</v>
      </c>
      <c r="E54" s="222">
        <v>1</v>
      </c>
      <c r="F54" s="220">
        <v>-5.0999999999999996</v>
      </c>
      <c r="G54" s="220">
        <v>-2</v>
      </c>
      <c r="H54" s="224">
        <v>170</v>
      </c>
      <c r="I54" s="224">
        <v>170</v>
      </c>
      <c r="J54" s="222"/>
      <c r="K54" s="225"/>
      <c r="L54" s="225"/>
    </row>
    <row r="55" spans="1:12" ht="13.5" customHeight="1">
      <c r="A55" s="213">
        <v>7</v>
      </c>
      <c r="B55" s="222"/>
      <c r="C55" s="222"/>
      <c r="D55" s="222"/>
      <c r="E55" s="222"/>
      <c r="F55" s="220"/>
      <c r="G55" s="220"/>
      <c r="H55" s="224"/>
      <c r="I55" s="224"/>
      <c r="J55" s="222"/>
      <c r="K55" s="225"/>
      <c r="L55" s="225"/>
    </row>
    <row r="56" spans="1:12" ht="13.5" customHeight="1">
      <c r="A56" s="213">
        <v>7</v>
      </c>
      <c r="B56" s="222">
        <v>1</v>
      </c>
      <c r="C56" s="222">
        <v>-5</v>
      </c>
      <c r="D56" s="222" t="s">
        <v>212</v>
      </c>
      <c r="E56" s="222">
        <v>1</v>
      </c>
      <c r="F56" s="220">
        <v>1.0249999999999999</v>
      </c>
      <c r="G56" s="220">
        <v>-7.45</v>
      </c>
      <c r="H56" s="224">
        <v>134.6</v>
      </c>
      <c r="I56" s="224">
        <v>183.7</v>
      </c>
      <c r="J56" s="222"/>
      <c r="K56" s="225"/>
      <c r="L56" s="225"/>
    </row>
    <row r="57" spans="1:12" ht="13.5" customHeight="1">
      <c r="A57" s="213">
        <v>7</v>
      </c>
      <c r="B57" s="222">
        <v>1</v>
      </c>
      <c r="C57" s="222">
        <v>-5</v>
      </c>
      <c r="D57" s="222" t="s">
        <v>212</v>
      </c>
      <c r="E57" s="222">
        <v>1</v>
      </c>
      <c r="F57" s="220">
        <v>-7.45</v>
      </c>
      <c r="G57" s="220">
        <v>-7.45</v>
      </c>
      <c r="H57" s="224">
        <v>183.7</v>
      </c>
      <c r="I57" s="224">
        <v>134.6</v>
      </c>
      <c r="J57" s="222"/>
      <c r="K57" s="225"/>
      <c r="L57" s="225"/>
    </row>
    <row r="58" spans="1:12" ht="13.5" customHeight="1">
      <c r="A58" s="213"/>
      <c r="B58" s="222"/>
      <c r="C58" s="222"/>
      <c r="D58" s="222"/>
      <c r="E58" s="222"/>
      <c r="F58" s="223"/>
      <c r="G58" s="223"/>
      <c r="H58" s="224"/>
      <c r="I58" s="224"/>
      <c r="J58" s="222"/>
      <c r="K58" s="225"/>
      <c r="L58" s="225"/>
    </row>
    <row r="59" spans="1:12" ht="13.5" customHeight="1">
      <c r="A59" s="213">
        <v>8</v>
      </c>
      <c r="B59" s="222">
        <v>1</v>
      </c>
      <c r="C59" s="222">
        <v>-5</v>
      </c>
      <c r="D59" s="222" t="s">
        <v>212</v>
      </c>
      <c r="E59" s="222">
        <v>1</v>
      </c>
      <c r="F59" s="220">
        <v>2.35</v>
      </c>
      <c r="G59" s="220">
        <v>-3.5</v>
      </c>
      <c r="H59" s="224">
        <v>160.21</v>
      </c>
      <c r="I59" s="224">
        <v>113.23</v>
      </c>
      <c r="J59" s="222"/>
      <c r="K59" s="225"/>
      <c r="L59" s="225"/>
    </row>
    <row r="60" spans="1:12" ht="13.5" customHeight="1">
      <c r="A60" s="213">
        <v>8</v>
      </c>
      <c r="B60" s="222">
        <v>1</v>
      </c>
      <c r="C60" s="222">
        <v>-5</v>
      </c>
      <c r="D60" s="222" t="s">
        <v>212</v>
      </c>
      <c r="E60" s="222">
        <v>1</v>
      </c>
      <c r="F60" s="220">
        <v>-4.3</v>
      </c>
      <c r="G60" s="220">
        <v>-3.5</v>
      </c>
      <c r="H60" s="224">
        <v>55.77</v>
      </c>
      <c r="I60" s="224">
        <v>8.7899999999999991</v>
      </c>
      <c r="J60" s="222"/>
      <c r="K60" s="225"/>
      <c r="L60" s="225"/>
    </row>
    <row r="61" spans="1:12" ht="13.5" customHeight="1">
      <c r="A61" s="213">
        <v>8</v>
      </c>
      <c r="B61" s="222"/>
      <c r="C61" s="222"/>
      <c r="D61" s="222"/>
      <c r="E61" s="222"/>
      <c r="F61" s="220"/>
      <c r="G61" s="220"/>
      <c r="H61" s="224"/>
      <c r="I61" s="224"/>
      <c r="J61" s="222"/>
      <c r="K61" s="225"/>
      <c r="L61" s="225"/>
    </row>
    <row r="62" spans="1:12" ht="13.5" customHeight="1">
      <c r="A62" s="213">
        <v>8</v>
      </c>
      <c r="B62" s="222">
        <v>1</v>
      </c>
      <c r="C62" s="222">
        <v>-5</v>
      </c>
      <c r="D62" s="222" t="s">
        <v>179</v>
      </c>
      <c r="E62" s="222">
        <v>1</v>
      </c>
      <c r="F62" s="220">
        <v>1.0249999999999999</v>
      </c>
      <c r="G62" s="220">
        <v>-7.45</v>
      </c>
      <c r="H62" s="224">
        <v>259.92</v>
      </c>
      <c r="I62" s="224">
        <v>168.39</v>
      </c>
      <c r="J62" s="222"/>
      <c r="K62" s="225"/>
      <c r="L62" s="225"/>
    </row>
    <row r="63" spans="1:12" ht="13.5" customHeight="1">
      <c r="A63" s="213">
        <v>8</v>
      </c>
      <c r="B63" s="222">
        <v>1</v>
      </c>
      <c r="C63" s="222">
        <v>-5</v>
      </c>
      <c r="D63" s="222" t="s">
        <v>212</v>
      </c>
      <c r="E63" s="222">
        <v>1</v>
      </c>
      <c r="F63" s="220">
        <v>-7.45</v>
      </c>
      <c r="G63" s="220">
        <v>-7.45</v>
      </c>
      <c r="H63" s="224">
        <v>76.36</v>
      </c>
      <c r="I63" s="224">
        <v>-15.17</v>
      </c>
      <c r="J63" s="222"/>
      <c r="K63" s="225"/>
      <c r="L63" s="225"/>
    </row>
    <row r="64" spans="1:12" ht="13.5" customHeight="1">
      <c r="A64" s="213"/>
      <c r="B64" s="222"/>
      <c r="C64" s="222"/>
      <c r="D64" s="222"/>
      <c r="E64" s="222"/>
      <c r="F64" s="223"/>
      <c r="G64" s="223"/>
      <c r="H64" s="224"/>
      <c r="I64" s="224"/>
      <c r="J64" s="222"/>
      <c r="K64" s="225"/>
      <c r="L64" s="225"/>
    </row>
    <row r="65" spans="1:12" ht="13.5" customHeight="1">
      <c r="A65" s="213">
        <v>9</v>
      </c>
      <c r="B65" s="222">
        <v>1</v>
      </c>
      <c r="C65" s="222">
        <v>-5</v>
      </c>
      <c r="D65" s="222" t="s">
        <v>179</v>
      </c>
      <c r="E65" s="222">
        <v>1</v>
      </c>
      <c r="F65" s="220">
        <v>0</v>
      </c>
      <c r="G65" s="220">
        <v>0</v>
      </c>
      <c r="H65" s="224">
        <v>8.7899999999999991</v>
      </c>
      <c r="I65" s="224">
        <v>55.77</v>
      </c>
      <c r="J65" s="222"/>
      <c r="K65" s="225"/>
      <c r="L65" s="225"/>
    </row>
    <row r="66" spans="1:12" ht="13.5" customHeight="1">
      <c r="A66" s="213">
        <v>9</v>
      </c>
      <c r="B66" s="222">
        <v>1</v>
      </c>
      <c r="C66" s="222">
        <v>-5</v>
      </c>
      <c r="D66" s="222" t="s">
        <v>179</v>
      </c>
      <c r="E66" s="222">
        <v>1</v>
      </c>
      <c r="F66" s="220">
        <v>2.35</v>
      </c>
      <c r="G66" s="220">
        <v>-3.5</v>
      </c>
      <c r="H66" s="224">
        <v>113.23</v>
      </c>
      <c r="I66" s="224">
        <v>160.21</v>
      </c>
      <c r="J66" s="222"/>
      <c r="K66" s="225"/>
      <c r="L66" s="225"/>
    </row>
    <row r="67" spans="1:12" ht="13.5" customHeight="1">
      <c r="A67" s="213">
        <v>9</v>
      </c>
      <c r="B67" s="222"/>
      <c r="C67" s="222"/>
      <c r="D67" s="222"/>
      <c r="E67" s="222"/>
      <c r="F67" s="220"/>
      <c r="G67" s="220"/>
      <c r="H67" s="224"/>
      <c r="I67" s="224"/>
      <c r="J67" s="222"/>
      <c r="K67" s="225"/>
      <c r="L67" s="225"/>
    </row>
    <row r="68" spans="1:12" ht="13.5" customHeight="1">
      <c r="A68" s="213">
        <v>9</v>
      </c>
      <c r="B68" s="222">
        <v>1</v>
      </c>
      <c r="C68" s="222">
        <v>-5</v>
      </c>
      <c r="D68" s="222" t="s">
        <v>212</v>
      </c>
      <c r="E68" s="222">
        <v>1</v>
      </c>
      <c r="F68" s="220">
        <v>1.0249999999999999</v>
      </c>
      <c r="G68" s="220">
        <v>-7.45</v>
      </c>
      <c r="H68" s="224">
        <v>145.38</v>
      </c>
      <c r="I68" s="224">
        <v>130.21</v>
      </c>
      <c r="J68" s="222"/>
      <c r="K68" s="225"/>
      <c r="L68" s="225"/>
    </row>
    <row r="69" spans="1:12" ht="13.5" customHeight="1">
      <c r="A69" s="213">
        <v>9</v>
      </c>
      <c r="B69" s="222">
        <v>1</v>
      </c>
      <c r="C69" s="222">
        <v>-5</v>
      </c>
      <c r="D69" s="222" t="s">
        <v>212</v>
      </c>
      <c r="E69" s="222">
        <v>1</v>
      </c>
      <c r="F69" s="220">
        <v>-7.45</v>
      </c>
      <c r="G69" s="220">
        <v>-7.45</v>
      </c>
      <c r="H69" s="224">
        <v>114.54</v>
      </c>
      <c r="I69" s="224">
        <v>99.37</v>
      </c>
      <c r="J69" s="222"/>
      <c r="K69" s="225"/>
      <c r="L69" s="225"/>
    </row>
    <row r="70" spans="1:12" ht="13.5" customHeight="1">
      <c r="A70" s="213"/>
      <c r="B70" s="222"/>
      <c r="C70" s="222"/>
      <c r="D70" s="222"/>
      <c r="E70" s="222"/>
      <c r="F70" s="223"/>
      <c r="G70" s="223"/>
      <c r="H70" s="224"/>
      <c r="I70" s="224"/>
      <c r="J70" s="222"/>
      <c r="K70" s="225"/>
      <c r="L70" s="225"/>
    </row>
    <row r="71" spans="1:12" ht="13.5" customHeight="1">
      <c r="A71" s="213">
        <v>10</v>
      </c>
      <c r="B71" s="222">
        <v>1</v>
      </c>
      <c r="C71" s="222">
        <v>-5</v>
      </c>
      <c r="D71" s="222" t="s">
        <v>179</v>
      </c>
      <c r="E71" s="222">
        <v>1</v>
      </c>
      <c r="F71" s="220">
        <v>18.75</v>
      </c>
      <c r="G71" s="220">
        <v>-2</v>
      </c>
      <c r="H71" s="224">
        <v>169</v>
      </c>
      <c r="I71" s="224">
        <v>169</v>
      </c>
      <c r="J71" s="222"/>
      <c r="K71" s="225"/>
      <c r="L71" s="225"/>
    </row>
    <row r="72" spans="1:12" ht="13.5" customHeight="1">
      <c r="A72" s="213">
        <v>10</v>
      </c>
      <c r="B72" s="222"/>
      <c r="C72" s="222"/>
      <c r="D72" s="222"/>
      <c r="E72" s="222"/>
      <c r="F72" s="220"/>
      <c r="G72" s="220"/>
      <c r="H72" s="224"/>
      <c r="I72" s="224"/>
      <c r="J72" s="222"/>
      <c r="K72" s="225"/>
      <c r="L72" s="225"/>
    </row>
    <row r="73" spans="1:12" ht="13.5" customHeight="1">
      <c r="A73" s="213">
        <v>10</v>
      </c>
      <c r="B73" s="222">
        <v>1</v>
      </c>
      <c r="C73" s="222">
        <v>-5</v>
      </c>
      <c r="D73" s="222" t="s">
        <v>179</v>
      </c>
      <c r="E73" s="222">
        <v>1</v>
      </c>
      <c r="F73" s="220">
        <v>1.0249999999999999</v>
      </c>
      <c r="G73" s="220">
        <v>-7.45</v>
      </c>
      <c r="H73" s="224">
        <v>-25.94</v>
      </c>
      <c r="I73" s="224">
        <v>72.94</v>
      </c>
      <c r="J73" s="222"/>
      <c r="K73" s="225"/>
      <c r="L73" s="225"/>
    </row>
    <row r="74" spans="1:12" ht="13.5" customHeight="1">
      <c r="A74" s="213">
        <v>10</v>
      </c>
      <c r="B74" s="222">
        <v>1</v>
      </c>
      <c r="C74" s="222">
        <v>-5</v>
      </c>
      <c r="D74" s="222" t="s">
        <v>179</v>
      </c>
      <c r="E74" s="222">
        <v>1</v>
      </c>
      <c r="F74" s="220">
        <v>-7.45</v>
      </c>
      <c r="G74" s="220">
        <v>-7.45</v>
      </c>
      <c r="H74" s="224">
        <v>171.81</v>
      </c>
      <c r="I74" s="224">
        <v>270.69</v>
      </c>
      <c r="J74" s="222"/>
      <c r="K74" s="225"/>
      <c r="L74" s="225"/>
    </row>
    <row r="75" spans="1:12" ht="13.5" customHeight="1">
      <c r="A75" s="213"/>
      <c r="B75" s="222"/>
      <c r="C75" s="222"/>
      <c r="D75" s="222"/>
      <c r="E75" s="222"/>
      <c r="F75" s="220"/>
      <c r="G75" s="220"/>
      <c r="H75" s="224"/>
      <c r="I75" s="224"/>
      <c r="J75" s="222"/>
      <c r="K75" s="225"/>
      <c r="L75" s="225"/>
    </row>
    <row r="76" spans="1:12" ht="13.5" customHeight="1">
      <c r="A76" s="213">
        <v>11</v>
      </c>
      <c r="B76" s="222">
        <v>1</v>
      </c>
      <c r="C76" s="222">
        <v>-5</v>
      </c>
      <c r="D76" s="222" t="s">
        <v>212</v>
      </c>
      <c r="E76" s="222">
        <v>1</v>
      </c>
      <c r="F76" s="220">
        <v>2.35</v>
      </c>
      <c r="G76" s="220">
        <v>-3.5</v>
      </c>
      <c r="H76" s="224">
        <v>160.21</v>
      </c>
      <c r="I76" s="224">
        <v>113.23</v>
      </c>
      <c r="J76" s="222"/>
      <c r="K76" s="225"/>
      <c r="L76" s="225"/>
    </row>
    <row r="77" spans="1:12" ht="13.5" customHeight="1">
      <c r="A77" s="213">
        <v>11</v>
      </c>
      <c r="B77" s="222">
        <v>1</v>
      </c>
      <c r="C77" s="222">
        <v>-5</v>
      </c>
      <c r="D77" s="222" t="s">
        <v>212</v>
      </c>
      <c r="E77" s="222">
        <v>1</v>
      </c>
      <c r="F77" s="220">
        <v>-4.3</v>
      </c>
      <c r="G77" s="220">
        <v>-3.5</v>
      </c>
      <c r="H77" s="224">
        <v>55.77</v>
      </c>
      <c r="I77" s="224">
        <v>8.7899999999999991</v>
      </c>
      <c r="J77" s="222"/>
      <c r="K77" s="225"/>
      <c r="L77" s="225"/>
    </row>
    <row r="78" spans="1:12" ht="13.5" customHeight="1">
      <c r="A78" s="213">
        <v>11</v>
      </c>
      <c r="B78" s="222"/>
      <c r="C78" s="222"/>
      <c r="D78" s="222"/>
      <c r="E78" s="222"/>
      <c r="F78" s="220"/>
      <c r="G78" s="220"/>
      <c r="H78" s="224"/>
      <c r="I78" s="224"/>
      <c r="J78" s="222"/>
      <c r="K78" s="225"/>
      <c r="L78" s="225"/>
    </row>
    <row r="79" spans="1:12" ht="13.5" customHeight="1">
      <c r="A79" s="213">
        <v>11</v>
      </c>
      <c r="B79" s="222">
        <v>1</v>
      </c>
      <c r="C79" s="222">
        <v>-5</v>
      </c>
      <c r="D79" s="222" t="s">
        <v>218</v>
      </c>
      <c r="E79" s="222">
        <v>1</v>
      </c>
      <c r="F79" s="220">
        <v>1.0249999999999999</v>
      </c>
      <c r="G79" s="220">
        <v>-7.45</v>
      </c>
      <c r="H79" s="224">
        <v>259.92</v>
      </c>
      <c r="I79" s="224">
        <v>168.39</v>
      </c>
      <c r="J79" s="222"/>
      <c r="K79" s="225"/>
      <c r="L79" s="225"/>
    </row>
    <row r="80" spans="1:12" ht="13.5" customHeight="1">
      <c r="A80" s="213">
        <v>11</v>
      </c>
      <c r="B80" s="222">
        <v>1</v>
      </c>
      <c r="C80" s="222">
        <v>-5</v>
      </c>
      <c r="D80" s="222" t="s">
        <v>179</v>
      </c>
      <c r="E80" s="222">
        <v>1</v>
      </c>
      <c r="F80" s="220">
        <v>-7.45</v>
      </c>
      <c r="G80" s="220">
        <v>-7.45</v>
      </c>
      <c r="H80" s="224">
        <v>76.36</v>
      </c>
      <c r="I80" s="224">
        <v>-15.17</v>
      </c>
      <c r="J80" s="222"/>
      <c r="K80" s="225"/>
      <c r="L80" s="225"/>
    </row>
    <row r="81" spans="1:12" ht="13.5" customHeight="1">
      <c r="A81" s="213"/>
      <c r="B81" s="222"/>
      <c r="C81" s="222"/>
      <c r="D81" s="222"/>
      <c r="E81" s="222"/>
      <c r="F81" s="223"/>
      <c r="G81" s="223"/>
      <c r="H81" s="224"/>
      <c r="I81" s="224"/>
      <c r="J81" s="222"/>
      <c r="K81" s="225"/>
      <c r="L81" s="225"/>
    </row>
    <row r="82" spans="1:12" ht="13.5" customHeight="1">
      <c r="A82" s="213">
        <v>12</v>
      </c>
      <c r="B82" s="222">
        <v>1</v>
      </c>
      <c r="C82" s="222">
        <v>-5</v>
      </c>
      <c r="D82" s="222" t="s">
        <v>212</v>
      </c>
      <c r="E82" s="222">
        <v>1</v>
      </c>
      <c r="F82" s="220">
        <v>0</v>
      </c>
      <c r="G82" s="220">
        <v>0</v>
      </c>
      <c r="H82" s="224">
        <v>8.7899999999999991</v>
      </c>
      <c r="I82" s="224">
        <v>55.77</v>
      </c>
      <c r="J82" s="222"/>
      <c r="K82" s="225"/>
      <c r="L82" s="225"/>
    </row>
    <row r="83" spans="1:12" ht="13.5" customHeight="1">
      <c r="A83" s="213">
        <v>12</v>
      </c>
      <c r="B83" s="222">
        <v>1</v>
      </c>
      <c r="C83" s="222">
        <v>-5</v>
      </c>
      <c r="D83" s="222" t="s">
        <v>212</v>
      </c>
      <c r="E83" s="222">
        <v>1</v>
      </c>
      <c r="F83" s="220">
        <v>2.35</v>
      </c>
      <c r="G83" s="220">
        <v>-3.5</v>
      </c>
      <c r="H83" s="224">
        <v>113.23</v>
      </c>
      <c r="I83" s="224">
        <v>160.21</v>
      </c>
      <c r="J83" s="222"/>
      <c r="K83" s="225"/>
      <c r="L83" s="225"/>
    </row>
    <row r="84" spans="1:12" ht="13.5" customHeight="1">
      <c r="A84" s="213">
        <v>12</v>
      </c>
      <c r="B84" s="222"/>
      <c r="C84" s="222"/>
      <c r="D84" s="222"/>
      <c r="E84" s="222"/>
      <c r="F84" s="220"/>
      <c r="G84" s="220"/>
      <c r="H84" s="224"/>
      <c r="I84" s="224"/>
      <c r="J84" s="222"/>
      <c r="K84" s="225"/>
      <c r="L84" s="225"/>
    </row>
    <row r="85" spans="1:12" ht="13.5" customHeight="1">
      <c r="A85" s="213">
        <v>12</v>
      </c>
      <c r="B85" s="222">
        <v>1</v>
      </c>
      <c r="C85" s="222">
        <v>-5</v>
      </c>
      <c r="D85" s="222" t="s">
        <v>179</v>
      </c>
      <c r="E85" s="222">
        <v>1</v>
      </c>
      <c r="F85" s="220">
        <v>1.0249999999999999</v>
      </c>
      <c r="G85" s="220">
        <v>-7.45</v>
      </c>
      <c r="H85" s="224">
        <v>145.38</v>
      </c>
      <c r="I85" s="224">
        <v>130.21</v>
      </c>
      <c r="J85" s="222"/>
      <c r="K85" s="225"/>
      <c r="L85" s="225"/>
    </row>
    <row r="86" spans="1:12" ht="13.5" customHeight="1">
      <c r="A86" s="213">
        <v>12</v>
      </c>
      <c r="B86" s="222">
        <v>1</v>
      </c>
      <c r="C86" s="222">
        <v>-5</v>
      </c>
      <c r="D86" s="222" t="s">
        <v>212</v>
      </c>
      <c r="E86" s="222">
        <v>1</v>
      </c>
      <c r="F86" s="220">
        <v>-7.45</v>
      </c>
      <c r="G86" s="220">
        <v>-7.45</v>
      </c>
      <c r="H86" s="224">
        <v>114.54</v>
      </c>
      <c r="I86" s="224">
        <v>99.37</v>
      </c>
      <c r="J86" s="222"/>
      <c r="K86" s="225"/>
      <c r="L86" s="225"/>
    </row>
    <row r="87" spans="1:12" ht="13.5" customHeight="1">
      <c r="A87" s="213"/>
      <c r="B87" s="222"/>
      <c r="C87" s="222"/>
      <c r="D87" s="222"/>
      <c r="E87" s="222"/>
      <c r="F87" s="223"/>
      <c r="G87" s="223"/>
      <c r="H87" s="224"/>
      <c r="I87" s="224"/>
      <c r="J87" s="222"/>
      <c r="K87" s="225"/>
      <c r="L87" s="225"/>
    </row>
    <row r="88" spans="1:12" ht="13.5" customHeight="1">
      <c r="A88" s="213">
        <v>13</v>
      </c>
      <c r="B88" s="222">
        <v>1</v>
      </c>
      <c r="C88" s="222">
        <v>-5</v>
      </c>
      <c r="D88" s="222" t="s">
        <v>212</v>
      </c>
      <c r="E88" s="222">
        <v>1</v>
      </c>
      <c r="F88" s="220">
        <v>18.75</v>
      </c>
      <c r="G88" s="220">
        <v>-2</v>
      </c>
      <c r="H88" s="224">
        <v>169</v>
      </c>
      <c r="I88" s="224">
        <v>169</v>
      </c>
      <c r="J88" s="222"/>
      <c r="K88" s="225"/>
      <c r="L88" s="225"/>
    </row>
    <row r="89" spans="1:12" ht="13.5" customHeight="1">
      <c r="A89" s="213">
        <v>13</v>
      </c>
      <c r="B89" s="222"/>
      <c r="C89" s="222"/>
      <c r="D89" s="222"/>
      <c r="E89" s="222"/>
      <c r="F89" s="220"/>
      <c r="G89" s="220"/>
      <c r="H89" s="224"/>
      <c r="I89" s="224"/>
      <c r="J89" s="222"/>
      <c r="K89" s="225"/>
      <c r="L89" s="225"/>
    </row>
    <row r="90" spans="1:12" ht="13.5" customHeight="1">
      <c r="A90" s="213">
        <v>13</v>
      </c>
      <c r="B90" s="222">
        <v>1</v>
      </c>
      <c r="C90" s="222">
        <v>-5</v>
      </c>
      <c r="D90" s="222" t="s">
        <v>212</v>
      </c>
      <c r="E90" s="222">
        <v>1</v>
      </c>
      <c r="F90" s="220">
        <v>1.0249999999999999</v>
      </c>
      <c r="G90" s="220">
        <v>-7.45</v>
      </c>
      <c r="H90" s="224">
        <v>-25.94</v>
      </c>
      <c r="I90" s="224">
        <v>72.94</v>
      </c>
      <c r="J90" s="222"/>
      <c r="K90" s="225"/>
      <c r="L90" s="225"/>
    </row>
    <row r="91" spans="1:12" ht="13.5" customHeight="1">
      <c r="A91" s="213">
        <v>13</v>
      </c>
      <c r="B91" s="222">
        <v>1</v>
      </c>
      <c r="C91" s="222">
        <v>-5</v>
      </c>
      <c r="D91" s="222" t="s">
        <v>212</v>
      </c>
      <c r="E91" s="222">
        <v>1</v>
      </c>
      <c r="F91" s="220">
        <v>-7.45</v>
      </c>
      <c r="G91" s="220">
        <v>-7.45</v>
      </c>
      <c r="H91" s="224">
        <v>171.81</v>
      </c>
      <c r="I91" s="224">
        <v>270.69</v>
      </c>
      <c r="J91" s="222"/>
      <c r="K91" s="225"/>
      <c r="L91" s="225"/>
    </row>
    <row r="92" spans="1:12" ht="13.5" customHeight="1">
      <c r="A92" s="213"/>
      <c r="B92" s="222"/>
      <c r="C92" s="222"/>
      <c r="D92" s="222"/>
      <c r="E92" s="222"/>
      <c r="F92" s="223"/>
      <c r="G92" s="223"/>
      <c r="H92" s="224"/>
      <c r="I92" s="224"/>
      <c r="J92" s="222"/>
      <c r="K92" s="225"/>
      <c r="L92" s="225"/>
    </row>
    <row r="93" spans="1:12" ht="13.5" customHeight="1">
      <c r="A93" s="213">
        <v>14</v>
      </c>
      <c r="B93" s="222">
        <v>1</v>
      </c>
      <c r="C93" s="222">
        <v>-5</v>
      </c>
      <c r="D93" s="222" t="s">
        <v>179</v>
      </c>
      <c r="E93" s="222">
        <v>1</v>
      </c>
      <c r="F93" s="220">
        <v>2.35</v>
      </c>
      <c r="G93" s="220">
        <v>-3.5</v>
      </c>
      <c r="H93" s="224">
        <v>-32.049999999999997</v>
      </c>
      <c r="I93" s="224">
        <v>-12.19</v>
      </c>
      <c r="J93" s="222">
        <v>2</v>
      </c>
      <c r="K93" s="225">
        <v>19.16</v>
      </c>
      <c r="L93" s="225">
        <v>-6.13</v>
      </c>
    </row>
    <row r="94" spans="1:12" ht="13.5" customHeight="1">
      <c r="A94" s="213">
        <v>14</v>
      </c>
      <c r="B94" s="222">
        <v>1</v>
      </c>
      <c r="C94" s="222">
        <v>-5</v>
      </c>
      <c r="D94" s="222" t="s">
        <v>179</v>
      </c>
      <c r="E94" s="222">
        <v>1</v>
      </c>
      <c r="F94" s="220">
        <v>-4.3</v>
      </c>
      <c r="G94" s="220">
        <v>-3.5</v>
      </c>
      <c r="H94" s="224">
        <v>12.19</v>
      </c>
      <c r="I94" s="224">
        <v>32.049999999999997</v>
      </c>
      <c r="J94" s="222">
        <v>3</v>
      </c>
      <c r="K94" s="225">
        <v>19.16</v>
      </c>
      <c r="L94" s="225">
        <v>-2.04</v>
      </c>
    </row>
    <row r="95" spans="1:12" ht="13.5" customHeight="1">
      <c r="A95" s="213">
        <v>14</v>
      </c>
      <c r="B95" s="222"/>
      <c r="C95" s="222"/>
      <c r="D95" s="222"/>
      <c r="E95" s="222"/>
      <c r="F95" s="220"/>
      <c r="G95" s="220"/>
      <c r="H95" s="224"/>
      <c r="I95" s="224"/>
      <c r="J95" s="222">
        <v>4</v>
      </c>
      <c r="K95" s="225">
        <v>19.16</v>
      </c>
      <c r="L95" s="225">
        <v>2.04</v>
      </c>
    </row>
    <row r="96" spans="1:12" ht="13.5" customHeight="1">
      <c r="A96" s="213">
        <v>14</v>
      </c>
      <c r="B96" s="222"/>
      <c r="C96" s="222"/>
      <c r="D96" s="222"/>
      <c r="E96" s="222"/>
      <c r="F96" s="227"/>
      <c r="G96" s="220"/>
      <c r="H96" s="224"/>
      <c r="I96" s="224"/>
      <c r="J96" s="222">
        <v>5</v>
      </c>
      <c r="K96" s="225">
        <v>19.16</v>
      </c>
      <c r="L96" s="225">
        <v>6.13</v>
      </c>
    </row>
    <row r="97" spans="1:12" ht="13.5" customHeight="1">
      <c r="A97" s="213"/>
      <c r="B97" s="222"/>
      <c r="C97" s="222"/>
      <c r="D97" s="222"/>
      <c r="E97" s="222"/>
      <c r="F97" s="223"/>
      <c r="G97" s="223"/>
      <c r="H97" s="224"/>
      <c r="I97" s="224"/>
      <c r="J97" s="222"/>
      <c r="K97" s="225"/>
      <c r="L97" s="225"/>
    </row>
    <row r="98" spans="1:12" ht="13.5" customHeight="1">
      <c r="A98" s="213">
        <v>15</v>
      </c>
      <c r="B98" s="222">
        <v>1</v>
      </c>
      <c r="C98" s="222">
        <v>-5</v>
      </c>
      <c r="D98" s="222" t="s">
        <v>218</v>
      </c>
      <c r="E98" s="222">
        <v>1</v>
      </c>
      <c r="F98" s="220">
        <v>2.35</v>
      </c>
      <c r="G98" s="220">
        <v>-3.5</v>
      </c>
      <c r="H98" s="224">
        <v>-15.46</v>
      </c>
      <c r="I98" s="224">
        <v>-5.88</v>
      </c>
      <c r="J98" s="222">
        <v>2</v>
      </c>
      <c r="K98" s="225">
        <v>10.48</v>
      </c>
      <c r="L98" s="225">
        <v>-3.35</v>
      </c>
    </row>
    <row r="99" spans="1:12" ht="13.5" customHeight="1">
      <c r="A99" s="213">
        <v>15</v>
      </c>
      <c r="B99" s="222">
        <v>1</v>
      </c>
      <c r="C99" s="222">
        <v>-5</v>
      </c>
      <c r="D99" s="222" t="s">
        <v>179</v>
      </c>
      <c r="E99" s="222">
        <v>1</v>
      </c>
      <c r="F99" s="220">
        <v>-4.3</v>
      </c>
      <c r="G99" s="220">
        <v>-3.5</v>
      </c>
      <c r="H99" s="224">
        <v>5.88</v>
      </c>
      <c r="I99" s="224">
        <v>15.46</v>
      </c>
      <c r="J99" s="222">
        <v>3</v>
      </c>
      <c r="K99" s="225">
        <v>10.48</v>
      </c>
      <c r="L99" s="225">
        <v>-1.1200000000000001</v>
      </c>
    </row>
    <row r="100" spans="1:12" ht="13.5" customHeight="1">
      <c r="A100" s="213">
        <v>15</v>
      </c>
      <c r="B100" s="222"/>
      <c r="C100" s="222"/>
      <c r="D100" s="222"/>
      <c r="E100" s="222"/>
      <c r="F100" s="220"/>
      <c r="G100" s="220"/>
      <c r="H100" s="224"/>
      <c r="I100" s="224"/>
      <c r="J100" s="222">
        <v>4</v>
      </c>
      <c r="K100" s="225">
        <v>10.48</v>
      </c>
      <c r="L100" s="225">
        <v>1.1200000000000001</v>
      </c>
    </row>
    <row r="101" spans="1:12" ht="13.5" customHeight="1">
      <c r="A101" s="213">
        <v>15</v>
      </c>
      <c r="B101" s="222"/>
      <c r="C101" s="222"/>
      <c r="D101" s="222"/>
      <c r="E101" s="222"/>
      <c r="F101" s="227"/>
      <c r="G101" s="220"/>
      <c r="H101" s="224"/>
      <c r="I101" s="224"/>
      <c r="J101" s="222">
        <v>5</v>
      </c>
      <c r="K101" s="225">
        <v>10.48</v>
      </c>
      <c r="L101" s="225">
        <v>3.35</v>
      </c>
    </row>
    <row r="102" spans="1:12" ht="13.5" customHeight="1">
      <c r="A102" s="213"/>
      <c r="B102" s="222"/>
      <c r="C102" s="222"/>
      <c r="D102" s="222"/>
      <c r="E102" s="222"/>
      <c r="F102" s="223"/>
      <c r="G102" s="223"/>
      <c r="H102" s="224"/>
      <c r="I102" s="224"/>
      <c r="J102" s="222"/>
      <c r="K102" s="225"/>
      <c r="L102" s="225"/>
    </row>
    <row r="103" spans="1:12" ht="13.5" customHeight="1">
      <c r="A103" s="213">
        <v>16</v>
      </c>
      <c r="B103" s="222">
        <v>1</v>
      </c>
      <c r="C103" s="222">
        <v>-5</v>
      </c>
      <c r="D103" s="222" t="s">
        <v>179</v>
      </c>
      <c r="E103" s="222">
        <v>1</v>
      </c>
      <c r="F103" s="220">
        <v>2.35</v>
      </c>
      <c r="G103" s="220">
        <v>-3.5</v>
      </c>
      <c r="H103" s="224">
        <v>-168.81</v>
      </c>
      <c r="I103" s="224">
        <v>-64.239999999999995</v>
      </c>
      <c r="J103" s="222">
        <v>2</v>
      </c>
      <c r="K103" s="225">
        <v>150.26</v>
      </c>
      <c r="L103" s="225">
        <v>-40.049999999999997</v>
      </c>
    </row>
    <row r="104" spans="1:12" ht="13.5" customHeight="1">
      <c r="A104" s="213">
        <v>16</v>
      </c>
      <c r="B104" s="222">
        <v>1</v>
      </c>
      <c r="C104" s="222">
        <v>-5</v>
      </c>
      <c r="D104" s="222" t="s">
        <v>212</v>
      </c>
      <c r="E104" s="222">
        <v>1</v>
      </c>
      <c r="F104" s="220">
        <v>-4.3</v>
      </c>
      <c r="G104" s="220">
        <v>-3.5</v>
      </c>
      <c r="H104" s="224">
        <v>64.239999999999995</v>
      </c>
      <c r="I104" s="224">
        <v>168.81</v>
      </c>
      <c r="J104" s="222">
        <v>3</v>
      </c>
      <c r="K104" s="225">
        <v>150.26</v>
      </c>
      <c r="L104" s="225">
        <v>-13.350000000000001</v>
      </c>
    </row>
    <row r="105" spans="1:12" ht="13.5" customHeight="1">
      <c r="A105" s="213">
        <v>16</v>
      </c>
      <c r="B105" s="222">
        <v>1</v>
      </c>
      <c r="C105" s="222">
        <v>-5</v>
      </c>
      <c r="D105" s="222" t="s">
        <v>212</v>
      </c>
      <c r="E105" s="222">
        <v>1</v>
      </c>
      <c r="F105" s="220">
        <v>-5.0999999999999996</v>
      </c>
      <c r="G105" s="220">
        <v>-2</v>
      </c>
      <c r="H105" s="224">
        <v>-288.89</v>
      </c>
      <c r="I105" s="224">
        <v>288.89</v>
      </c>
      <c r="J105" s="222">
        <v>4</v>
      </c>
      <c r="K105" s="225">
        <v>150.26</v>
      </c>
      <c r="L105" s="225">
        <v>13.350000000000001</v>
      </c>
    </row>
    <row r="106" spans="1:12" ht="13.5" customHeight="1">
      <c r="A106" s="213">
        <v>16</v>
      </c>
      <c r="B106" s="222"/>
      <c r="C106" s="222"/>
      <c r="D106" s="222"/>
      <c r="E106" s="222"/>
      <c r="F106" s="220"/>
      <c r="G106" s="220"/>
      <c r="H106" s="224"/>
      <c r="I106" s="224"/>
      <c r="J106" s="222">
        <v>5</v>
      </c>
      <c r="K106" s="225">
        <v>150.26</v>
      </c>
      <c r="L106" s="225">
        <v>40.049999999999997</v>
      </c>
    </row>
    <row r="107" spans="1:12" ht="13.5" customHeight="1">
      <c r="A107" s="213">
        <v>16</v>
      </c>
      <c r="B107" s="222">
        <v>1</v>
      </c>
      <c r="C107" s="222">
        <v>-5</v>
      </c>
      <c r="D107" s="222" t="s">
        <v>218</v>
      </c>
      <c r="E107" s="222">
        <v>1</v>
      </c>
      <c r="F107" s="220">
        <v>1.0249999999999999</v>
      </c>
      <c r="G107" s="220">
        <v>-7.45</v>
      </c>
      <c r="H107" s="224">
        <v>-18.72</v>
      </c>
      <c r="I107" s="224">
        <v>-6.24</v>
      </c>
      <c r="J107" s="222"/>
      <c r="K107" s="225"/>
      <c r="L107" s="225"/>
    </row>
    <row r="108" spans="1:12" ht="13.5" customHeight="1">
      <c r="A108" s="213">
        <v>16</v>
      </c>
      <c r="B108" s="222">
        <v>1</v>
      </c>
      <c r="C108" s="222">
        <v>-5</v>
      </c>
      <c r="D108" s="222" t="s">
        <v>212</v>
      </c>
      <c r="E108" s="222">
        <v>1</v>
      </c>
      <c r="F108" s="220">
        <v>-7.45</v>
      </c>
      <c r="G108" s="220">
        <v>-7.45</v>
      </c>
      <c r="H108" s="224">
        <v>6.24</v>
      </c>
      <c r="I108" s="224">
        <v>18.72</v>
      </c>
      <c r="J108" s="222"/>
      <c r="K108" s="225"/>
      <c r="L108" s="225"/>
    </row>
    <row r="109" spans="1:12" ht="13.5" customHeight="1">
      <c r="A109" s="213"/>
      <c r="B109" s="222"/>
      <c r="C109" s="222"/>
      <c r="D109" s="222"/>
      <c r="E109" s="222"/>
      <c r="F109" s="223"/>
      <c r="G109" s="223"/>
      <c r="H109" s="224"/>
      <c r="I109" s="224"/>
      <c r="J109" s="222"/>
      <c r="K109" s="225"/>
      <c r="L109" s="225"/>
    </row>
    <row r="110" spans="1:12" ht="13.5" customHeight="1">
      <c r="A110" s="213">
        <v>17</v>
      </c>
      <c r="B110" s="222">
        <v>1</v>
      </c>
      <c r="C110" s="222">
        <v>-5</v>
      </c>
      <c r="D110" s="222" t="s">
        <v>179</v>
      </c>
      <c r="E110" s="222">
        <v>1</v>
      </c>
      <c r="F110" s="220">
        <v>2.35</v>
      </c>
      <c r="G110" s="220">
        <v>-3.5</v>
      </c>
      <c r="H110" s="224">
        <v>-337.61</v>
      </c>
      <c r="I110" s="224">
        <v>-128.47</v>
      </c>
      <c r="J110" s="222">
        <v>2</v>
      </c>
      <c r="K110" s="225">
        <v>300.53999999999996</v>
      </c>
      <c r="L110" s="225">
        <v>-80.099999999999994</v>
      </c>
    </row>
    <row r="111" spans="1:12" ht="13.5" customHeight="1">
      <c r="A111" s="213">
        <v>17</v>
      </c>
      <c r="B111" s="222">
        <v>1</v>
      </c>
      <c r="C111" s="222">
        <v>-5</v>
      </c>
      <c r="D111" s="222" t="s">
        <v>212</v>
      </c>
      <c r="E111" s="222">
        <v>1</v>
      </c>
      <c r="F111" s="220">
        <v>-4.3</v>
      </c>
      <c r="G111" s="220">
        <v>-3.5</v>
      </c>
      <c r="H111" s="224">
        <v>128.47</v>
      </c>
      <c r="I111" s="224">
        <v>337.61</v>
      </c>
      <c r="J111" s="222">
        <v>3</v>
      </c>
      <c r="K111" s="225">
        <v>300.53999999999996</v>
      </c>
      <c r="L111" s="225">
        <v>-26.700000000000003</v>
      </c>
    </row>
    <row r="112" spans="1:12" ht="13.5" customHeight="1">
      <c r="A112" s="213">
        <v>17</v>
      </c>
      <c r="B112" s="222">
        <v>1</v>
      </c>
      <c r="C112" s="222">
        <v>-5</v>
      </c>
      <c r="D112" s="222" t="s">
        <v>218</v>
      </c>
      <c r="E112" s="222">
        <v>1</v>
      </c>
      <c r="F112" s="220">
        <v>-5.0999999999999996</v>
      </c>
      <c r="G112" s="220">
        <v>-2</v>
      </c>
      <c r="H112" s="224">
        <v>-577.80999999999995</v>
      </c>
      <c r="I112" s="224">
        <v>577.80999999999995</v>
      </c>
      <c r="J112" s="222">
        <v>4</v>
      </c>
      <c r="K112" s="225">
        <v>300.53999999999996</v>
      </c>
      <c r="L112" s="225">
        <v>26.700000000000003</v>
      </c>
    </row>
    <row r="113" spans="1:12" ht="13.5" customHeight="1">
      <c r="A113" s="213">
        <v>17</v>
      </c>
      <c r="B113" s="222"/>
      <c r="C113" s="222"/>
      <c r="D113" s="222"/>
      <c r="E113" s="222"/>
      <c r="F113" s="220"/>
      <c r="G113" s="220"/>
      <c r="H113" s="224"/>
      <c r="I113" s="224"/>
      <c r="J113" s="222">
        <v>5</v>
      </c>
      <c r="K113" s="225">
        <v>300.53999999999996</v>
      </c>
      <c r="L113" s="225">
        <v>80.099999999999994</v>
      </c>
    </row>
    <row r="114" spans="1:12" ht="13.5" customHeight="1">
      <c r="A114" s="213">
        <v>17</v>
      </c>
      <c r="B114" s="222">
        <v>1</v>
      </c>
      <c r="C114" s="222">
        <v>-5</v>
      </c>
      <c r="D114" s="222" t="s">
        <v>179</v>
      </c>
      <c r="E114" s="222">
        <v>1</v>
      </c>
      <c r="F114" s="220">
        <v>1.0249999999999999</v>
      </c>
      <c r="G114" s="220">
        <v>-7.45</v>
      </c>
      <c r="H114" s="224">
        <v>-8.6199999999999992</v>
      </c>
      <c r="I114" s="224">
        <v>-2.87</v>
      </c>
      <c r="J114" s="222"/>
      <c r="K114" s="225"/>
      <c r="L114" s="225"/>
    </row>
    <row r="115" spans="1:12" ht="13.5" customHeight="1">
      <c r="A115" s="213">
        <v>17</v>
      </c>
      <c r="B115" s="222">
        <v>1</v>
      </c>
      <c r="C115" s="222">
        <v>-5</v>
      </c>
      <c r="D115" s="222" t="s">
        <v>179</v>
      </c>
      <c r="E115" s="222">
        <v>1</v>
      </c>
      <c r="F115" s="220">
        <v>-7.45</v>
      </c>
      <c r="G115" s="220">
        <v>-7.45</v>
      </c>
      <c r="H115" s="224">
        <v>2.87</v>
      </c>
      <c r="I115" s="224">
        <v>8.6199999999999992</v>
      </c>
      <c r="J115" s="222"/>
      <c r="K115" s="225"/>
      <c r="L115" s="225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topLeftCell="A4" zoomScaleNormal="100" workbookViewId="0">
      <selection activeCell="C17" sqref="C17"/>
    </sheetView>
  </sheetViews>
  <sheetFormatPr defaultColWidth="8.875" defaultRowHeight="14.25" customHeight="1"/>
  <cols>
    <col min="1" max="4" width="8.875" style="48"/>
    <col min="5" max="8" width="2.75" style="48" customWidth="1"/>
    <col min="9" max="37" width="2.875" style="48" customWidth="1"/>
    <col min="38" max="16384" width="8.875" style="48"/>
  </cols>
  <sheetData>
    <row r="2" spans="2:37" ht="14.25" customHeight="1">
      <c r="B2" s="77" t="s">
        <v>38</v>
      </c>
    </row>
    <row r="4" spans="2:37" ht="14.25" customHeight="1">
      <c r="B4" s="192" t="s">
        <v>39</v>
      </c>
      <c r="C4" s="193"/>
      <c r="D4" s="90" t="s">
        <v>75</v>
      </c>
    </row>
    <row r="5" spans="2:37" ht="14.25" customHeight="1">
      <c r="B5" s="78"/>
      <c r="C5" s="79" t="s">
        <v>40</v>
      </c>
      <c r="D5" s="90" t="s">
        <v>145</v>
      </c>
    </row>
    <row r="6" spans="2:37" ht="14.25" customHeight="1">
      <c r="B6" s="80"/>
      <c r="C6" s="81" t="s">
        <v>41</v>
      </c>
      <c r="D6" s="91">
        <v>2</v>
      </c>
    </row>
    <row r="7" spans="2:37" ht="14.25" customHeight="1">
      <c r="B7" s="192" t="s">
        <v>42</v>
      </c>
      <c r="C7" s="193"/>
      <c r="D7" s="90" t="s">
        <v>75</v>
      </c>
    </row>
    <row r="8" spans="2:37" ht="14.25" customHeight="1">
      <c r="B8" s="78"/>
      <c r="C8" s="79" t="s">
        <v>40</v>
      </c>
      <c r="D8" s="90" t="s">
        <v>145</v>
      </c>
    </row>
    <row r="9" spans="2:37" ht="14.25" customHeight="1">
      <c r="B9" s="80"/>
      <c r="C9" s="81" t="s">
        <v>41</v>
      </c>
      <c r="D9" s="92">
        <v>2</v>
      </c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94"/>
      <c r="W9" s="194"/>
      <c r="X9" s="194"/>
      <c r="Y9" s="194"/>
      <c r="Z9" s="194"/>
      <c r="AA9" s="194"/>
      <c r="AB9" s="194"/>
      <c r="AC9" s="194"/>
      <c r="AD9" s="194"/>
      <c r="AE9" s="194"/>
      <c r="AF9" s="194"/>
      <c r="AG9" s="194"/>
      <c r="AH9" s="194"/>
      <c r="AI9" s="194"/>
      <c r="AJ9" s="194"/>
      <c r="AK9" s="194"/>
    </row>
    <row r="10" spans="2:37" ht="14.25" customHeight="1">
      <c r="B10" s="192" t="s">
        <v>81</v>
      </c>
      <c r="C10" s="193"/>
      <c r="D10" s="90" t="s">
        <v>75</v>
      </c>
      <c r="I10" s="194"/>
      <c r="J10" s="194"/>
      <c r="K10" s="194"/>
      <c r="L10" s="194"/>
      <c r="M10" s="194"/>
      <c r="N10" s="194"/>
      <c r="O10" s="194"/>
      <c r="P10" s="194"/>
      <c r="Q10" s="194"/>
      <c r="R10" s="194"/>
      <c r="S10" s="194"/>
      <c r="T10" s="194"/>
      <c r="U10" s="194"/>
      <c r="V10" s="194"/>
      <c r="W10" s="194"/>
      <c r="X10" s="194"/>
      <c r="Y10" s="194"/>
      <c r="Z10" s="194"/>
      <c r="AA10" s="194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</row>
    <row r="11" spans="2:37" ht="14.25" customHeight="1">
      <c r="B11" s="80"/>
      <c r="C11" s="82" t="s">
        <v>43</v>
      </c>
      <c r="D11" s="90">
        <v>30</v>
      </c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</row>
    <row r="12" spans="2:37" ht="14.25" customHeight="1">
      <c r="D12" s="83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</row>
    <row r="13" spans="2:37" ht="14.25" customHeight="1">
      <c r="B13" s="84" t="s">
        <v>44</v>
      </c>
      <c r="C13" s="85"/>
      <c r="D13" s="86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</row>
    <row r="14" spans="2:37" ht="14.25" customHeight="1">
      <c r="B14" s="87"/>
      <c r="C14" s="88" t="s">
        <v>20</v>
      </c>
      <c r="D14" s="90">
        <v>180</v>
      </c>
      <c r="I14" s="194"/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94"/>
      <c r="U14" s="194"/>
      <c r="V14" s="194"/>
      <c r="W14" s="194"/>
      <c r="X14" s="194"/>
      <c r="Y14" s="194"/>
      <c r="Z14" s="194"/>
      <c r="AA14" s="194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</row>
    <row r="15" spans="2:37" ht="14.25" customHeight="1">
      <c r="B15" s="87"/>
      <c r="C15" s="88" t="s">
        <v>21</v>
      </c>
      <c r="D15" s="90">
        <v>0</v>
      </c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</row>
    <row r="16" spans="2:37" ht="14.25" customHeight="1">
      <c r="B16" s="89"/>
      <c r="C16" s="88" t="s">
        <v>22</v>
      </c>
      <c r="D16" s="90">
        <v>0</v>
      </c>
      <c r="I16" s="194"/>
      <c r="J16" s="194"/>
      <c r="K16" s="194"/>
      <c r="L16" s="194"/>
      <c r="M16" s="194"/>
      <c r="N16" s="194"/>
      <c r="O16" s="194"/>
      <c r="P16" s="194"/>
      <c r="Q16" s="194"/>
      <c r="R16" s="194"/>
      <c r="S16" s="194"/>
      <c r="T16" s="194"/>
      <c r="U16" s="194"/>
      <c r="V16" s="194"/>
      <c r="W16" s="194"/>
      <c r="X16" s="194"/>
      <c r="Y16" s="194"/>
      <c r="Z16" s="194"/>
      <c r="AA16" s="194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</row>
    <row r="17" spans="3:37" ht="14.25" customHeight="1">
      <c r="I17" s="194"/>
      <c r="J17" s="194"/>
      <c r="K17" s="194"/>
      <c r="L17" s="194"/>
      <c r="M17" s="194"/>
      <c r="N17" s="194"/>
      <c r="O17" s="194"/>
      <c r="P17" s="194"/>
      <c r="Q17" s="194"/>
      <c r="R17" s="194"/>
      <c r="S17" s="194"/>
      <c r="T17" s="194"/>
      <c r="U17" s="194"/>
      <c r="V17" s="194"/>
      <c r="W17" s="194"/>
      <c r="X17" s="194"/>
      <c r="Y17" s="194"/>
      <c r="Z17" s="194"/>
      <c r="AA17" s="194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</row>
    <row r="18" spans="3:37" ht="14.25" customHeight="1">
      <c r="I18" s="194"/>
      <c r="J18" s="194"/>
      <c r="K18" s="194"/>
      <c r="L18" s="194"/>
      <c r="M18" s="194"/>
      <c r="N18" s="194"/>
      <c r="O18" s="194"/>
      <c r="P18" s="194"/>
      <c r="Q18" s="194"/>
      <c r="R18" s="194"/>
      <c r="S18" s="194"/>
      <c r="T18" s="194"/>
      <c r="U18" s="194"/>
      <c r="V18" s="194"/>
      <c r="W18" s="194"/>
      <c r="X18" s="194"/>
      <c r="Y18" s="194"/>
      <c r="Z18" s="194"/>
      <c r="AA18" s="194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</row>
    <row r="19" spans="3:37" ht="14.25" customHeight="1">
      <c r="I19" s="194"/>
      <c r="J19" s="194"/>
      <c r="K19" s="194"/>
      <c r="L19" s="194"/>
      <c r="M19" s="194"/>
      <c r="N19" s="194"/>
      <c r="O19" s="194"/>
      <c r="P19" s="194"/>
      <c r="Q19" s="194"/>
      <c r="R19" s="194"/>
      <c r="S19" s="194"/>
      <c r="T19" s="194"/>
      <c r="U19" s="194"/>
      <c r="V19" s="194"/>
      <c r="W19" s="194"/>
      <c r="X19" s="194"/>
      <c r="Y19" s="194"/>
      <c r="Z19" s="194"/>
      <c r="AA19" s="194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</row>
    <row r="20" spans="3:37" ht="14.25" customHeight="1">
      <c r="I20" s="194"/>
      <c r="J20" s="194"/>
      <c r="K20" s="194"/>
      <c r="L20" s="194"/>
      <c r="M20" s="194"/>
      <c r="N20" s="194"/>
      <c r="O20" s="194"/>
      <c r="P20" s="194"/>
      <c r="Q20" s="194"/>
      <c r="R20" s="194"/>
      <c r="S20" s="194"/>
      <c r="T20" s="194"/>
      <c r="U20" s="194"/>
      <c r="V20" s="194"/>
      <c r="W20" s="194"/>
      <c r="X20" s="194"/>
      <c r="Y20" s="194"/>
      <c r="Z20" s="194"/>
      <c r="AA20" s="194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</row>
    <row r="21" spans="3:37" ht="14.25" customHeight="1"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</row>
    <row r="22" spans="3:37" ht="14.25" customHeight="1">
      <c r="I22" s="194"/>
      <c r="J22" s="194"/>
      <c r="K22" s="194"/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94"/>
      <c r="W22" s="194"/>
      <c r="X22" s="194"/>
      <c r="Y22" s="194"/>
      <c r="Z22" s="194"/>
      <c r="AA22" s="194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</row>
    <row r="23" spans="3:37" ht="14.25" customHeight="1">
      <c r="I23" s="194"/>
      <c r="J23" s="194"/>
      <c r="K23" s="194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94"/>
      <c r="W23" s="194"/>
      <c r="X23" s="194"/>
      <c r="Y23" s="194"/>
      <c r="Z23" s="194"/>
      <c r="AA23" s="194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</row>
    <row r="24" spans="3:37" ht="14.25" customHeight="1">
      <c r="C24" s="88" t="s">
        <v>59</v>
      </c>
      <c r="D24" s="90">
        <v>1</v>
      </c>
      <c r="I24" s="194"/>
      <c r="J24" s="194"/>
      <c r="K24" s="194"/>
      <c r="L24" s="194"/>
      <c r="M24" s="194"/>
      <c r="N24" s="194"/>
      <c r="O24" s="194"/>
      <c r="P24" s="194"/>
      <c r="Q24" s="194"/>
      <c r="R24" s="194"/>
      <c r="S24" s="194"/>
      <c r="T24" s="194"/>
      <c r="U24" s="194"/>
      <c r="V24" s="194"/>
      <c r="W24" s="194"/>
      <c r="X24" s="194"/>
      <c r="Y24" s="194"/>
      <c r="Z24" s="194"/>
      <c r="AA24" s="194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</row>
    <row r="25" spans="3:37" ht="14.25" customHeight="1">
      <c r="I25" s="194"/>
      <c r="J25" s="194"/>
      <c r="K25" s="194"/>
      <c r="L25" s="194"/>
      <c r="M25" s="194"/>
      <c r="N25" s="194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194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</row>
    <row r="26" spans="3:37" ht="14.25" customHeight="1">
      <c r="I26" s="194"/>
      <c r="J26" s="194"/>
      <c r="K26" s="194"/>
      <c r="L26" s="194"/>
      <c r="M26" s="194"/>
      <c r="N26" s="194"/>
      <c r="O26" s="194"/>
      <c r="P26" s="194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194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</row>
    <row r="27" spans="3:37" ht="14.25" customHeight="1">
      <c r="I27" s="194"/>
      <c r="J27" s="194"/>
      <c r="K27" s="194"/>
      <c r="L27" s="194"/>
      <c r="M27" s="194"/>
      <c r="N27" s="194"/>
      <c r="O27" s="194"/>
      <c r="P27" s="194"/>
      <c r="Q27" s="194"/>
      <c r="R27" s="194"/>
      <c r="S27" s="194"/>
      <c r="T27" s="194"/>
      <c r="U27" s="194"/>
      <c r="V27" s="194"/>
      <c r="W27" s="194"/>
      <c r="X27" s="194"/>
      <c r="Y27" s="194"/>
      <c r="Z27" s="194"/>
      <c r="AA27" s="194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</row>
    <row r="28" spans="3:37" ht="14.25" customHeight="1">
      <c r="I28" s="194"/>
      <c r="J28" s="194"/>
      <c r="K28" s="194"/>
      <c r="L28" s="194"/>
      <c r="M28" s="194"/>
      <c r="N28" s="194"/>
      <c r="O28" s="194"/>
      <c r="P28" s="194"/>
      <c r="Q28" s="194"/>
      <c r="R28" s="194"/>
      <c r="S28" s="194"/>
      <c r="T28" s="194"/>
      <c r="U28" s="194"/>
      <c r="V28" s="194"/>
      <c r="W28" s="194"/>
      <c r="X28" s="194"/>
      <c r="Y28" s="194"/>
      <c r="Z28" s="194"/>
      <c r="AA28" s="194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</row>
    <row r="29" spans="3:37" ht="14.25" customHeight="1"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4"/>
      <c r="T29" s="194"/>
      <c r="U29" s="194"/>
      <c r="V29" s="194"/>
      <c r="W29" s="194"/>
      <c r="X29" s="194"/>
      <c r="Y29" s="194"/>
      <c r="Z29" s="194"/>
      <c r="AA29" s="194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</row>
    <row r="30" spans="3:37" ht="14.25" customHeight="1">
      <c r="I30" s="194"/>
      <c r="J30" s="194"/>
      <c r="K30" s="194"/>
      <c r="L30" s="194"/>
      <c r="M30" s="194"/>
      <c r="N30" s="194"/>
      <c r="O30" s="194"/>
      <c r="P30" s="194"/>
      <c r="Q30" s="194"/>
      <c r="R30" s="194"/>
      <c r="S30" s="194"/>
      <c r="T30" s="194"/>
      <c r="U30" s="194"/>
      <c r="V30" s="194"/>
      <c r="W30" s="194"/>
      <c r="X30" s="194"/>
      <c r="Y30" s="194"/>
      <c r="Z30" s="194"/>
      <c r="AA30" s="194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</row>
    <row r="31" spans="3:37" ht="14.25" customHeight="1"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</row>
    <row r="32" spans="3:37" ht="14.25" customHeight="1">
      <c r="I32" s="194"/>
      <c r="J32" s="194"/>
      <c r="K32" s="194"/>
      <c r="L32" s="194"/>
      <c r="M32" s="194"/>
      <c r="N32" s="194"/>
      <c r="O32" s="194"/>
      <c r="P32" s="194"/>
      <c r="Q32" s="194"/>
      <c r="R32" s="194"/>
      <c r="S32" s="194"/>
      <c r="T32" s="194"/>
      <c r="U32" s="194"/>
      <c r="V32" s="194"/>
      <c r="W32" s="194"/>
      <c r="X32" s="194"/>
      <c r="Y32" s="194"/>
      <c r="Z32" s="194"/>
      <c r="AA32" s="194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23"/>
  <sheetViews>
    <sheetView zoomScale="85" zoomScaleNormal="85" workbookViewId="0">
      <selection activeCell="B17" sqref="B17"/>
    </sheetView>
  </sheetViews>
  <sheetFormatPr defaultRowHeight="16.5" customHeight="1"/>
  <cols>
    <col min="1" max="1" width="9" style="144"/>
    <col min="2" max="16384" width="9" style="145"/>
  </cols>
  <sheetData>
    <row r="1" spans="1:17" s="139" customFormat="1" ht="16.5" customHeight="1">
      <c r="A1" s="138"/>
    </row>
    <row r="2" spans="1:17" s="139" customFormat="1" ht="16.5" customHeight="1">
      <c r="A2" s="140" t="s">
        <v>140</v>
      </c>
    </row>
    <row r="3" spans="1:17" s="142" customFormat="1" ht="16.5" customHeight="1">
      <c r="A3" s="141"/>
    </row>
    <row r="4" spans="1:17" s="95" customFormat="1" ht="16.5" customHeight="1">
      <c r="A4" s="99" t="s">
        <v>173</v>
      </c>
      <c r="B4" s="102" t="s">
        <v>174</v>
      </c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01"/>
      <c r="O4" s="101"/>
      <c r="P4" s="101"/>
    </row>
    <row r="5" spans="1:17" s="98" customFormat="1" ht="22.5" customHeight="1">
      <c r="A5" s="96">
        <v>1</v>
      </c>
      <c r="B5" s="94">
        <v>1</v>
      </c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100"/>
      <c r="O5" s="100"/>
      <c r="P5" s="100"/>
      <c r="Q5" s="97"/>
    </row>
    <row r="6" spans="1:17" s="98" customFormat="1" ht="22.5" customHeight="1">
      <c r="A6" s="96">
        <v>2</v>
      </c>
      <c r="B6" s="94">
        <v>2</v>
      </c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17" s="98" customFormat="1" ht="22.5" customHeight="1">
      <c r="A7" s="96">
        <v>3</v>
      </c>
      <c r="B7" s="94">
        <v>3</v>
      </c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100"/>
      <c r="O7" s="100"/>
      <c r="P7" s="100"/>
      <c r="Q7" s="97"/>
    </row>
    <row r="8" spans="1:17" s="98" customFormat="1" ht="22.5" customHeight="1">
      <c r="A8" s="96">
        <v>4</v>
      </c>
      <c r="B8" s="94">
        <v>4</v>
      </c>
      <c r="C8" s="94">
        <v>-4</v>
      </c>
      <c r="D8" s="94"/>
      <c r="E8" s="94"/>
      <c r="F8" s="94"/>
      <c r="G8" s="94"/>
      <c r="H8" s="94"/>
      <c r="I8" s="94"/>
      <c r="J8" s="94"/>
      <c r="K8" s="94"/>
      <c r="L8" s="94"/>
      <c r="M8" s="94"/>
      <c r="N8" s="100"/>
      <c r="O8" s="100"/>
      <c r="P8" s="100"/>
      <c r="Q8" s="97"/>
    </row>
    <row r="9" spans="1:17" ht="22.5" customHeight="1">
      <c r="A9" s="144">
        <v>5</v>
      </c>
      <c r="B9" s="145">
        <v>5</v>
      </c>
    </row>
    <row r="10" spans="1:17" ht="22.5" customHeight="1">
      <c r="A10" s="144">
        <v>6</v>
      </c>
      <c r="B10" s="145">
        <v>6</v>
      </c>
    </row>
    <row r="11" spans="1:17" ht="22.5" customHeight="1">
      <c r="A11" s="144">
        <v>7</v>
      </c>
      <c r="B11" s="145">
        <v>7</v>
      </c>
    </row>
    <row r="12" spans="1:17" ht="22.5" customHeight="1">
      <c r="A12" s="96">
        <v>8</v>
      </c>
      <c r="B12" s="145">
        <v>8</v>
      </c>
      <c r="C12" s="145">
        <v>9</v>
      </c>
      <c r="D12" s="145">
        <v>10</v>
      </c>
    </row>
    <row r="13" spans="1:17" ht="22.5" customHeight="1">
      <c r="A13" s="144">
        <v>9</v>
      </c>
      <c r="B13" s="145">
        <v>8</v>
      </c>
    </row>
    <row r="14" spans="1:17" ht="22.5" customHeight="1">
      <c r="A14" s="144">
        <v>10</v>
      </c>
      <c r="B14" s="145">
        <v>9</v>
      </c>
    </row>
    <row r="15" spans="1:17" ht="22.5" customHeight="1">
      <c r="A15" s="144">
        <v>11</v>
      </c>
      <c r="B15" s="145">
        <v>10</v>
      </c>
    </row>
    <row r="16" spans="1:17" ht="22.5" customHeight="1">
      <c r="A16" s="96">
        <v>12</v>
      </c>
      <c r="B16" s="145">
        <v>11</v>
      </c>
      <c r="C16" s="145">
        <v>12</v>
      </c>
      <c r="D16" s="145">
        <v>13</v>
      </c>
    </row>
    <row r="17" spans="1:3" ht="22.5" customHeight="1">
      <c r="A17" s="144">
        <v>13</v>
      </c>
      <c r="B17" s="145">
        <v>11</v>
      </c>
    </row>
    <row r="18" spans="1:3" ht="22.5" customHeight="1">
      <c r="A18" s="144">
        <v>14</v>
      </c>
      <c r="B18" s="145">
        <v>12</v>
      </c>
    </row>
    <row r="19" spans="1:3" ht="22.5" customHeight="1">
      <c r="A19" s="144">
        <v>15</v>
      </c>
      <c r="B19" s="145">
        <v>13</v>
      </c>
    </row>
    <row r="20" spans="1:3" ht="22.5" customHeight="1">
      <c r="A20" s="96">
        <v>16</v>
      </c>
      <c r="B20" s="145">
        <v>14</v>
      </c>
      <c r="C20" s="145">
        <f>-B20</f>
        <v>-14</v>
      </c>
    </row>
    <row r="21" spans="1:3" ht="22.5" customHeight="1">
      <c r="A21" s="144">
        <v>17</v>
      </c>
      <c r="B21" s="145">
        <v>15</v>
      </c>
      <c r="C21" s="145">
        <f t="shared" ref="C21:C23" si="0">-B21</f>
        <v>-15</v>
      </c>
    </row>
    <row r="22" spans="1:3" ht="22.5" customHeight="1">
      <c r="A22" s="144">
        <v>18</v>
      </c>
      <c r="B22" s="145">
        <v>16</v>
      </c>
      <c r="C22" s="145">
        <f t="shared" si="0"/>
        <v>-16</v>
      </c>
    </row>
    <row r="23" spans="1:3" ht="22.5" customHeight="1">
      <c r="A23" s="144">
        <v>19</v>
      </c>
      <c r="B23" s="145">
        <v>17</v>
      </c>
      <c r="C23" s="145">
        <f t="shared" si="0"/>
        <v>-17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28"/>
  <sheetViews>
    <sheetView zoomScale="85" zoomScaleNormal="85" workbookViewId="0">
      <selection activeCell="D29" sqref="D29"/>
    </sheetView>
  </sheetViews>
  <sheetFormatPr defaultRowHeight="15.75" customHeight="1"/>
  <cols>
    <col min="1" max="1" width="5.25" style="104" customWidth="1"/>
    <col min="2" max="22" width="5.875" style="106" customWidth="1"/>
    <col min="23" max="16384" width="9" style="106"/>
  </cols>
  <sheetData>
    <row r="1" spans="1:22" s="105" customFormat="1" ht="15.75" customHeight="1">
      <c r="A1" s="103"/>
    </row>
    <row r="2" spans="1:22" s="105" customFormat="1" ht="15.75" customHeight="1">
      <c r="A2" s="109" t="s">
        <v>141</v>
      </c>
    </row>
    <row r="3" spans="1:22" s="105" customFormat="1" ht="15.75" customHeight="1">
      <c r="A3" s="103"/>
    </row>
    <row r="4" spans="1:22" s="108" customFormat="1" ht="15.75" customHeight="1">
      <c r="A4" s="195" t="s">
        <v>175</v>
      </c>
      <c r="B4" s="107" t="s">
        <v>219</v>
      </c>
    </row>
    <row r="5" spans="1:22" s="104" customFormat="1" ht="15.75" customHeight="1">
      <c r="A5" s="196"/>
      <c r="B5" s="104">
        <v>1</v>
      </c>
      <c r="C5" s="104">
        <v>2</v>
      </c>
      <c r="D5" s="104">
        <v>3</v>
      </c>
      <c r="E5" s="104">
        <v>4</v>
      </c>
      <c r="F5" s="104">
        <v>5</v>
      </c>
      <c r="G5" s="104">
        <v>6</v>
      </c>
      <c r="H5" s="104">
        <v>7</v>
      </c>
      <c r="I5" s="104">
        <v>8</v>
      </c>
      <c r="J5" s="104">
        <v>9</v>
      </c>
      <c r="K5" s="104">
        <v>10</v>
      </c>
      <c r="L5" s="104">
        <v>11</v>
      </c>
      <c r="M5" s="104">
        <v>12</v>
      </c>
      <c r="N5" s="104">
        <v>13</v>
      </c>
      <c r="O5" s="104">
        <v>14</v>
      </c>
      <c r="P5" s="104">
        <v>15</v>
      </c>
      <c r="Q5" s="104">
        <v>16</v>
      </c>
      <c r="R5" s="104">
        <v>17</v>
      </c>
      <c r="S5" s="104">
        <v>18</v>
      </c>
      <c r="T5" s="104">
        <v>19</v>
      </c>
    </row>
    <row r="6" spans="1:22" ht="15.75" customHeight="1">
      <c r="A6" s="104">
        <v>1</v>
      </c>
      <c r="B6" s="150">
        <v>1.1000000000000001</v>
      </c>
      <c r="C6" s="150">
        <v>1.2</v>
      </c>
      <c r="D6" s="150">
        <v>1</v>
      </c>
      <c r="E6" s="150">
        <v>1</v>
      </c>
      <c r="F6" s="146"/>
      <c r="G6" s="146">
        <v>1</v>
      </c>
      <c r="H6" s="146"/>
      <c r="I6" s="146">
        <f>1.1*(1+[4]く体の計算!O353)</f>
        <v>3.3231000000000002</v>
      </c>
      <c r="J6" s="146"/>
      <c r="K6" s="146"/>
      <c r="L6" s="146"/>
      <c r="M6" s="146"/>
      <c r="N6" s="146"/>
      <c r="O6" s="146"/>
      <c r="P6" s="146"/>
      <c r="Q6" s="146">
        <v>1</v>
      </c>
      <c r="R6" s="146"/>
      <c r="S6" s="146">
        <v>1</v>
      </c>
      <c r="T6" s="146"/>
      <c r="U6" s="147"/>
      <c r="V6" s="147"/>
    </row>
    <row r="7" spans="1:22" ht="15.75" customHeight="1">
      <c r="A7" s="104">
        <v>2</v>
      </c>
      <c r="B7" s="150">
        <v>1.1000000000000001</v>
      </c>
      <c r="C7" s="150">
        <v>1.2</v>
      </c>
      <c r="D7" s="150">
        <v>1</v>
      </c>
      <c r="E7" s="150">
        <v>1</v>
      </c>
      <c r="F7" s="146"/>
      <c r="G7" s="146">
        <v>1</v>
      </c>
      <c r="H7" s="146"/>
      <c r="I7" s="146"/>
      <c r="J7" s="146">
        <f>1.1*(1+[4]く体の計算!O354)</f>
        <v>2.8820000000000006</v>
      </c>
      <c r="K7" s="146">
        <f>J7</f>
        <v>2.8820000000000006</v>
      </c>
      <c r="L7" s="146"/>
      <c r="M7" s="146"/>
      <c r="N7" s="146"/>
      <c r="O7" s="146"/>
      <c r="P7" s="146"/>
      <c r="Q7" s="146">
        <v>2</v>
      </c>
      <c r="R7" s="146"/>
      <c r="S7" s="146">
        <v>1</v>
      </c>
      <c r="T7" s="146"/>
      <c r="U7" s="147"/>
      <c r="V7" s="147"/>
    </row>
    <row r="8" spans="1:22" ht="15.75" customHeight="1">
      <c r="A8" s="104">
        <v>3</v>
      </c>
      <c r="B8" s="150">
        <v>1.1000000000000001</v>
      </c>
      <c r="C8" s="150">
        <v>1.2</v>
      </c>
      <c r="D8" s="150">
        <v>1</v>
      </c>
      <c r="E8" s="150">
        <v>1</v>
      </c>
      <c r="F8" s="146"/>
      <c r="G8" s="146">
        <v>1</v>
      </c>
      <c r="H8" s="146"/>
      <c r="I8" s="146"/>
      <c r="J8" s="146"/>
      <c r="K8" s="146">
        <f>K7</f>
        <v>2.8820000000000006</v>
      </c>
      <c r="L8" s="146">
        <f>K8</f>
        <v>2.8820000000000006</v>
      </c>
      <c r="M8" s="146"/>
      <c r="N8" s="146"/>
      <c r="O8" s="146"/>
      <c r="P8" s="146"/>
      <c r="Q8" s="146">
        <v>2</v>
      </c>
      <c r="R8" s="146"/>
      <c r="S8" s="146">
        <v>1</v>
      </c>
      <c r="T8" s="146"/>
      <c r="U8" s="147"/>
      <c r="V8" s="147"/>
    </row>
    <row r="9" spans="1:22" ht="15.75" customHeight="1">
      <c r="A9" s="104">
        <v>4</v>
      </c>
      <c r="B9" s="150">
        <v>1.1000000000000001</v>
      </c>
      <c r="C9" s="150">
        <v>1.2</v>
      </c>
      <c r="D9" s="150">
        <v>1</v>
      </c>
      <c r="E9" s="150">
        <v>1</v>
      </c>
      <c r="F9" s="146"/>
      <c r="G9" s="146">
        <v>1</v>
      </c>
      <c r="H9" s="146"/>
      <c r="I9" s="146"/>
      <c r="J9" s="146">
        <f>L8</f>
        <v>2.8820000000000006</v>
      </c>
      <c r="K9" s="146"/>
      <c r="L9" s="146">
        <f>J9</f>
        <v>2.8820000000000006</v>
      </c>
      <c r="M9" s="146"/>
      <c r="N9" s="146"/>
      <c r="O9" s="146"/>
      <c r="P9" s="146"/>
      <c r="Q9" s="146">
        <v>2</v>
      </c>
      <c r="R9" s="146"/>
      <c r="S9" s="146">
        <v>1</v>
      </c>
      <c r="T9" s="146"/>
      <c r="U9" s="147"/>
      <c r="V9" s="147"/>
    </row>
    <row r="10" spans="1:22" ht="15.75" customHeight="1">
      <c r="A10" s="104">
        <v>5</v>
      </c>
      <c r="B10" s="146">
        <v>1.1000000000000001</v>
      </c>
      <c r="C10" s="146">
        <v>1.2</v>
      </c>
      <c r="D10" s="146">
        <v>1</v>
      </c>
      <c r="E10" s="146">
        <v>1</v>
      </c>
      <c r="F10" s="146"/>
      <c r="G10" s="146">
        <v>1</v>
      </c>
      <c r="H10" s="146"/>
      <c r="I10" s="146">
        <f>1*(1+[4]く体の計算!O353)</f>
        <v>3.0209999999999999</v>
      </c>
      <c r="J10" s="146"/>
      <c r="K10" s="146"/>
      <c r="L10" s="146"/>
      <c r="M10" s="146"/>
      <c r="N10" s="146"/>
      <c r="O10" s="146"/>
      <c r="P10" s="146"/>
      <c r="Q10" s="146">
        <v>1.1000000000000001</v>
      </c>
      <c r="R10" s="146"/>
      <c r="S10" s="146">
        <v>1</v>
      </c>
      <c r="T10" s="146"/>
      <c r="U10" s="147"/>
      <c r="V10" s="147"/>
    </row>
    <row r="11" spans="1:22" ht="15.75" customHeight="1">
      <c r="A11" s="104">
        <v>6</v>
      </c>
      <c r="B11" s="146">
        <v>1.1000000000000001</v>
      </c>
      <c r="C11" s="146">
        <v>1.2</v>
      </c>
      <c r="D11" s="146">
        <v>1</v>
      </c>
      <c r="E11" s="146">
        <v>1</v>
      </c>
      <c r="F11" s="146"/>
      <c r="G11" s="146">
        <v>1</v>
      </c>
      <c r="H11" s="146"/>
      <c r="I11" s="146"/>
      <c r="J11" s="146">
        <f>1*(1+[4]く体の計算!O354)</f>
        <v>2.62</v>
      </c>
      <c r="K11" s="146">
        <f>J11</f>
        <v>2.62</v>
      </c>
      <c r="L11" s="146"/>
      <c r="M11" s="146"/>
      <c r="N11" s="146"/>
      <c r="O11" s="146"/>
      <c r="P11" s="146"/>
      <c r="Q11" s="146">
        <f>2*1.1</f>
        <v>2.2000000000000002</v>
      </c>
      <c r="R11" s="146"/>
      <c r="S11" s="146">
        <v>1</v>
      </c>
      <c r="T11" s="146"/>
      <c r="U11" s="147"/>
      <c r="V11" s="147"/>
    </row>
    <row r="12" spans="1:22" s="149" customFormat="1" ht="15.75" customHeight="1">
      <c r="A12" s="104">
        <v>7</v>
      </c>
      <c r="B12" s="146">
        <v>1.1000000000000001</v>
      </c>
      <c r="C12" s="146">
        <v>1.2</v>
      </c>
      <c r="D12" s="146">
        <v>1</v>
      </c>
      <c r="E12" s="146">
        <v>1</v>
      </c>
      <c r="F12" s="146"/>
      <c r="G12" s="146">
        <v>1</v>
      </c>
      <c r="H12" s="146"/>
      <c r="I12" s="146"/>
      <c r="J12" s="146"/>
      <c r="K12" s="146">
        <f>K11</f>
        <v>2.62</v>
      </c>
      <c r="L12" s="146">
        <f>K12</f>
        <v>2.62</v>
      </c>
      <c r="M12" s="146"/>
      <c r="N12" s="146"/>
      <c r="O12" s="146"/>
      <c r="P12" s="146"/>
      <c r="Q12" s="146">
        <f>Q11</f>
        <v>2.2000000000000002</v>
      </c>
      <c r="R12" s="146"/>
      <c r="S12" s="146">
        <v>1</v>
      </c>
      <c r="T12" s="146"/>
      <c r="U12" s="146"/>
      <c r="V12" s="146"/>
    </row>
    <row r="13" spans="1:22" s="149" customFormat="1" ht="15.75" customHeight="1">
      <c r="A13" s="104">
        <v>8</v>
      </c>
      <c r="B13" s="146">
        <v>1.1000000000000001</v>
      </c>
      <c r="C13" s="146">
        <v>1.2</v>
      </c>
      <c r="D13" s="146">
        <v>1</v>
      </c>
      <c r="E13" s="146">
        <v>1</v>
      </c>
      <c r="F13" s="146"/>
      <c r="G13" s="146">
        <v>1</v>
      </c>
      <c r="H13" s="146"/>
      <c r="I13" s="146"/>
      <c r="J13" s="146">
        <f>L12</f>
        <v>2.62</v>
      </c>
      <c r="K13" s="146"/>
      <c r="L13" s="146">
        <f>J13</f>
        <v>2.62</v>
      </c>
      <c r="M13" s="146"/>
      <c r="N13" s="146"/>
      <c r="O13" s="146"/>
      <c r="P13" s="146"/>
      <c r="Q13" s="146">
        <f>Q12</f>
        <v>2.2000000000000002</v>
      </c>
      <c r="R13" s="146"/>
      <c r="S13" s="146">
        <v>1</v>
      </c>
      <c r="T13" s="146"/>
      <c r="U13" s="146"/>
      <c r="V13" s="146"/>
    </row>
    <row r="14" spans="1:22" s="149" customFormat="1" ht="15.75" customHeight="1">
      <c r="A14" s="104">
        <v>9</v>
      </c>
      <c r="B14" s="150">
        <v>1.1000000000000001</v>
      </c>
      <c r="C14" s="150">
        <v>1.2</v>
      </c>
      <c r="D14" s="146">
        <v>1</v>
      </c>
      <c r="E14" s="146">
        <v>1</v>
      </c>
      <c r="F14" s="146"/>
      <c r="G14" s="146"/>
      <c r="H14" s="146">
        <v>1</v>
      </c>
      <c r="I14" s="146">
        <f>I10</f>
        <v>3.0209999999999999</v>
      </c>
      <c r="J14" s="146"/>
      <c r="K14" s="146"/>
      <c r="L14" s="146"/>
      <c r="M14" s="146"/>
      <c r="N14" s="146"/>
      <c r="O14" s="146"/>
      <c r="P14" s="146"/>
      <c r="Q14" s="146">
        <v>1</v>
      </c>
      <c r="R14" s="146"/>
      <c r="S14" s="146">
        <v>1</v>
      </c>
      <c r="T14" s="146"/>
      <c r="U14" s="146"/>
      <c r="V14" s="146"/>
    </row>
    <row r="15" spans="1:22" s="149" customFormat="1" ht="15.75" customHeight="1">
      <c r="A15" s="104">
        <v>10</v>
      </c>
      <c r="B15" s="150">
        <v>1.1000000000000001</v>
      </c>
      <c r="C15" s="150">
        <v>1.2</v>
      </c>
      <c r="D15" s="146">
        <v>1</v>
      </c>
      <c r="E15" s="146">
        <v>1</v>
      </c>
      <c r="F15" s="146"/>
      <c r="G15" s="146"/>
      <c r="H15" s="146">
        <v>1</v>
      </c>
      <c r="I15" s="146"/>
      <c r="J15" s="146">
        <f>J11</f>
        <v>2.62</v>
      </c>
      <c r="K15" s="146">
        <f>K11</f>
        <v>2.62</v>
      </c>
      <c r="L15" s="146"/>
      <c r="M15" s="146"/>
      <c r="N15" s="146"/>
      <c r="O15" s="146"/>
      <c r="P15" s="146"/>
      <c r="Q15" s="146">
        <v>2</v>
      </c>
      <c r="R15" s="146"/>
      <c r="S15" s="146">
        <v>1</v>
      </c>
      <c r="T15" s="146"/>
      <c r="U15" s="146"/>
      <c r="V15" s="146"/>
    </row>
    <row r="16" spans="1:22" s="149" customFormat="1" ht="15.75" customHeight="1">
      <c r="A16" s="104">
        <v>11</v>
      </c>
      <c r="B16" s="150">
        <v>1.1000000000000001</v>
      </c>
      <c r="C16" s="150">
        <v>1.2</v>
      </c>
      <c r="D16" s="146">
        <v>1</v>
      </c>
      <c r="E16" s="146">
        <v>1</v>
      </c>
      <c r="F16" s="146"/>
      <c r="G16" s="146"/>
      <c r="H16" s="146">
        <v>1</v>
      </c>
      <c r="I16" s="146"/>
      <c r="J16" s="146"/>
      <c r="K16" s="146">
        <f>K12</f>
        <v>2.62</v>
      </c>
      <c r="L16" s="146">
        <f>L12</f>
        <v>2.62</v>
      </c>
      <c r="M16" s="146"/>
      <c r="N16" s="146"/>
      <c r="O16" s="146"/>
      <c r="P16" s="146"/>
      <c r="Q16" s="146">
        <v>2</v>
      </c>
      <c r="R16" s="146"/>
      <c r="S16" s="146">
        <v>1</v>
      </c>
      <c r="T16" s="146"/>
      <c r="U16" s="146"/>
      <c r="V16" s="146"/>
    </row>
    <row r="17" spans="1:22" s="149" customFormat="1" ht="15.75" customHeight="1">
      <c r="A17" s="104">
        <v>12</v>
      </c>
      <c r="B17" s="150">
        <v>1.1000000000000001</v>
      </c>
      <c r="C17" s="150">
        <v>1.2</v>
      </c>
      <c r="D17" s="146">
        <v>1</v>
      </c>
      <c r="E17" s="146">
        <v>1</v>
      </c>
      <c r="F17" s="146"/>
      <c r="G17" s="146"/>
      <c r="H17" s="146">
        <v>1</v>
      </c>
      <c r="I17" s="146"/>
      <c r="J17" s="146">
        <f>J13</f>
        <v>2.62</v>
      </c>
      <c r="K17" s="146"/>
      <c r="L17" s="146">
        <f>L13</f>
        <v>2.62</v>
      </c>
      <c r="Q17" s="146">
        <v>2</v>
      </c>
      <c r="R17" s="146"/>
      <c r="S17" s="146">
        <v>1</v>
      </c>
      <c r="U17" s="146"/>
      <c r="V17" s="146"/>
    </row>
    <row r="18" spans="1:22" s="149" customFormat="1" ht="15.75" customHeight="1">
      <c r="A18" s="104">
        <v>13</v>
      </c>
      <c r="B18" s="150">
        <v>1.1000000000000001</v>
      </c>
      <c r="C18" s="150">
        <v>1.2</v>
      </c>
      <c r="D18" s="146">
        <v>1</v>
      </c>
      <c r="E18" s="146">
        <v>1</v>
      </c>
      <c r="T18" s="146">
        <v>1.2</v>
      </c>
      <c r="U18" s="146"/>
      <c r="V18" s="146"/>
    </row>
    <row r="19" spans="1:22" s="149" customFormat="1" ht="15.75" customHeight="1">
      <c r="A19" s="104">
        <v>14</v>
      </c>
      <c r="B19" s="146">
        <v>1</v>
      </c>
      <c r="C19" s="146">
        <v>1</v>
      </c>
      <c r="D19" s="146">
        <v>1</v>
      </c>
      <c r="E19" s="146">
        <v>1</v>
      </c>
      <c r="F19" s="146">
        <v>1</v>
      </c>
      <c r="U19" s="146"/>
      <c r="V19" s="146"/>
    </row>
    <row r="20" spans="1:22" s="149" customFormat="1" ht="15.75" customHeight="1">
      <c r="A20" s="104">
        <v>15</v>
      </c>
      <c r="B20" s="146">
        <v>1</v>
      </c>
      <c r="C20" s="146">
        <v>1</v>
      </c>
      <c r="D20" s="146">
        <v>1</v>
      </c>
      <c r="E20" s="146">
        <v>1</v>
      </c>
      <c r="F20" s="146">
        <v>1</v>
      </c>
      <c r="M20" s="146">
        <f>1*(1+[4]く体の計算!O358)</f>
        <v>2.516</v>
      </c>
      <c r="R20" s="146">
        <v>1</v>
      </c>
      <c r="U20" s="146"/>
      <c r="V20" s="146"/>
    </row>
    <row r="21" spans="1:22" ht="15.75" customHeight="1">
      <c r="A21" s="104">
        <v>16</v>
      </c>
      <c r="B21" s="146">
        <v>1</v>
      </c>
      <c r="C21" s="146">
        <v>1</v>
      </c>
      <c r="D21" s="146">
        <v>1</v>
      </c>
      <c r="E21" s="146">
        <v>1</v>
      </c>
      <c r="F21" s="146">
        <v>1</v>
      </c>
      <c r="G21" s="149"/>
      <c r="H21" s="149"/>
      <c r="I21" s="149"/>
      <c r="J21" s="149"/>
      <c r="K21" s="149"/>
      <c r="L21" s="149"/>
      <c r="M21" s="149"/>
      <c r="N21" s="146">
        <f>1*(1+[4]く体の計算!O359)</f>
        <v>2.2149999999999999</v>
      </c>
      <c r="O21" s="146">
        <f>N21</f>
        <v>2.2149999999999999</v>
      </c>
      <c r="P21" s="146"/>
      <c r="Q21" s="149"/>
      <c r="R21" s="146">
        <v>2</v>
      </c>
      <c r="S21" s="149"/>
      <c r="T21" s="149"/>
      <c r="U21" s="147"/>
      <c r="V21" s="147"/>
    </row>
    <row r="22" spans="1:22" ht="15.75" customHeight="1">
      <c r="A22" s="104">
        <v>17</v>
      </c>
      <c r="B22" s="146">
        <v>1</v>
      </c>
      <c r="C22" s="146">
        <v>1</v>
      </c>
      <c r="D22" s="146">
        <v>1</v>
      </c>
      <c r="E22" s="146">
        <v>1</v>
      </c>
      <c r="F22" s="146">
        <v>1</v>
      </c>
      <c r="G22" s="149"/>
      <c r="H22" s="149"/>
      <c r="I22" s="149"/>
      <c r="J22" s="149"/>
      <c r="K22" s="149"/>
      <c r="L22" s="149"/>
      <c r="M22" s="149"/>
      <c r="N22" s="146"/>
      <c r="O22" s="146">
        <f>O21</f>
        <v>2.2149999999999999</v>
      </c>
      <c r="P22" s="146">
        <f>O22</f>
        <v>2.2149999999999999</v>
      </c>
      <c r="Q22" s="149"/>
      <c r="R22" s="146">
        <v>2</v>
      </c>
      <c r="S22" s="149"/>
      <c r="T22" s="149"/>
    </row>
    <row r="23" spans="1:22" ht="15.75" customHeight="1">
      <c r="A23" s="104">
        <v>18</v>
      </c>
      <c r="B23" s="146">
        <v>1</v>
      </c>
      <c r="C23" s="146">
        <v>1</v>
      </c>
      <c r="D23" s="146">
        <v>1</v>
      </c>
      <c r="E23" s="146">
        <v>1</v>
      </c>
      <c r="F23" s="146">
        <v>1</v>
      </c>
      <c r="G23" s="149"/>
      <c r="H23" s="149"/>
      <c r="I23" s="149"/>
      <c r="J23" s="149"/>
      <c r="K23" s="149"/>
      <c r="L23" s="149"/>
      <c r="M23" s="149"/>
      <c r="N23" s="146">
        <f>P22</f>
        <v>2.2149999999999999</v>
      </c>
      <c r="O23" s="146"/>
      <c r="P23" s="146">
        <f>N23</f>
        <v>2.2149999999999999</v>
      </c>
      <c r="Q23" s="149"/>
      <c r="R23" s="146">
        <v>2</v>
      </c>
      <c r="S23" s="149"/>
      <c r="T23" s="149"/>
    </row>
    <row r="24" spans="1:22" ht="15.75" customHeight="1">
      <c r="A24" s="104">
        <v>19</v>
      </c>
      <c r="B24" s="146">
        <v>1</v>
      </c>
      <c r="C24" s="146">
        <v>1</v>
      </c>
      <c r="D24" s="146">
        <v>1</v>
      </c>
      <c r="E24" s="146">
        <v>1</v>
      </c>
      <c r="F24" s="146">
        <v>1</v>
      </c>
      <c r="G24" s="149"/>
      <c r="H24" s="149"/>
      <c r="I24" s="149"/>
      <c r="J24" s="149"/>
      <c r="K24" s="149"/>
      <c r="L24" s="149"/>
      <c r="M24" s="149"/>
      <c r="N24" s="146"/>
      <c r="O24" s="146">
        <f>N23</f>
        <v>2.2149999999999999</v>
      </c>
      <c r="P24" s="146"/>
      <c r="Q24" s="149"/>
      <c r="R24" s="146">
        <v>2</v>
      </c>
      <c r="S24" s="149"/>
      <c r="T24" s="149"/>
    </row>
    <row r="25" spans="1:22" ht="15.75" customHeight="1">
      <c r="A25" s="104">
        <v>20</v>
      </c>
      <c r="B25" s="146">
        <v>1</v>
      </c>
      <c r="C25" s="146">
        <v>1</v>
      </c>
      <c r="D25" s="146">
        <v>1</v>
      </c>
      <c r="E25" s="146">
        <v>1</v>
      </c>
      <c r="F25" s="146"/>
      <c r="G25" s="146">
        <v>1</v>
      </c>
      <c r="H25" s="146"/>
      <c r="I25" s="146">
        <f>1*(1+[4]く体の計算!O353)</f>
        <v>3.0209999999999999</v>
      </c>
      <c r="J25" s="146"/>
      <c r="K25" s="146"/>
      <c r="L25" s="146"/>
      <c r="M25" s="146"/>
      <c r="N25" s="146"/>
      <c r="O25" s="146"/>
      <c r="P25" s="146"/>
      <c r="Q25" s="146">
        <v>1</v>
      </c>
      <c r="R25" s="146"/>
      <c r="S25" s="146">
        <v>1</v>
      </c>
      <c r="T25" s="149"/>
    </row>
    <row r="26" spans="1:22" ht="15.75" customHeight="1">
      <c r="A26" s="104">
        <v>21</v>
      </c>
      <c r="B26" s="146">
        <v>1</v>
      </c>
      <c r="C26" s="146">
        <v>1</v>
      </c>
      <c r="D26" s="146">
        <v>1</v>
      </c>
      <c r="E26" s="146">
        <v>1</v>
      </c>
      <c r="F26" s="146"/>
      <c r="G26" s="146">
        <v>1</v>
      </c>
      <c r="H26" s="146"/>
      <c r="I26" s="146"/>
      <c r="J26" s="146">
        <f>1*(1+[4]く体の計算!O354)</f>
        <v>2.62</v>
      </c>
      <c r="K26" s="146">
        <f>J26</f>
        <v>2.62</v>
      </c>
      <c r="L26" s="146"/>
      <c r="M26" s="146"/>
      <c r="N26" s="146"/>
      <c r="O26" s="146"/>
      <c r="P26" s="146"/>
      <c r="Q26" s="146">
        <v>2</v>
      </c>
      <c r="R26" s="146"/>
      <c r="S26" s="146">
        <v>1</v>
      </c>
      <c r="T26" s="149"/>
    </row>
    <row r="27" spans="1:22" ht="15.75" customHeight="1">
      <c r="A27" s="104">
        <v>22</v>
      </c>
      <c r="B27" s="146">
        <v>1</v>
      </c>
      <c r="C27" s="146">
        <v>1</v>
      </c>
      <c r="D27" s="146">
        <v>1</v>
      </c>
      <c r="E27" s="146">
        <v>1</v>
      </c>
      <c r="F27" s="146"/>
      <c r="G27" s="146">
        <v>1</v>
      </c>
      <c r="H27" s="146"/>
      <c r="I27" s="146"/>
      <c r="J27" s="146"/>
      <c r="K27" s="146">
        <f>K26</f>
        <v>2.62</v>
      </c>
      <c r="L27" s="146">
        <f>K27</f>
        <v>2.62</v>
      </c>
      <c r="M27" s="146"/>
      <c r="N27" s="146"/>
      <c r="O27" s="146"/>
      <c r="P27" s="146"/>
      <c r="Q27" s="146">
        <v>2</v>
      </c>
      <c r="R27" s="146"/>
      <c r="S27" s="146">
        <v>1</v>
      </c>
      <c r="T27" s="149"/>
    </row>
    <row r="28" spans="1:22" ht="15.75" customHeight="1">
      <c r="A28" s="104">
        <v>23</v>
      </c>
      <c r="B28" s="146">
        <v>1</v>
      </c>
      <c r="C28" s="146">
        <v>1</v>
      </c>
      <c r="D28" s="146">
        <v>1</v>
      </c>
      <c r="E28" s="146">
        <v>1</v>
      </c>
      <c r="F28" s="146"/>
      <c r="G28" s="146">
        <v>1</v>
      </c>
      <c r="H28" s="146"/>
      <c r="I28" s="146"/>
      <c r="J28" s="146">
        <f>L27</f>
        <v>2.62</v>
      </c>
      <c r="K28" s="146"/>
      <c r="L28" s="146">
        <f>J28</f>
        <v>2.62</v>
      </c>
      <c r="M28" s="146"/>
      <c r="N28" s="146"/>
      <c r="O28" s="146"/>
      <c r="P28" s="146"/>
      <c r="Q28" s="146">
        <v>2</v>
      </c>
      <c r="R28" s="146"/>
      <c r="S28" s="146">
        <v>1</v>
      </c>
      <c r="T28" s="149"/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Q8"/>
  <sheetViews>
    <sheetView workbookViewId="0">
      <selection activeCell="A9" sqref="A9"/>
    </sheetView>
  </sheetViews>
  <sheetFormatPr defaultRowHeight="16.5" customHeight="1"/>
  <cols>
    <col min="1" max="1" width="9" style="144"/>
    <col min="2" max="16384" width="9" style="145"/>
  </cols>
  <sheetData>
    <row r="1" spans="1:17" s="139" customFormat="1" ht="16.5" customHeight="1">
      <c r="A1" s="138"/>
    </row>
    <row r="2" spans="1:17" s="139" customFormat="1" ht="16.5" customHeight="1">
      <c r="A2" s="140" t="s">
        <v>142</v>
      </c>
    </row>
    <row r="3" spans="1:17" s="142" customFormat="1" ht="16.5" customHeight="1">
      <c r="A3" s="141"/>
    </row>
    <row r="4" spans="1:17" s="95" customFormat="1" ht="16.5" customHeight="1">
      <c r="A4" s="99" t="s">
        <v>176</v>
      </c>
      <c r="B4" s="102" t="s">
        <v>174</v>
      </c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01"/>
      <c r="O4" s="101"/>
      <c r="P4" s="101"/>
    </row>
    <row r="5" spans="1:17" s="98" customFormat="1" ht="16.5" customHeight="1">
      <c r="A5" s="96">
        <v>1</v>
      </c>
      <c r="B5" s="145">
        <v>1</v>
      </c>
      <c r="C5" s="145">
        <v>2</v>
      </c>
      <c r="D5" s="145">
        <v>3</v>
      </c>
      <c r="E5" s="145">
        <v>4</v>
      </c>
      <c r="F5" s="145">
        <v>5</v>
      </c>
      <c r="G5" s="145">
        <v>6</v>
      </c>
      <c r="H5" s="145">
        <v>7</v>
      </c>
      <c r="I5" s="145">
        <v>8</v>
      </c>
      <c r="J5" s="145">
        <v>9</v>
      </c>
      <c r="K5" s="145">
        <v>10</v>
      </c>
      <c r="L5" s="145">
        <v>11</v>
      </c>
      <c r="M5" s="145">
        <v>12</v>
      </c>
      <c r="N5" s="145">
        <v>13</v>
      </c>
      <c r="O5" s="100"/>
      <c r="P5" s="100"/>
      <c r="Q5" s="97"/>
    </row>
    <row r="6" spans="1:17" s="98" customFormat="1" ht="16.5" customHeight="1">
      <c r="A6" s="96">
        <v>2</v>
      </c>
      <c r="B6" s="94">
        <v>14</v>
      </c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17" s="98" customFormat="1" ht="16.5" customHeight="1">
      <c r="A7" s="96">
        <v>3</v>
      </c>
      <c r="B7" s="94">
        <v>15</v>
      </c>
      <c r="C7" s="94">
        <v>16</v>
      </c>
      <c r="D7" s="94">
        <v>17</v>
      </c>
      <c r="E7" s="94">
        <v>18</v>
      </c>
      <c r="F7" s="94">
        <v>19</v>
      </c>
      <c r="G7" s="94"/>
      <c r="H7" s="94"/>
      <c r="I7" s="94"/>
      <c r="J7" s="94"/>
      <c r="K7" s="94"/>
      <c r="L7" s="94"/>
      <c r="M7" s="94"/>
      <c r="N7" s="100"/>
      <c r="O7" s="100"/>
      <c r="P7" s="100"/>
      <c r="Q7" s="97"/>
    </row>
    <row r="8" spans="1:17" ht="16.5" customHeight="1">
      <c r="A8" s="144">
        <v>4</v>
      </c>
      <c r="B8" s="145">
        <v>20</v>
      </c>
      <c r="C8" s="145">
        <v>21</v>
      </c>
      <c r="D8" s="145">
        <v>22</v>
      </c>
      <c r="E8" s="145">
        <v>23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FN107"/>
  <sheetViews>
    <sheetView tabSelected="1" zoomScale="85" zoomScaleNormal="85" workbookViewId="0">
      <selection activeCell="J13" sqref="J13"/>
    </sheetView>
  </sheetViews>
  <sheetFormatPr defaultRowHeight="13.5"/>
  <cols>
    <col min="1" max="2" width="9" style="25" customWidth="1"/>
    <col min="3" max="8" width="10.625" style="25" customWidth="1"/>
    <col min="9" max="13" width="9" style="25" customWidth="1"/>
    <col min="14" max="14" width="12.75" style="25" bestFit="1" customWidth="1"/>
    <col min="15" max="16" width="9" style="25" customWidth="1"/>
    <col min="17" max="17" width="9.125" style="25" bestFit="1" customWidth="1"/>
    <col min="18" max="18" width="13.875" style="25" bestFit="1" customWidth="1"/>
    <col min="19" max="16384" width="9" style="25"/>
  </cols>
  <sheetData>
    <row r="6" spans="2:165">
      <c r="B6" s="25" t="s">
        <v>112</v>
      </c>
      <c r="C6" s="25" t="s">
        <v>113</v>
      </c>
      <c r="D6" s="25" t="s">
        <v>114</v>
      </c>
      <c r="E6" s="25" t="s">
        <v>115</v>
      </c>
      <c r="L6" s="25" t="s">
        <v>112</v>
      </c>
      <c r="M6" s="25" t="s">
        <v>113</v>
      </c>
      <c r="N6" s="25" t="s">
        <v>114</v>
      </c>
      <c r="O6" s="25" t="s">
        <v>115</v>
      </c>
      <c r="V6" s="25" t="s">
        <v>112</v>
      </c>
      <c r="W6" s="25" t="s">
        <v>113</v>
      </c>
      <c r="X6" s="25" t="s">
        <v>114</v>
      </c>
      <c r="Y6" s="25" t="s">
        <v>115</v>
      </c>
      <c r="AF6" s="25" t="s">
        <v>112</v>
      </c>
      <c r="AG6" s="25" t="s">
        <v>113</v>
      </c>
      <c r="AH6" s="25" t="s">
        <v>114</v>
      </c>
      <c r="AI6" s="25" t="s">
        <v>115</v>
      </c>
      <c r="AP6" s="25" t="s">
        <v>112</v>
      </c>
      <c r="AQ6" s="25" t="s">
        <v>113</v>
      </c>
      <c r="AR6" s="25" t="s">
        <v>114</v>
      </c>
      <c r="AS6" s="25" t="s">
        <v>115</v>
      </c>
      <c r="AZ6" s="25" t="s">
        <v>112</v>
      </c>
      <c r="BA6" s="25" t="s">
        <v>113</v>
      </c>
      <c r="BB6" s="25" t="s">
        <v>114</v>
      </c>
      <c r="BC6" s="25" t="s">
        <v>115</v>
      </c>
      <c r="BJ6" s="25" t="s">
        <v>112</v>
      </c>
      <c r="BK6" s="25" t="s">
        <v>113</v>
      </c>
      <c r="BL6" s="25" t="s">
        <v>114</v>
      </c>
      <c r="BM6" s="25" t="s">
        <v>115</v>
      </c>
      <c r="BT6" s="25" t="s">
        <v>112</v>
      </c>
      <c r="BU6" s="25" t="s">
        <v>113</v>
      </c>
      <c r="BV6" s="25" t="s">
        <v>114</v>
      </c>
      <c r="BW6" s="25" t="s">
        <v>115</v>
      </c>
      <c r="CD6" s="25" t="s">
        <v>112</v>
      </c>
      <c r="CE6" s="25" t="s">
        <v>113</v>
      </c>
      <c r="CF6" s="25" t="s">
        <v>114</v>
      </c>
      <c r="CG6" s="25" t="s">
        <v>115</v>
      </c>
      <c r="CN6" s="25" t="s">
        <v>112</v>
      </c>
      <c r="CO6" s="25" t="s">
        <v>113</v>
      </c>
      <c r="CP6" s="25" t="s">
        <v>114</v>
      </c>
      <c r="CQ6" s="25" t="s">
        <v>115</v>
      </c>
      <c r="CX6" s="25" t="s">
        <v>112</v>
      </c>
      <c r="CY6" s="25" t="s">
        <v>113</v>
      </c>
      <c r="CZ6" s="25" t="s">
        <v>114</v>
      </c>
      <c r="DA6" s="25" t="s">
        <v>115</v>
      </c>
      <c r="DH6" s="25" t="s">
        <v>112</v>
      </c>
      <c r="DI6" s="25" t="s">
        <v>113</v>
      </c>
      <c r="DJ6" s="25" t="s">
        <v>114</v>
      </c>
      <c r="DK6" s="25" t="s">
        <v>115</v>
      </c>
      <c r="DR6" s="25" t="s">
        <v>112</v>
      </c>
      <c r="DS6" s="25" t="s">
        <v>113</v>
      </c>
      <c r="DT6" s="25" t="s">
        <v>114</v>
      </c>
      <c r="DU6" s="25" t="s">
        <v>115</v>
      </c>
      <c r="EB6" s="25" t="s">
        <v>112</v>
      </c>
      <c r="EC6" s="25" t="s">
        <v>113</v>
      </c>
      <c r="ED6" s="25" t="s">
        <v>114</v>
      </c>
      <c r="EE6" s="25" t="s">
        <v>115</v>
      </c>
      <c r="EL6" s="25" t="s">
        <v>112</v>
      </c>
      <c r="EM6" s="25" t="s">
        <v>113</v>
      </c>
      <c r="EN6" s="25" t="s">
        <v>114</v>
      </c>
      <c r="EO6" s="25" t="s">
        <v>115</v>
      </c>
      <c r="EV6" s="25" t="s">
        <v>112</v>
      </c>
      <c r="EW6" s="25" t="s">
        <v>113</v>
      </c>
      <c r="EX6" s="25" t="s">
        <v>114</v>
      </c>
      <c r="EY6" s="25" t="s">
        <v>115</v>
      </c>
      <c r="FF6" s="25" t="s">
        <v>112</v>
      </c>
      <c r="FG6" s="25" t="s">
        <v>113</v>
      </c>
      <c r="FH6" s="25" t="s">
        <v>114</v>
      </c>
      <c r="FI6" s="25" t="s">
        <v>115</v>
      </c>
    </row>
    <row r="7" spans="2:165">
      <c r="B7" s="25">
        <v>1</v>
      </c>
      <c r="C7" s="25">
        <v>1</v>
      </c>
      <c r="D7" s="25" t="s">
        <v>144</v>
      </c>
      <c r="E7" s="25" t="s">
        <v>177</v>
      </c>
      <c r="L7" s="25">
        <v>1</v>
      </c>
      <c r="M7" s="25">
        <v>2</v>
      </c>
      <c r="N7" s="25" t="s">
        <v>181</v>
      </c>
      <c r="O7" s="25" t="s">
        <v>220</v>
      </c>
      <c r="V7" s="25">
        <v>1</v>
      </c>
      <c r="W7" s="25">
        <v>3</v>
      </c>
      <c r="X7" s="25" t="s">
        <v>221</v>
      </c>
      <c r="Y7" s="25" t="s">
        <v>222</v>
      </c>
      <c r="AF7" s="25">
        <v>1</v>
      </c>
      <c r="AG7" s="25">
        <v>4</v>
      </c>
      <c r="AH7" s="25" t="s">
        <v>223</v>
      </c>
      <c r="AI7" s="25" t="s">
        <v>224</v>
      </c>
      <c r="AP7" s="25">
        <v>1</v>
      </c>
      <c r="AQ7" s="25">
        <v>5</v>
      </c>
      <c r="AR7" s="25" t="s">
        <v>225</v>
      </c>
      <c r="AS7" s="25" t="s">
        <v>226</v>
      </c>
      <c r="AZ7" s="25">
        <v>1</v>
      </c>
      <c r="BA7" s="25">
        <v>6</v>
      </c>
      <c r="BB7" s="25" t="s">
        <v>227</v>
      </c>
      <c r="BC7" s="25" t="s">
        <v>228</v>
      </c>
      <c r="BJ7" s="25">
        <v>1</v>
      </c>
      <c r="BK7" s="25">
        <v>7</v>
      </c>
      <c r="BL7" s="25" t="s">
        <v>229</v>
      </c>
      <c r="BM7" s="25" t="s">
        <v>230</v>
      </c>
      <c r="BT7" s="25">
        <v>1</v>
      </c>
      <c r="BU7" s="25">
        <v>8</v>
      </c>
      <c r="BV7" s="25" t="s">
        <v>231</v>
      </c>
      <c r="BW7" s="25" t="s">
        <v>232</v>
      </c>
      <c r="CD7" s="25">
        <v>1</v>
      </c>
      <c r="CE7" s="25">
        <v>9</v>
      </c>
      <c r="CF7" s="25" t="s">
        <v>195</v>
      </c>
      <c r="CG7" s="25" t="s">
        <v>233</v>
      </c>
      <c r="CN7" s="25">
        <v>1</v>
      </c>
      <c r="CO7" s="25">
        <v>10</v>
      </c>
      <c r="CP7" s="25" t="s">
        <v>197</v>
      </c>
      <c r="CQ7" s="25" t="s">
        <v>234</v>
      </c>
      <c r="CX7" s="25">
        <v>1</v>
      </c>
      <c r="CY7" s="25">
        <v>11</v>
      </c>
      <c r="CZ7" s="25" t="s">
        <v>235</v>
      </c>
      <c r="DA7" s="25" t="s">
        <v>236</v>
      </c>
      <c r="DH7" s="25">
        <v>1</v>
      </c>
      <c r="DI7" s="25">
        <v>12</v>
      </c>
      <c r="DJ7" s="25" t="s">
        <v>201</v>
      </c>
      <c r="DK7" s="25" t="s">
        <v>237</v>
      </c>
      <c r="DR7" s="25">
        <v>1</v>
      </c>
      <c r="DS7" s="25">
        <v>13</v>
      </c>
      <c r="DT7" s="25" t="s">
        <v>203</v>
      </c>
      <c r="DU7" s="25" t="s">
        <v>238</v>
      </c>
      <c r="EB7" s="25">
        <v>1</v>
      </c>
      <c r="EC7" s="25">
        <v>14</v>
      </c>
      <c r="ED7" s="25" t="s">
        <v>239</v>
      </c>
      <c r="EE7" s="25" t="s">
        <v>240</v>
      </c>
      <c r="EL7" s="25">
        <v>1</v>
      </c>
      <c r="EM7" s="25">
        <v>15</v>
      </c>
      <c r="EN7" s="25" t="s">
        <v>207</v>
      </c>
      <c r="EO7" s="25" t="s">
        <v>241</v>
      </c>
      <c r="EV7" s="25">
        <v>1</v>
      </c>
      <c r="EW7" s="25">
        <v>16</v>
      </c>
      <c r="EX7" s="25" t="s">
        <v>242</v>
      </c>
      <c r="EY7" s="25" t="s">
        <v>243</v>
      </c>
      <c r="FF7" s="25">
        <v>1</v>
      </c>
      <c r="FG7" s="25">
        <v>17</v>
      </c>
      <c r="FH7" s="25" t="s">
        <v>180</v>
      </c>
      <c r="FI7" s="25" t="s">
        <v>244</v>
      </c>
    </row>
    <row r="9" spans="2:165">
      <c r="B9" s="25" t="s">
        <v>116</v>
      </c>
      <c r="C9" s="25">
        <v>14</v>
      </c>
      <c r="L9" s="25" t="s">
        <v>116</v>
      </c>
      <c r="M9" s="25">
        <v>14</v>
      </c>
      <c r="V9" s="25" t="s">
        <v>116</v>
      </c>
      <c r="W9" s="25">
        <v>14</v>
      </c>
      <c r="AF9" s="25" t="s">
        <v>116</v>
      </c>
      <c r="AG9" s="25">
        <v>14</v>
      </c>
      <c r="AP9" s="25" t="s">
        <v>116</v>
      </c>
      <c r="AQ9" s="25">
        <v>14</v>
      </c>
      <c r="AZ9" s="25" t="s">
        <v>116</v>
      </c>
      <c r="BA9" s="25">
        <v>14</v>
      </c>
      <c r="BJ9" s="25" t="s">
        <v>116</v>
      </c>
      <c r="BK9" s="25">
        <v>14</v>
      </c>
      <c r="BT9" s="25" t="s">
        <v>116</v>
      </c>
      <c r="BU9" s="25">
        <v>14</v>
      </c>
      <c r="CD9" s="25" t="s">
        <v>116</v>
      </c>
      <c r="CE9" s="25">
        <v>14</v>
      </c>
      <c r="CN9" s="25" t="s">
        <v>116</v>
      </c>
      <c r="CO9" s="25">
        <v>14</v>
      </c>
      <c r="CX9" s="25" t="s">
        <v>116</v>
      </c>
      <c r="CY9" s="25">
        <v>14</v>
      </c>
      <c r="DH9" s="25" t="s">
        <v>116</v>
      </c>
      <c r="DI9" s="25">
        <v>14</v>
      </c>
      <c r="DR9" s="25" t="s">
        <v>116</v>
      </c>
      <c r="DS9" s="25">
        <v>14</v>
      </c>
      <c r="EB9" s="25" t="s">
        <v>116</v>
      </c>
      <c r="EC9" s="25">
        <v>14</v>
      </c>
      <c r="EL9" s="25" t="s">
        <v>116</v>
      </c>
      <c r="EM9" s="25">
        <v>14</v>
      </c>
      <c r="EV9" s="25" t="s">
        <v>116</v>
      </c>
      <c r="EW9" s="25">
        <v>14</v>
      </c>
      <c r="FF9" s="25" t="s">
        <v>116</v>
      </c>
      <c r="FG9" s="25">
        <v>14</v>
      </c>
    </row>
    <row r="11" spans="2:165">
      <c r="B11" s="25" t="s">
        <v>117</v>
      </c>
      <c r="L11" s="25" t="s">
        <v>117</v>
      </c>
      <c r="V11" s="25" t="s">
        <v>117</v>
      </c>
      <c r="AF11" s="25" t="s">
        <v>117</v>
      </c>
      <c r="AP11" s="25" t="s">
        <v>117</v>
      </c>
      <c r="AZ11" s="25" t="s">
        <v>117</v>
      </c>
      <c r="BJ11" s="25" t="s">
        <v>117</v>
      </c>
      <c r="BT11" s="25" t="s">
        <v>117</v>
      </c>
      <c r="CD11" s="25" t="s">
        <v>117</v>
      </c>
      <c r="CN11" s="25" t="s">
        <v>117</v>
      </c>
      <c r="CX11" s="25" t="s">
        <v>117</v>
      </c>
      <c r="DH11" s="25" t="s">
        <v>117</v>
      </c>
      <c r="DR11" s="25" t="s">
        <v>117</v>
      </c>
      <c r="EB11" s="25" t="s">
        <v>117</v>
      </c>
      <c r="EL11" s="25" t="s">
        <v>117</v>
      </c>
      <c r="EV11" s="25" t="s">
        <v>117</v>
      </c>
      <c r="FF11" s="25" t="s">
        <v>117</v>
      </c>
    </row>
    <row r="12" spans="2:165">
      <c r="C12" s="25" t="s">
        <v>118</v>
      </c>
      <c r="D12" s="25" t="s">
        <v>119</v>
      </c>
      <c r="E12" s="25" t="s">
        <v>120</v>
      </c>
      <c r="M12" s="25" t="s">
        <v>118</v>
      </c>
      <c r="N12" s="25" t="s">
        <v>119</v>
      </c>
      <c r="O12" s="25" t="s">
        <v>120</v>
      </c>
      <c r="W12" s="25" t="s">
        <v>118</v>
      </c>
      <c r="X12" s="25" t="s">
        <v>119</v>
      </c>
      <c r="Y12" s="25" t="s">
        <v>120</v>
      </c>
      <c r="AG12" s="25" t="s">
        <v>118</v>
      </c>
      <c r="AH12" s="25" t="s">
        <v>119</v>
      </c>
      <c r="AI12" s="25" t="s">
        <v>120</v>
      </c>
      <c r="AQ12" s="25" t="s">
        <v>118</v>
      </c>
      <c r="AR12" s="25" t="s">
        <v>119</v>
      </c>
      <c r="AS12" s="25" t="s">
        <v>120</v>
      </c>
      <c r="BA12" s="25" t="s">
        <v>118</v>
      </c>
      <c r="BB12" s="25" t="s">
        <v>119</v>
      </c>
      <c r="BC12" s="25" t="s">
        <v>120</v>
      </c>
      <c r="BK12" s="25" t="s">
        <v>118</v>
      </c>
      <c r="BL12" s="25" t="s">
        <v>119</v>
      </c>
      <c r="BM12" s="25" t="s">
        <v>120</v>
      </c>
      <c r="BU12" s="25" t="s">
        <v>118</v>
      </c>
      <c r="BV12" s="25" t="s">
        <v>119</v>
      </c>
      <c r="BW12" s="25" t="s">
        <v>120</v>
      </c>
      <c r="CE12" s="25" t="s">
        <v>118</v>
      </c>
      <c r="CF12" s="25" t="s">
        <v>119</v>
      </c>
      <c r="CG12" s="25" t="s">
        <v>120</v>
      </c>
      <c r="CO12" s="25" t="s">
        <v>118</v>
      </c>
      <c r="CP12" s="25" t="s">
        <v>119</v>
      </c>
      <c r="CQ12" s="25" t="s">
        <v>120</v>
      </c>
      <c r="CY12" s="25" t="s">
        <v>118</v>
      </c>
      <c r="CZ12" s="25" t="s">
        <v>119</v>
      </c>
      <c r="DA12" s="25" t="s">
        <v>120</v>
      </c>
      <c r="DI12" s="25" t="s">
        <v>118</v>
      </c>
      <c r="DJ12" s="25" t="s">
        <v>119</v>
      </c>
      <c r="DK12" s="25" t="s">
        <v>120</v>
      </c>
      <c r="DS12" s="25" t="s">
        <v>118</v>
      </c>
      <c r="DT12" s="25" t="s">
        <v>119</v>
      </c>
      <c r="DU12" s="25" t="s">
        <v>120</v>
      </c>
      <c r="EC12" s="25" t="s">
        <v>118</v>
      </c>
      <c r="ED12" s="25" t="s">
        <v>119</v>
      </c>
      <c r="EE12" s="25" t="s">
        <v>120</v>
      </c>
      <c r="EM12" s="25" t="s">
        <v>118</v>
      </c>
      <c r="EN12" s="25" t="s">
        <v>119</v>
      </c>
      <c r="EO12" s="25" t="s">
        <v>120</v>
      </c>
      <c r="EW12" s="25" t="s">
        <v>118</v>
      </c>
      <c r="EX12" s="25" t="s">
        <v>119</v>
      </c>
      <c r="EY12" s="25" t="s">
        <v>120</v>
      </c>
      <c r="FG12" s="25" t="s">
        <v>118</v>
      </c>
      <c r="FH12" s="25" t="s">
        <v>119</v>
      </c>
      <c r="FI12" s="25" t="s">
        <v>120</v>
      </c>
    </row>
    <row r="13" spans="2:165">
      <c r="B13" s="25">
        <v>1</v>
      </c>
      <c r="C13" s="25">
        <v>-12.2</v>
      </c>
      <c r="D13" s="25">
        <v>-18.600000000000001</v>
      </c>
      <c r="E13" s="25">
        <v>0</v>
      </c>
      <c r="L13" s="25">
        <v>1</v>
      </c>
      <c r="M13" s="25">
        <v>-12.2</v>
      </c>
      <c r="N13" s="25">
        <v>-18.600000000000001</v>
      </c>
      <c r="O13" s="25">
        <v>0</v>
      </c>
      <c r="V13" s="25">
        <v>1</v>
      </c>
      <c r="W13" s="25">
        <v>-12.2</v>
      </c>
      <c r="X13" s="25">
        <v>-18.600000000000001</v>
      </c>
      <c r="Y13" s="25">
        <v>0</v>
      </c>
      <c r="AF13" s="25">
        <v>1</v>
      </c>
      <c r="AG13" s="25">
        <v>-12.2</v>
      </c>
      <c r="AH13" s="25">
        <v>-18.600000000000001</v>
      </c>
      <c r="AI13" s="25">
        <v>0</v>
      </c>
      <c r="AP13" s="25">
        <v>1</v>
      </c>
      <c r="AQ13" s="25">
        <v>-12.2</v>
      </c>
      <c r="AR13" s="25">
        <v>-18.600000000000001</v>
      </c>
      <c r="AS13" s="25">
        <v>0</v>
      </c>
      <c r="AZ13" s="25">
        <v>1</v>
      </c>
      <c r="BA13" s="25">
        <v>-12.2</v>
      </c>
      <c r="BB13" s="25">
        <v>-18.600000000000001</v>
      </c>
      <c r="BC13" s="25">
        <v>0</v>
      </c>
      <c r="BJ13" s="25">
        <v>1</v>
      </c>
      <c r="BK13" s="25">
        <v>-12.2</v>
      </c>
      <c r="BL13" s="25">
        <v>-18.600000000000001</v>
      </c>
      <c r="BM13" s="25">
        <v>0</v>
      </c>
      <c r="BT13" s="25">
        <v>1</v>
      </c>
      <c r="BU13" s="25">
        <v>-12.2</v>
      </c>
      <c r="BV13" s="25">
        <v>-18.600000000000001</v>
      </c>
      <c r="BW13" s="25">
        <v>0</v>
      </c>
      <c r="CD13" s="25">
        <v>1</v>
      </c>
      <c r="CE13" s="25">
        <v>-12.2</v>
      </c>
      <c r="CF13" s="25">
        <v>-18.600000000000001</v>
      </c>
      <c r="CG13" s="25">
        <v>0</v>
      </c>
      <c r="CN13" s="25">
        <v>1</v>
      </c>
      <c r="CO13" s="25">
        <v>-12.2</v>
      </c>
      <c r="CP13" s="25">
        <v>-18.600000000000001</v>
      </c>
      <c r="CQ13" s="25">
        <v>0</v>
      </c>
      <c r="CX13" s="25">
        <v>1</v>
      </c>
      <c r="CY13" s="25">
        <v>-12.2</v>
      </c>
      <c r="CZ13" s="25">
        <v>-18.600000000000001</v>
      </c>
      <c r="DA13" s="25">
        <v>0</v>
      </c>
      <c r="DH13" s="25">
        <v>1</v>
      </c>
      <c r="DI13" s="25">
        <v>-12.2</v>
      </c>
      <c r="DJ13" s="25">
        <v>-18.600000000000001</v>
      </c>
      <c r="DK13" s="25">
        <v>0</v>
      </c>
      <c r="DR13" s="25">
        <v>1</v>
      </c>
      <c r="DS13" s="25">
        <v>-12.2</v>
      </c>
      <c r="DT13" s="25">
        <v>-18.600000000000001</v>
      </c>
      <c r="DU13" s="25">
        <v>0</v>
      </c>
      <c r="EB13" s="25">
        <v>1</v>
      </c>
      <c r="EC13" s="25">
        <v>-12.2</v>
      </c>
      <c r="ED13" s="25">
        <v>-18.600000000000001</v>
      </c>
      <c r="EE13" s="25">
        <v>0</v>
      </c>
      <c r="EL13" s="25">
        <v>1</v>
      </c>
      <c r="EM13" s="25">
        <v>-12.2</v>
      </c>
      <c r="EN13" s="25">
        <v>-18.600000000000001</v>
      </c>
      <c r="EO13" s="25">
        <v>0</v>
      </c>
      <c r="EV13" s="25">
        <v>1</v>
      </c>
      <c r="EW13" s="25">
        <v>-12.2</v>
      </c>
      <c r="EX13" s="25">
        <v>-18.600000000000001</v>
      </c>
      <c r="EY13" s="25">
        <v>0</v>
      </c>
      <c r="FF13" s="25">
        <v>1</v>
      </c>
      <c r="FG13" s="25">
        <v>-12.2</v>
      </c>
      <c r="FH13" s="25">
        <v>-18.600000000000001</v>
      </c>
      <c r="FI13" s="25">
        <v>0</v>
      </c>
    </row>
    <row r="14" spans="2:165">
      <c r="B14" s="25">
        <v>2</v>
      </c>
      <c r="C14" s="25">
        <v>-11.25</v>
      </c>
      <c r="D14" s="25">
        <v>-18.600000000000001</v>
      </c>
      <c r="E14" s="25">
        <v>0</v>
      </c>
      <c r="L14" s="25">
        <v>2</v>
      </c>
      <c r="M14" s="25">
        <v>-11.25</v>
      </c>
      <c r="N14" s="25">
        <v>-18.600000000000001</v>
      </c>
      <c r="O14" s="25">
        <v>0</v>
      </c>
      <c r="V14" s="25">
        <v>2</v>
      </c>
      <c r="W14" s="25">
        <v>-11.25</v>
      </c>
      <c r="X14" s="25">
        <v>-18.600000000000001</v>
      </c>
      <c r="Y14" s="25">
        <v>0</v>
      </c>
      <c r="AF14" s="25">
        <v>2</v>
      </c>
      <c r="AG14" s="25">
        <v>-11.25</v>
      </c>
      <c r="AH14" s="25">
        <v>-18.600000000000001</v>
      </c>
      <c r="AI14" s="25">
        <v>0</v>
      </c>
      <c r="AP14" s="25">
        <v>2</v>
      </c>
      <c r="AQ14" s="25">
        <v>-11.25</v>
      </c>
      <c r="AR14" s="25">
        <v>-18.600000000000001</v>
      </c>
      <c r="AS14" s="25">
        <v>0</v>
      </c>
      <c r="AZ14" s="25">
        <v>2</v>
      </c>
      <c r="BA14" s="25">
        <v>-11.25</v>
      </c>
      <c r="BB14" s="25">
        <v>-18.600000000000001</v>
      </c>
      <c r="BC14" s="25">
        <v>0</v>
      </c>
      <c r="BJ14" s="25">
        <v>2</v>
      </c>
      <c r="BK14" s="25">
        <v>-11.25</v>
      </c>
      <c r="BL14" s="25">
        <v>-18.600000000000001</v>
      </c>
      <c r="BM14" s="25">
        <v>0</v>
      </c>
      <c r="BT14" s="25">
        <v>2</v>
      </c>
      <c r="BU14" s="25">
        <v>-11.25</v>
      </c>
      <c r="BV14" s="25">
        <v>-18.600000000000001</v>
      </c>
      <c r="BW14" s="25">
        <v>0</v>
      </c>
      <c r="CD14" s="25">
        <v>2</v>
      </c>
      <c r="CE14" s="25">
        <v>-11.25</v>
      </c>
      <c r="CF14" s="25">
        <v>-18.600000000000001</v>
      </c>
      <c r="CG14" s="25">
        <v>0</v>
      </c>
      <c r="CN14" s="25">
        <v>2</v>
      </c>
      <c r="CO14" s="25">
        <v>-11.25</v>
      </c>
      <c r="CP14" s="25">
        <v>-18.600000000000001</v>
      </c>
      <c r="CQ14" s="25">
        <v>0</v>
      </c>
      <c r="CX14" s="25">
        <v>2</v>
      </c>
      <c r="CY14" s="25">
        <v>-11.25</v>
      </c>
      <c r="CZ14" s="25">
        <v>-18.600000000000001</v>
      </c>
      <c r="DA14" s="25">
        <v>0</v>
      </c>
      <c r="DH14" s="25">
        <v>2</v>
      </c>
      <c r="DI14" s="25">
        <v>-11.25</v>
      </c>
      <c r="DJ14" s="25">
        <v>-18.600000000000001</v>
      </c>
      <c r="DK14" s="25">
        <v>0</v>
      </c>
      <c r="DR14" s="25">
        <v>2</v>
      </c>
      <c r="DS14" s="25">
        <v>-11.25</v>
      </c>
      <c r="DT14" s="25">
        <v>-18.600000000000001</v>
      </c>
      <c r="DU14" s="25">
        <v>0</v>
      </c>
      <c r="EB14" s="25">
        <v>2</v>
      </c>
      <c r="EC14" s="25">
        <v>-11.25</v>
      </c>
      <c r="ED14" s="25">
        <v>-18.600000000000001</v>
      </c>
      <c r="EE14" s="25">
        <v>0</v>
      </c>
      <c r="EL14" s="25">
        <v>2</v>
      </c>
      <c r="EM14" s="25">
        <v>-11.25</v>
      </c>
      <c r="EN14" s="25">
        <v>-18.600000000000001</v>
      </c>
      <c r="EO14" s="25">
        <v>0</v>
      </c>
      <c r="EV14" s="25">
        <v>2</v>
      </c>
      <c r="EW14" s="25">
        <v>-11.25</v>
      </c>
      <c r="EX14" s="25">
        <v>-18.600000000000001</v>
      </c>
      <c r="EY14" s="25">
        <v>0</v>
      </c>
      <c r="FF14" s="25">
        <v>2</v>
      </c>
      <c r="FG14" s="25">
        <v>-11.25</v>
      </c>
      <c r="FH14" s="25">
        <v>-18.600000000000001</v>
      </c>
      <c r="FI14" s="25">
        <v>0</v>
      </c>
    </row>
    <row r="15" spans="2:165">
      <c r="B15" s="25">
        <v>3</v>
      </c>
      <c r="C15" s="25">
        <v>-3.75</v>
      </c>
      <c r="D15" s="25">
        <v>-18.600000000000001</v>
      </c>
      <c r="E15" s="25">
        <v>0</v>
      </c>
      <c r="L15" s="25">
        <v>3</v>
      </c>
      <c r="M15" s="25">
        <v>-3.75</v>
      </c>
      <c r="N15" s="25">
        <v>-18.600000000000001</v>
      </c>
      <c r="O15" s="25">
        <v>0</v>
      </c>
      <c r="V15" s="25">
        <v>3</v>
      </c>
      <c r="W15" s="25">
        <v>-3.75</v>
      </c>
      <c r="X15" s="25">
        <v>-18.600000000000001</v>
      </c>
      <c r="Y15" s="25">
        <v>0</v>
      </c>
      <c r="AF15" s="25">
        <v>3</v>
      </c>
      <c r="AG15" s="25">
        <v>-3.75</v>
      </c>
      <c r="AH15" s="25">
        <v>-18.600000000000001</v>
      </c>
      <c r="AI15" s="25">
        <v>0</v>
      </c>
      <c r="AP15" s="25">
        <v>3</v>
      </c>
      <c r="AQ15" s="25">
        <v>-3.75</v>
      </c>
      <c r="AR15" s="25">
        <v>-18.600000000000001</v>
      </c>
      <c r="AS15" s="25">
        <v>0</v>
      </c>
      <c r="AZ15" s="25">
        <v>3</v>
      </c>
      <c r="BA15" s="25">
        <v>-3.75</v>
      </c>
      <c r="BB15" s="25">
        <v>-18.600000000000001</v>
      </c>
      <c r="BC15" s="25">
        <v>0</v>
      </c>
      <c r="BJ15" s="25">
        <v>3</v>
      </c>
      <c r="BK15" s="25">
        <v>-3.75</v>
      </c>
      <c r="BL15" s="25">
        <v>-18.600000000000001</v>
      </c>
      <c r="BM15" s="25">
        <v>0</v>
      </c>
      <c r="BT15" s="25">
        <v>3</v>
      </c>
      <c r="BU15" s="25">
        <v>-3.75</v>
      </c>
      <c r="BV15" s="25">
        <v>-18.600000000000001</v>
      </c>
      <c r="BW15" s="25">
        <v>0</v>
      </c>
      <c r="CD15" s="25">
        <v>3</v>
      </c>
      <c r="CE15" s="25">
        <v>-3.75</v>
      </c>
      <c r="CF15" s="25">
        <v>-18.600000000000001</v>
      </c>
      <c r="CG15" s="25">
        <v>0</v>
      </c>
      <c r="CN15" s="25">
        <v>3</v>
      </c>
      <c r="CO15" s="25">
        <v>-3.75</v>
      </c>
      <c r="CP15" s="25">
        <v>-18.600000000000001</v>
      </c>
      <c r="CQ15" s="25">
        <v>0</v>
      </c>
      <c r="CX15" s="25">
        <v>3</v>
      </c>
      <c r="CY15" s="25">
        <v>-3.75</v>
      </c>
      <c r="CZ15" s="25">
        <v>-18.600000000000001</v>
      </c>
      <c r="DA15" s="25">
        <v>0</v>
      </c>
      <c r="DH15" s="25">
        <v>3</v>
      </c>
      <c r="DI15" s="25">
        <v>-3.75</v>
      </c>
      <c r="DJ15" s="25">
        <v>-18.600000000000001</v>
      </c>
      <c r="DK15" s="25">
        <v>0</v>
      </c>
      <c r="DR15" s="25">
        <v>3</v>
      </c>
      <c r="DS15" s="25">
        <v>-3.75</v>
      </c>
      <c r="DT15" s="25">
        <v>-18.600000000000001</v>
      </c>
      <c r="DU15" s="25">
        <v>0</v>
      </c>
      <c r="EB15" s="25">
        <v>3</v>
      </c>
      <c r="EC15" s="25">
        <v>-3.75</v>
      </c>
      <c r="ED15" s="25">
        <v>-18.600000000000001</v>
      </c>
      <c r="EE15" s="25">
        <v>0</v>
      </c>
      <c r="EL15" s="25">
        <v>3</v>
      </c>
      <c r="EM15" s="25">
        <v>-3.75</v>
      </c>
      <c r="EN15" s="25">
        <v>-18.600000000000001</v>
      </c>
      <c r="EO15" s="25">
        <v>0</v>
      </c>
      <c r="EV15" s="25">
        <v>3</v>
      </c>
      <c r="EW15" s="25">
        <v>-3.75</v>
      </c>
      <c r="EX15" s="25">
        <v>-18.600000000000001</v>
      </c>
      <c r="EY15" s="25">
        <v>0</v>
      </c>
      <c r="FF15" s="25">
        <v>3</v>
      </c>
      <c r="FG15" s="25">
        <v>-3.75</v>
      </c>
      <c r="FH15" s="25">
        <v>-18.600000000000001</v>
      </c>
      <c r="FI15" s="25">
        <v>0</v>
      </c>
    </row>
    <row r="16" spans="2:165">
      <c r="B16" s="25">
        <v>4</v>
      </c>
      <c r="C16" s="25">
        <v>3.75</v>
      </c>
      <c r="D16" s="25">
        <v>-18.600000000000001</v>
      </c>
      <c r="E16" s="25">
        <v>0</v>
      </c>
      <c r="L16" s="25">
        <v>4</v>
      </c>
      <c r="M16" s="25">
        <v>3.75</v>
      </c>
      <c r="N16" s="25">
        <v>-18.600000000000001</v>
      </c>
      <c r="O16" s="25">
        <v>0</v>
      </c>
      <c r="V16" s="25">
        <v>4</v>
      </c>
      <c r="W16" s="25">
        <v>3.75</v>
      </c>
      <c r="X16" s="25">
        <v>-18.600000000000001</v>
      </c>
      <c r="Y16" s="25">
        <v>0</v>
      </c>
      <c r="AF16" s="25">
        <v>4</v>
      </c>
      <c r="AG16" s="25">
        <v>3.75</v>
      </c>
      <c r="AH16" s="25">
        <v>-18.600000000000001</v>
      </c>
      <c r="AI16" s="25">
        <v>0</v>
      </c>
      <c r="AP16" s="25">
        <v>4</v>
      </c>
      <c r="AQ16" s="25">
        <v>3.75</v>
      </c>
      <c r="AR16" s="25">
        <v>-18.600000000000001</v>
      </c>
      <c r="AS16" s="25">
        <v>0</v>
      </c>
      <c r="AZ16" s="25">
        <v>4</v>
      </c>
      <c r="BA16" s="25">
        <v>3.75</v>
      </c>
      <c r="BB16" s="25">
        <v>-18.600000000000001</v>
      </c>
      <c r="BC16" s="25">
        <v>0</v>
      </c>
      <c r="BJ16" s="25">
        <v>4</v>
      </c>
      <c r="BK16" s="25">
        <v>3.75</v>
      </c>
      <c r="BL16" s="25">
        <v>-18.600000000000001</v>
      </c>
      <c r="BM16" s="25">
        <v>0</v>
      </c>
      <c r="BT16" s="25">
        <v>4</v>
      </c>
      <c r="BU16" s="25">
        <v>3.75</v>
      </c>
      <c r="BV16" s="25">
        <v>-18.600000000000001</v>
      </c>
      <c r="BW16" s="25">
        <v>0</v>
      </c>
      <c r="CD16" s="25">
        <v>4</v>
      </c>
      <c r="CE16" s="25">
        <v>3.75</v>
      </c>
      <c r="CF16" s="25">
        <v>-18.600000000000001</v>
      </c>
      <c r="CG16" s="25">
        <v>0</v>
      </c>
      <c r="CN16" s="25">
        <v>4</v>
      </c>
      <c r="CO16" s="25">
        <v>3.75</v>
      </c>
      <c r="CP16" s="25">
        <v>-18.600000000000001</v>
      </c>
      <c r="CQ16" s="25">
        <v>0</v>
      </c>
      <c r="CX16" s="25">
        <v>4</v>
      </c>
      <c r="CY16" s="25">
        <v>3.75</v>
      </c>
      <c r="CZ16" s="25">
        <v>-18.600000000000001</v>
      </c>
      <c r="DA16" s="25">
        <v>0</v>
      </c>
      <c r="DH16" s="25">
        <v>4</v>
      </c>
      <c r="DI16" s="25">
        <v>3.75</v>
      </c>
      <c r="DJ16" s="25">
        <v>-18.600000000000001</v>
      </c>
      <c r="DK16" s="25">
        <v>0</v>
      </c>
      <c r="DR16" s="25">
        <v>4</v>
      </c>
      <c r="DS16" s="25">
        <v>3.75</v>
      </c>
      <c r="DT16" s="25">
        <v>-18.600000000000001</v>
      </c>
      <c r="DU16" s="25">
        <v>0</v>
      </c>
      <c r="EB16" s="25">
        <v>4</v>
      </c>
      <c r="EC16" s="25">
        <v>3.75</v>
      </c>
      <c r="ED16" s="25">
        <v>-18.600000000000001</v>
      </c>
      <c r="EE16" s="25">
        <v>0</v>
      </c>
      <c r="EL16" s="25">
        <v>4</v>
      </c>
      <c r="EM16" s="25">
        <v>3.75</v>
      </c>
      <c r="EN16" s="25">
        <v>-18.600000000000001</v>
      </c>
      <c r="EO16" s="25">
        <v>0</v>
      </c>
      <c r="EV16" s="25">
        <v>4</v>
      </c>
      <c r="EW16" s="25">
        <v>3.75</v>
      </c>
      <c r="EX16" s="25">
        <v>-18.600000000000001</v>
      </c>
      <c r="EY16" s="25">
        <v>0</v>
      </c>
      <c r="FF16" s="25">
        <v>4</v>
      </c>
      <c r="FG16" s="25">
        <v>3.75</v>
      </c>
      <c r="FH16" s="25">
        <v>-18.600000000000001</v>
      </c>
      <c r="FI16" s="25">
        <v>0</v>
      </c>
    </row>
    <row r="17" spans="2:168">
      <c r="B17" s="25">
        <v>5</v>
      </c>
      <c r="C17" s="25">
        <v>11.25</v>
      </c>
      <c r="D17" s="25">
        <v>-18.600000000000001</v>
      </c>
      <c r="E17" s="25">
        <v>0</v>
      </c>
      <c r="L17" s="25">
        <v>5</v>
      </c>
      <c r="M17" s="25">
        <v>11.25</v>
      </c>
      <c r="N17" s="25">
        <v>-18.600000000000001</v>
      </c>
      <c r="O17" s="25">
        <v>0</v>
      </c>
      <c r="V17" s="25">
        <v>5</v>
      </c>
      <c r="W17" s="25">
        <v>11.25</v>
      </c>
      <c r="X17" s="25">
        <v>-18.600000000000001</v>
      </c>
      <c r="Y17" s="25">
        <v>0</v>
      </c>
      <c r="AF17" s="25">
        <v>5</v>
      </c>
      <c r="AG17" s="25">
        <v>11.25</v>
      </c>
      <c r="AH17" s="25">
        <v>-18.600000000000001</v>
      </c>
      <c r="AI17" s="25">
        <v>0</v>
      </c>
      <c r="AP17" s="25">
        <v>5</v>
      </c>
      <c r="AQ17" s="25">
        <v>11.25</v>
      </c>
      <c r="AR17" s="25">
        <v>-18.600000000000001</v>
      </c>
      <c r="AS17" s="25">
        <v>0</v>
      </c>
      <c r="AZ17" s="25">
        <v>5</v>
      </c>
      <c r="BA17" s="25">
        <v>11.25</v>
      </c>
      <c r="BB17" s="25">
        <v>-18.600000000000001</v>
      </c>
      <c r="BC17" s="25">
        <v>0</v>
      </c>
      <c r="BJ17" s="25">
        <v>5</v>
      </c>
      <c r="BK17" s="25">
        <v>11.25</v>
      </c>
      <c r="BL17" s="25">
        <v>-18.600000000000001</v>
      </c>
      <c r="BM17" s="25">
        <v>0</v>
      </c>
      <c r="BT17" s="25">
        <v>5</v>
      </c>
      <c r="BU17" s="25">
        <v>11.25</v>
      </c>
      <c r="BV17" s="25">
        <v>-18.600000000000001</v>
      </c>
      <c r="BW17" s="25">
        <v>0</v>
      </c>
      <c r="CD17" s="25">
        <v>5</v>
      </c>
      <c r="CE17" s="25">
        <v>11.25</v>
      </c>
      <c r="CF17" s="25">
        <v>-18.600000000000001</v>
      </c>
      <c r="CG17" s="25">
        <v>0</v>
      </c>
      <c r="CN17" s="25">
        <v>5</v>
      </c>
      <c r="CO17" s="25">
        <v>11.25</v>
      </c>
      <c r="CP17" s="25">
        <v>-18.600000000000001</v>
      </c>
      <c r="CQ17" s="25">
        <v>0</v>
      </c>
      <c r="CX17" s="25">
        <v>5</v>
      </c>
      <c r="CY17" s="25">
        <v>11.25</v>
      </c>
      <c r="CZ17" s="25">
        <v>-18.600000000000001</v>
      </c>
      <c r="DA17" s="25">
        <v>0</v>
      </c>
      <c r="DH17" s="25">
        <v>5</v>
      </c>
      <c r="DI17" s="25">
        <v>11.25</v>
      </c>
      <c r="DJ17" s="25">
        <v>-18.600000000000001</v>
      </c>
      <c r="DK17" s="25">
        <v>0</v>
      </c>
      <c r="DR17" s="25">
        <v>5</v>
      </c>
      <c r="DS17" s="25">
        <v>11.25</v>
      </c>
      <c r="DT17" s="25">
        <v>-18.600000000000001</v>
      </c>
      <c r="DU17" s="25">
        <v>0</v>
      </c>
      <c r="EB17" s="25">
        <v>5</v>
      </c>
      <c r="EC17" s="25">
        <v>11.25</v>
      </c>
      <c r="ED17" s="25">
        <v>-18.600000000000001</v>
      </c>
      <c r="EE17" s="25">
        <v>0</v>
      </c>
      <c r="EL17" s="25">
        <v>5</v>
      </c>
      <c r="EM17" s="25">
        <v>11.25</v>
      </c>
      <c r="EN17" s="25">
        <v>-18.600000000000001</v>
      </c>
      <c r="EO17" s="25">
        <v>0</v>
      </c>
      <c r="EV17" s="25">
        <v>5</v>
      </c>
      <c r="EW17" s="25">
        <v>11.25</v>
      </c>
      <c r="EX17" s="25">
        <v>-18.600000000000001</v>
      </c>
      <c r="EY17" s="25">
        <v>0</v>
      </c>
      <c r="FF17" s="25">
        <v>5</v>
      </c>
      <c r="FG17" s="25">
        <v>11.25</v>
      </c>
      <c r="FH17" s="25">
        <v>-18.600000000000001</v>
      </c>
      <c r="FI17" s="25">
        <v>0</v>
      </c>
    </row>
    <row r="18" spans="2:168">
      <c r="B18" s="25">
        <v>6</v>
      </c>
      <c r="C18" s="25">
        <v>12.2</v>
      </c>
      <c r="D18" s="25">
        <v>-18.600000000000001</v>
      </c>
      <c r="E18" s="25">
        <v>0</v>
      </c>
      <c r="L18" s="25">
        <v>6</v>
      </c>
      <c r="M18" s="25">
        <v>12.2</v>
      </c>
      <c r="N18" s="25">
        <v>-18.600000000000001</v>
      </c>
      <c r="O18" s="25">
        <v>0</v>
      </c>
      <c r="V18" s="25">
        <v>6</v>
      </c>
      <c r="W18" s="25">
        <v>12.2</v>
      </c>
      <c r="X18" s="25">
        <v>-18.600000000000001</v>
      </c>
      <c r="Y18" s="25">
        <v>0</v>
      </c>
      <c r="AF18" s="25">
        <v>6</v>
      </c>
      <c r="AG18" s="25">
        <v>12.2</v>
      </c>
      <c r="AH18" s="25">
        <v>-18.600000000000001</v>
      </c>
      <c r="AI18" s="25">
        <v>0</v>
      </c>
      <c r="AP18" s="25">
        <v>6</v>
      </c>
      <c r="AQ18" s="25">
        <v>12.2</v>
      </c>
      <c r="AR18" s="25">
        <v>-18.600000000000001</v>
      </c>
      <c r="AS18" s="25">
        <v>0</v>
      </c>
      <c r="AZ18" s="25">
        <v>6</v>
      </c>
      <c r="BA18" s="25">
        <v>12.2</v>
      </c>
      <c r="BB18" s="25">
        <v>-18.600000000000001</v>
      </c>
      <c r="BC18" s="25">
        <v>0</v>
      </c>
      <c r="BJ18" s="25">
        <v>6</v>
      </c>
      <c r="BK18" s="25">
        <v>12.2</v>
      </c>
      <c r="BL18" s="25">
        <v>-18.600000000000001</v>
      </c>
      <c r="BM18" s="25">
        <v>0</v>
      </c>
      <c r="BT18" s="25">
        <v>6</v>
      </c>
      <c r="BU18" s="25">
        <v>12.2</v>
      </c>
      <c r="BV18" s="25">
        <v>-18.600000000000001</v>
      </c>
      <c r="BW18" s="25">
        <v>0</v>
      </c>
      <c r="CD18" s="25">
        <v>6</v>
      </c>
      <c r="CE18" s="25">
        <v>12.2</v>
      </c>
      <c r="CF18" s="25">
        <v>-18.600000000000001</v>
      </c>
      <c r="CG18" s="25">
        <v>0</v>
      </c>
      <c r="CN18" s="25">
        <v>6</v>
      </c>
      <c r="CO18" s="25">
        <v>12.2</v>
      </c>
      <c r="CP18" s="25">
        <v>-18.600000000000001</v>
      </c>
      <c r="CQ18" s="25">
        <v>0</v>
      </c>
      <c r="CX18" s="25">
        <v>6</v>
      </c>
      <c r="CY18" s="25">
        <v>12.2</v>
      </c>
      <c r="CZ18" s="25">
        <v>-18.600000000000001</v>
      </c>
      <c r="DA18" s="25">
        <v>0</v>
      </c>
      <c r="DH18" s="25">
        <v>6</v>
      </c>
      <c r="DI18" s="25">
        <v>12.2</v>
      </c>
      <c r="DJ18" s="25">
        <v>-18.600000000000001</v>
      </c>
      <c r="DK18" s="25">
        <v>0</v>
      </c>
      <c r="DR18" s="25">
        <v>6</v>
      </c>
      <c r="DS18" s="25">
        <v>12.2</v>
      </c>
      <c r="DT18" s="25">
        <v>-18.600000000000001</v>
      </c>
      <c r="DU18" s="25">
        <v>0</v>
      </c>
      <c r="EB18" s="25">
        <v>6</v>
      </c>
      <c r="EC18" s="25">
        <v>12.2</v>
      </c>
      <c r="ED18" s="25">
        <v>-18.600000000000001</v>
      </c>
      <c r="EE18" s="25">
        <v>0</v>
      </c>
      <c r="EL18" s="25">
        <v>6</v>
      </c>
      <c r="EM18" s="25">
        <v>12.2</v>
      </c>
      <c r="EN18" s="25">
        <v>-18.600000000000001</v>
      </c>
      <c r="EO18" s="25">
        <v>0</v>
      </c>
      <c r="EV18" s="25">
        <v>6</v>
      </c>
      <c r="EW18" s="25">
        <v>12.2</v>
      </c>
      <c r="EX18" s="25">
        <v>-18.600000000000001</v>
      </c>
      <c r="EY18" s="25">
        <v>0</v>
      </c>
      <c r="FF18" s="25">
        <v>6</v>
      </c>
      <c r="FG18" s="25">
        <v>12.2</v>
      </c>
      <c r="FH18" s="25">
        <v>-18.600000000000001</v>
      </c>
      <c r="FI18" s="25">
        <v>0</v>
      </c>
    </row>
    <row r="19" spans="2:168">
      <c r="B19" s="25">
        <v>7</v>
      </c>
      <c r="C19" s="25">
        <v>-11.25</v>
      </c>
      <c r="D19" s="25">
        <v>-17.074999999999999</v>
      </c>
      <c r="E19" s="25">
        <v>0</v>
      </c>
      <c r="L19" s="25">
        <v>7</v>
      </c>
      <c r="M19" s="25">
        <v>-11.25</v>
      </c>
      <c r="N19" s="25">
        <v>-17.074999999999999</v>
      </c>
      <c r="O19" s="25">
        <v>0</v>
      </c>
      <c r="V19" s="25">
        <v>7</v>
      </c>
      <c r="W19" s="25">
        <v>-11.25</v>
      </c>
      <c r="X19" s="25">
        <v>-17.074999999999999</v>
      </c>
      <c r="Y19" s="25">
        <v>0</v>
      </c>
      <c r="AF19" s="25">
        <v>7</v>
      </c>
      <c r="AG19" s="25">
        <v>-11.25</v>
      </c>
      <c r="AH19" s="25">
        <v>-17.074999999999999</v>
      </c>
      <c r="AI19" s="25">
        <v>0</v>
      </c>
      <c r="AP19" s="25">
        <v>7</v>
      </c>
      <c r="AQ19" s="25">
        <v>-11.25</v>
      </c>
      <c r="AR19" s="25">
        <v>-17.074999999999999</v>
      </c>
      <c r="AS19" s="25">
        <v>0</v>
      </c>
      <c r="AZ19" s="25">
        <v>7</v>
      </c>
      <c r="BA19" s="25">
        <v>-11.25</v>
      </c>
      <c r="BB19" s="25">
        <v>-17.074999999999999</v>
      </c>
      <c r="BC19" s="25">
        <v>0</v>
      </c>
      <c r="BJ19" s="25">
        <v>7</v>
      </c>
      <c r="BK19" s="25">
        <v>-11.25</v>
      </c>
      <c r="BL19" s="25">
        <v>-17.074999999999999</v>
      </c>
      <c r="BM19" s="25">
        <v>0</v>
      </c>
      <c r="BT19" s="25">
        <v>7</v>
      </c>
      <c r="BU19" s="25">
        <v>-11.25</v>
      </c>
      <c r="BV19" s="25">
        <v>-17.074999999999999</v>
      </c>
      <c r="BW19" s="25">
        <v>0</v>
      </c>
      <c r="CD19" s="25">
        <v>7</v>
      </c>
      <c r="CE19" s="25">
        <v>-11.25</v>
      </c>
      <c r="CF19" s="25">
        <v>-17.074999999999999</v>
      </c>
      <c r="CG19" s="25">
        <v>0</v>
      </c>
      <c r="CN19" s="25">
        <v>7</v>
      </c>
      <c r="CO19" s="25">
        <v>-11.25</v>
      </c>
      <c r="CP19" s="25">
        <v>-17.074999999999999</v>
      </c>
      <c r="CQ19" s="25">
        <v>0</v>
      </c>
      <c r="CX19" s="25">
        <v>7</v>
      </c>
      <c r="CY19" s="25">
        <v>-11.25</v>
      </c>
      <c r="CZ19" s="25">
        <v>-17.074999999999999</v>
      </c>
      <c r="DA19" s="25">
        <v>0</v>
      </c>
      <c r="DH19" s="25">
        <v>7</v>
      </c>
      <c r="DI19" s="25">
        <v>-11.25</v>
      </c>
      <c r="DJ19" s="25">
        <v>-17.074999999999999</v>
      </c>
      <c r="DK19" s="25">
        <v>0</v>
      </c>
      <c r="DR19" s="25">
        <v>7</v>
      </c>
      <c r="DS19" s="25">
        <v>-11.25</v>
      </c>
      <c r="DT19" s="25">
        <v>-17.074999999999999</v>
      </c>
      <c r="DU19" s="25">
        <v>0</v>
      </c>
      <c r="EB19" s="25">
        <v>7</v>
      </c>
      <c r="EC19" s="25">
        <v>-11.25</v>
      </c>
      <c r="ED19" s="25">
        <v>-17.074999999999999</v>
      </c>
      <c r="EE19" s="25">
        <v>0</v>
      </c>
      <c r="EL19" s="25">
        <v>7</v>
      </c>
      <c r="EM19" s="25">
        <v>-11.25</v>
      </c>
      <c r="EN19" s="25">
        <v>-17.074999999999999</v>
      </c>
      <c r="EO19" s="25">
        <v>0</v>
      </c>
      <c r="EV19" s="25">
        <v>7</v>
      </c>
      <c r="EW19" s="25">
        <v>-11.25</v>
      </c>
      <c r="EX19" s="25">
        <v>-17.074999999999999</v>
      </c>
      <c r="EY19" s="25">
        <v>0</v>
      </c>
      <c r="FF19" s="25">
        <v>7</v>
      </c>
      <c r="FG19" s="25">
        <v>-11.25</v>
      </c>
      <c r="FH19" s="25">
        <v>-17.074999999999999</v>
      </c>
      <c r="FI19" s="25">
        <v>0</v>
      </c>
    </row>
    <row r="20" spans="2:168">
      <c r="B20" s="25">
        <v>8</v>
      </c>
      <c r="C20" s="25">
        <v>-3.75</v>
      </c>
      <c r="D20" s="25">
        <v>-17.074999999999999</v>
      </c>
      <c r="E20" s="25">
        <v>0</v>
      </c>
      <c r="L20" s="25">
        <v>8</v>
      </c>
      <c r="M20" s="25">
        <v>-3.75</v>
      </c>
      <c r="N20" s="25">
        <v>-17.074999999999999</v>
      </c>
      <c r="O20" s="25">
        <v>0</v>
      </c>
      <c r="V20" s="25">
        <v>8</v>
      </c>
      <c r="W20" s="25">
        <v>-3.75</v>
      </c>
      <c r="X20" s="25">
        <v>-17.074999999999999</v>
      </c>
      <c r="Y20" s="25">
        <v>0</v>
      </c>
      <c r="AF20" s="25">
        <v>8</v>
      </c>
      <c r="AG20" s="25">
        <v>-3.75</v>
      </c>
      <c r="AH20" s="25">
        <v>-17.074999999999999</v>
      </c>
      <c r="AI20" s="25">
        <v>0</v>
      </c>
      <c r="AP20" s="25">
        <v>8</v>
      </c>
      <c r="AQ20" s="25">
        <v>-3.75</v>
      </c>
      <c r="AR20" s="25">
        <v>-17.074999999999999</v>
      </c>
      <c r="AS20" s="25">
        <v>0</v>
      </c>
      <c r="AZ20" s="25">
        <v>8</v>
      </c>
      <c r="BA20" s="25">
        <v>-3.75</v>
      </c>
      <c r="BB20" s="25">
        <v>-17.074999999999999</v>
      </c>
      <c r="BC20" s="25">
        <v>0</v>
      </c>
      <c r="BJ20" s="25">
        <v>8</v>
      </c>
      <c r="BK20" s="25">
        <v>-3.75</v>
      </c>
      <c r="BL20" s="25">
        <v>-17.074999999999999</v>
      </c>
      <c r="BM20" s="25">
        <v>0</v>
      </c>
      <c r="BT20" s="25">
        <v>8</v>
      </c>
      <c r="BU20" s="25">
        <v>-3.75</v>
      </c>
      <c r="BV20" s="25">
        <v>-17.074999999999999</v>
      </c>
      <c r="BW20" s="25">
        <v>0</v>
      </c>
      <c r="CD20" s="25">
        <v>8</v>
      </c>
      <c r="CE20" s="25">
        <v>-3.75</v>
      </c>
      <c r="CF20" s="25">
        <v>-17.074999999999999</v>
      </c>
      <c r="CG20" s="25">
        <v>0</v>
      </c>
      <c r="CN20" s="25">
        <v>8</v>
      </c>
      <c r="CO20" s="25">
        <v>-3.75</v>
      </c>
      <c r="CP20" s="25">
        <v>-17.074999999999999</v>
      </c>
      <c r="CQ20" s="25">
        <v>0</v>
      </c>
      <c r="CX20" s="25">
        <v>8</v>
      </c>
      <c r="CY20" s="25">
        <v>-3.75</v>
      </c>
      <c r="CZ20" s="25">
        <v>-17.074999999999999</v>
      </c>
      <c r="DA20" s="25">
        <v>0</v>
      </c>
      <c r="DH20" s="25">
        <v>8</v>
      </c>
      <c r="DI20" s="25">
        <v>-3.75</v>
      </c>
      <c r="DJ20" s="25">
        <v>-17.074999999999999</v>
      </c>
      <c r="DK20" s="25">
        <v>0</v>
      </c>
      <c r="DR20" s="25">
        <v>8</v>
      </c>
      <c r="DS20" s="25">
        <v>-3.75</v>
      </c>
      <c r="DT20" s="25">
        <v>-17.074999999999999</v>
      </c>
      <c r="DU20" s="25">
        <v>0</v>
      </c>
      <c r="EB20" s="25">
        <v>8</v>
      </c>
      <c r="EC20" s="25">
        <v>-3.75</v>
      </c>
      <c r="ED20" s="25">
        <v>-17.074999999999999</v>
      </c>
      <c r="EE20" s="25">
        <v>0</v>
      </c>
      <c r="EL20" s="25">
        <v>8</v>
      </c>
      <c r="EM20" s="25">
        <v>-3.75</v>
      </c>
      <c r="EN20" s="25">
        <v>-17.074999999999999</v>
      </c>
      <c r="EO20" s="25">
        <v>0</v>
      </c>
      <c r="EV20" s="25">
        <v>8</v>
      </c>
      <c r="EW20" s="25">
        <v>-3.75</v>
      </c>
      <c r="EX20" s="25">
        <v>-17.074999999999999</v>
      </c>
      <c r="EY20" s="25">
        <v>0</v>
      </c>
      <c r="FF20" s="25">
        <v>8</v>
      </c>
      <c r="FG20" s="25">
        <v>-3.75</v>
      </c>
      <c r="FH20" s="25">
        <v>-17.074999999999999</v>
      </c>
      <c r="FI20" s="25">
        <v>0</v>
      </c>
    </row>
    <row r="21" spans="2:168">
      <c r="B21" s="25">
        <v>9</v>
      </c>
      <c r="C21" s="25">
        <v>3.75</v>
      </c>
      <c r="D21" s="25">
        <v>-17.074999999999999</v>
      </c>
      <c r="E21" s="25">
        <v>0</v>
      </c>
      <c r="L21" s="25">
        <v>9</v>
      </c>
      <c r="M21" s="25">
        <v>3.75</v>
      </c>
      <c r="N21" s="25">
        <v>-17.074999999999999</v>
      </c>
      <c r="O21" s="25">
        <v>0</v>
      </c>
      <c r="V21" s="25">
        <v>9</v>
      </c>
      <c r="W21" s="25">
        <v>3.75</v>
      </c>
      <c r="X21" s="25">
        <v>-17.074999999999999</v>
      </c>
      <c r="Y21" s="25">
        <v>0</v>
      </c>
      <c r="AF21" s="25">
        <v>9</v>
      </c>
      <c r="AG21" s="25">
        <v>3.75</v>
      </c>
      <c r="AH21" s="25">
        <v>-17.074999999999999</v>
      </c>
      <c r="AI21" s="25">
        <v>0</v>
      </c>
      <c r="AP21" s="25">
        <v>9</v>
      </c>
      <c r="AQ21" s="25">
        <v>3.75</v>
      </c>
      <c r="AR21" s="25">
        <v>-17.074999999999999</v>
      </c>
      <c r="AS21" s="25">
        <v>0</v>
      </c>
      <c r="AZ21" s="25">
        <v>9</v>
      </c>
      <c r="BA21" s="25">
        <v>3.75</v>
      </c>
      <c r="BB21" s="25">
        <v>-17.074999999999999</v>
      </c>
      <c r="BC21" s="25">
        <v>0</v>
      </c>
      <c r="BJ21" s="25">
        <v>9</v>
      </c>
      <c r="BK21" s="25">
        <v>3.75</v>
      </c>
      <c r="BL21" s="25">
        <v>-17.074999999999999</v>
      </c>
      <c r="BM21" s="25">
        <v>0</v>
      </c>
      <c r="BT21" s="25">
        <v>9</v>
      </c>
      <c r="BU21" s="25">
        <v>3.75</v>
      </c>
      <c r="BV21" s="25">
        <v>-17.074999999999999</v>
      </c>
      <c r="BW21" s="25">
        <v>0</v>
      </c>
      <c r="CD21" s="25">
        <v>9</v>
      </c>
      <c r="CE21" s="25">
        <v>3.75</v>
      </c>
      <c r="CF21" s="25">
        <v>-17.074999999999999</v>
      </c>
      <c r="CG21" s="25">
        <v>0</v>
      </c>
      <c r="CN21" s="25">
        <v>9</v>
      </c>
      <c r="CO21" s="25">
        <v>3.75</v>
      </c>
      <c r="CP21" s="25">
        <v>-17.074999999999999</v>
      </c>
      <c r="CQ21" s="25">
        <v>0</v>
      </c>
      <c r="CX21" s="25">
        <v>9</v>
      </c>
      <c r="CY21" s="25">
        <v>3.75</v>
      </c>
      <c r="CZ21" s="25">
        <v>-17.074999999999999</v>
      </c>
      <c r="DA21" s="25">
        <v>0</v>
      </c>
      <c r="DH21" s="25">
        <v>9</v>
      </c>
      <c r="DI21" s="25">
        <v>3.75</v>
      </c>
      <c r="DJ21" s="25">
        <v>-17.074999999999999</v>
      </c>
      <c r="DK21" s="25">
        <v>0</v>
      </c>
      <c r="DR21" s="25">
        <v>9</v>
      </c>
      <c r="DS21" s="25">
        <v>3.75</v>
      </c>
      <c r="DT21" s="25">
        <v>-17.074999999999999</v>
      </c>
      <c r="DU21" s="25">
        <v>0</v>
      </c>
      <c r="EB21" s="25">
        <v>9</v>
      </c>
      <c r="EC21" s="25">
        <v>3.75</v>
      </c>
      <c r="ED21" s="25">
        <v>-17.074999999999999</v>
      </c>
      <c r="EE21" s="25">
        <v>0</v>
      </c>
      <c r="EL21" s="25">
        <v>9</v>
      </c>
      <c r="EM21" s="25">
        <v>3.75</v>
      </c>
      <c r="EN21" s="25">
        <v>-17.074999999999999</v>
      </c>
      <c r="EO21" s="25">
        <v>0</v>
      </c>
      <c r="EV21" s="25">
        <v>9</v>
      </c>
      <c r="EW21" s="25">
        <v>3.75</v>
      </c>
      <c r="EX21" s="25">
        <v>-17.074999999999999</v>
      </c>
      <c r="EY21" s="25">
        <v>0</v>
      </c>
      <c r="FF21" s="25">
        <v>9</v>
      </c>
      <c r="FG21" s="25">
        <v>3.75</v>
      </c>
      <c r="FH21" s="25">
        <v>-17.074999999999999</v>
      </c>
      <c r="FI21" s="25">
        <v>0</v>
      </c>
    </row>
    <row r="22" spans="2:168">
      <c r="B22" s="25">
        <v>10</v>
      </c>
      <c r="C22" s="25">
        <v>11.25</v>
      </c>
      <c r="D22" s="25">
        <v>-17.074999999999999</v>
      </c>
      <c r="E22" s="25">
        <v>0</v>
      </c>
      <c r="L22" s="25">
        <v>10</v>
      </c>
      <c r="M22" s="25">
        <v>11.25</v>
      </c>
      <c r="N22" s="25">
        <v>-17.074999999999999</v>
      </c>
      <c r="O22" s="25">
        <v>0</v>
      </c>
      <c r="V22" s="25">
        <v>10</v>
      </c>
      <c r="W22" s="25">
        <v>11.25</v>
      </c>
      <c r="X22" s="25">
        <v>-17.074999999999999</v>
      </c>
      <c r="Y22" s="25">
        <v>0</v>
      </c>
      <c r="AF22" s="25">
        <v>10</v>
      </c>
      <c r="AG22" s="25">
        <v>11.25</v>
      </c>
      <c r="AH22" s="25">
        <v>-17.074999999999999</v>
      </c>
      <c r="AI22" s="25">
        <v>0</v>
      </c>
      <c r="AP22" s="25">
        <v>10</v>
      </c>
      <c r="AQ22" s="25">
        <v>11.25</v>
      </c>
      <c r="AR22" s="25">
        <v>-17.074999999999999</v>
      </c>
      <c r="AS22" s="25">
        <v>0</v>
      </c>
      <c r="AZ22" s="25">
        <v>10</v>
      </c>
      <c r="BA22" s="25">
        <v>11.25</v>
      </c>
      <c r="BB22" s="25">
        <v>-17.074999999999999</v>
      </c>
      <c r="BC22" s="25">
        <v>0</v>
      </c>
      <c r="BJ22" s="25">
        <v>10</v>
      </c>
      <c r="BK22" s="25">
        <v>11.25</v>
      </c>
      <c r="BL22" s="25">
        <v>-17.074999999999999</v>
      </c>
      <c r="BM22" s="25">
        <v>0</v>
      </c>
      <c r="BT22" s="25">
        <v>10</v>
      </c>
      <c r="BU22" s="25">
        <v>11.25</v>
      </c>
      <c r="BV22" s="25">
        <v>-17.074999999999999</v>
      </c>
      <c r="BW22" s="25">
        <v>0</v>
      </c>
      <c r="CD22" s="25">
        <v>10</v>
      </c>
      <c r="CE22" s="25">
        <v>11.25</v>
      </c>
      <c r="CF22" s="25">
        <v>-17.074999999999999</v>
      </c>
      <c r="CG22" s="25">
        <v>0</v>
      </c>
      <c r="CN22" s="25">
        <v>10</v>
      </c>
      <c r="CO22" s="25">
        <v>11.25</v>
      </c>
      <c r="CP22" s="25">
        <v>-17.074999999999999</v>
      </c>
      <c r="CQ22" s="25">
        <v>0</v>
      </c>
      <c r="CX22" s="25">
        <v>10</v>
      </c>
      <c r="CY22" s="25">
        <v>11.25</v>
      </c>
      <c r="CZ22" s="25">
        <v>-17.074999999999999</v>
      </c>
      <c r="DA22" s="25">
        <v>0</v>
      </c>
      <c r="DH22" s="25">
        <v>10</v>
      </c>
      <c r="DI22" s="25">
        <v>11.25</v>
      </c>
      <c r="DJ22" s="25">
        <v>-17.074999999999999</v>
      </c>
      <c r="DK22" s="25">
        <v>0</v>
      </c>
      <c r="DR22" s="25">
        <v>10</v>
      </c>
      <c r="DS22" s="25">
        <v>11.25</v>
      </c>
      <c r="DT22" s="25">
        <v>-17.074999999999999</v>
      </c>
      <c r="DU22" s="25">
        <v>0</v>
      </c>
      <c r="EB22" s="25">
        <v>10</v>
      </c>
      <c r="EC22" s="25">
        <v>11.25</v>
      </c>
      <c r="ED22" s="25">
        <v>-17.074999999999999</v>
      </c>
      <c r="EE22" s="25">
        <v>0</v>
      </c>
      <c r="EL22" s="25">
        <v>10</v>
      </c>
      <c r="EM22" s="25">
        <v>11.25</v>
      </c>
      <c r="EN22" s="25">
        <v>-17.074999999999999</v>
      </c>
      <c r="EO22" s="25">
        <v>0</v>
      </c>
      <c r="EV22" s="25">
        <v>10</v>
      </c>
      <c r="EW22" s="25">
        <v>11.25</v>
      </c>
      <c r="EX22" s="25">
        <v>-17.074999999999999</v>
      </c>
      <c r="EY22" s="25">
        <v>0</v>
      </c>
      <c r="FF22" s="25">
        <v>10</v>
      </c>
      <c r="FG22" s="25">
        <v>11.25</v>
      </c>
      <c r="FH22" s="25">
        <v>-17.074999999999999</v>
      </c>
      <c r="FI22" s="25">
        <v>0</v>
      </c>
    </row>
    <row r="23" spans="2:168">
      <c r="B23" s="25">
        <v>11</v>
      </c>
      <c r="C23" s="25">
        <v>-11.25</v>
      </c>
      <c r="D23" s="25">
        <v>0</v>
      </c>
      <c r="E23" s="25">
        <v>0</v>
      </c>
      <c r="L23" s="25">
        <v>11</v>
      </c>
      <c r="M23" s="25">
        <v>-11.25</v>
      </c>
      <c r="N23" s="25">
        <v>0</v>
      </c>
      <c r="O23" s="25">
        <v>0</v>
      </c>
      <c r="V23" s="25">
        <v>11</v>
      </c>
      <c r="W23" s="25">
        <v>-11.25</v>
      </c>
      <c r="X23" s="25">
        <v>0</v>
      </c>
      <c r="Y23" s="25">
        <v>0</v>
      </c>
      <c r="AF23" s="25">
        <v>11</v>
      </c>
      <c r="AG23" s="25">
        <v>-11.25</v>
      </c>
      <c r="AH23" s="25">
        <v>0</v>
      </c>
      <c r="AI23" s="25">
        <v>0</v>
      </c>
      <c r="AP23" s="25">
        <v>11</v>
      </c>
      <c r="AQ23" s="25">
        <v>-11.25</v>
      </c>
      <c r="AR23" s="25">
        <v>0</v>
      </c>
      <c r="AS23" s="25">
        <v>0</v>
      </c>
      <c r="AZ23" s="25">
        <v>11</v>
      </c>
      <c r="BA23" s="25">
        <v>-11.25</v>
      </c>
      <c r="BB23" s="25">
        <v>0</v>
      </c>
      <c r="BC23" s="25">
        <v>0</v>
      </c>
      <c r="BJ23" s="25">
        <v>11</v>
      </c>
      <c r="BK23" s="25">
        <v>-11.25</v>
      </c>
      <c r="BL23" s="25">
        <v>0</v>
      </c>
      <c r="BM23" s="25">
        <v>0</v>
      </c>
      <c r="BT23" s="25">
        <v>11</v>
      </c>
      <c r="BU23" s="25">
        <v>-11.25</v>
      </c>
      <c r="BV23" s="25">
        <v>0</v>
      </c>
      <c r="BW23" s="25">
        <v>0</v>
      </c>
      <c r="CD23" s="25">
        <v>11</v>
      </c>
      <c r="CE23" s="25">
        <v>-11.25</v>
      </c>
      <c r="CF23" s="25">
        <v>0</v>
      </c>
      <c r="CG23" s="25">
        <v>0</v>
      </c>
      <c r="CN23" s="25">
        <v>11</v>
      </c>
      <c r="CO23" s="25">
        <v>-11.25</v>
      </c>
      <c r="CP23" s="25">
        <v>0</v>
      </c>
      <c r="CQ23" s="25">
        <v>0</v>
      </c>
      <c r="CX23" s="25">
        <v>11</v>
      </c>
      <c r="CY23" s="25">
        <v>-11.25</v>
      </c>
      <c r="CZ23" s="25">
        <v>0</v>
      </c>
      <c r="DA23" s="25">
        <v>0</v>
      </c>
      <c r="DH23" s="25">
        <v>11</v>
      </c>
      <c r="DI23" s="25">
        <v>-11.25</v>
      </c>
      <c r="DJ23" s="25">
        <v>0</v>
      </c>
      <c r="DK23" s="25">
        <v>0</v>
      </c>
      <c r="DR23" s="25">
        <v>11</v>
      </c>
      <c r="DS23" s="25">
        <v>-11.25</v>
      </c>
      <c r="DT23" s="25">
        <v>0</v>
      </c>
      <c r="DU23" s="25">
        <v>0</v>
      </c>
      <c r="EB23" s="25">
        <v>11</v>
      </c>
      <c r="EC23" s="25">
        <v>-11.25</v>
      </c>
      <c r="ED23" s="25">
        <v>0</v>
      </c>
      <c r="EE23" s="25">
        <v>0</v>
      </c>
      <c r="EL23" s="25">
        <v>11</v>
      </c>
      <c r="EM23" s="25">
        <v>-11.25</v>
      </c>
      <c r="EN23" s="25">
        <v>0</v>
      </c>
      <c r="EO23" s="25">
        <v>0</v>
      </c>
      <c r="EV23" s="25">
        <v>11</v>
      </c>
      <c r="EW23" s="25">
        <v>-11.25</v>
      </c>
      <c r="EX23" s="25">
        <v>0</v>
      </c>
      <c r="EY23" s="25">
        <v>0</v>
      </c>
      <c r="FF23" s="25">
        <v>11</v>
      </c>
      <c r="FG23" s="25">
        <v>-11.25</v>
      </c>
      <c r="FH23" s="25">
        <v>0</v>
      </c>
      <c r="FI23" s="25">
        <v>0</v>
      </c>
    </row>
    <row r="24" spans="2:168">
      <c r="B24" s="25">
        <v>12</v>
      </c>
      <c r="C24" s="25">
        <v>-3.75</v>
      </c>
      <c r="D24" s="25">
        <v>0</v>
      </c>
      <c r="E24" s="25">
        <v>0</v>
      </c>
      <c r="L24" s="25">
        <v>12</v>
      </c>
      <c r="M24" s="25">
        <v>-3.75</v>
      </c>
      <c r="N24" s="25">
        <v>0</v>
      </c>
      <c r="O24" s="25">
        <v>0</v>
      </c>
      <c r="V24" s="25">
        <v>12</v>
      </c>
      <c r="W24" s="25">
        <v>-3.75</v>
      </c>
      <c r="X24" s="25">
        <v>0</v>
      </c>
      <c r="Y24" s="25">
        <v>0</v>
      </c>
      <c r="AF24" s="25">
        <v>12</v>
      </c>
      <c r="AG24" s="25">
        <v>-3.75</v>
      </c>
      <c r="AH24" s="25">
        <v>0</v>
      </c>
      <c r="AI24" s="25">
        <v>0</v>
      </c>
      <c r="AP24" s="25">
        <v>12</v>
      </c>
      <c r="AQ24" s="25">
        <v>-3.75</v>
      </c>
      <c r="AR24" s="25">
        <v>0</v>
      </c>
      <c r="AS24" s="25">
        <v>0</v>
      </c>
      <c r="AZ24" s="25">
        <v>12</v>
      </c>
      <c r="BA24" s="25">
        <v>-3.75</v>
      </c>
      <c r="BB24" s="25">
        <v>0</v>
      </c>
      <c r="BC24" s="25">
        <v>0</v>
      </c>
      <c r="BJ24" s="25">
        <v>12</v>
      </c>
      <c r="BK24" s="25">
        <v>-3.75</v>
      </c>
      <c r="BL24" s="25">
        <v>0</v>
      </c>
      <c r="BM24" s="25">
        <v>0</v>
      </c>
      <c r="BT24" s="25">
        <v>12</v>
      </c>
      <c r="BU24" s="25">
        <v>-3.75</v>
      </c>
      <c r="BV24" s="25">
        <v>0</v>
      </c>
      <c r="BW24" s="25">
        <v>0</v>
      </c>
      <c r="CD24" s="25">
        <v>12</v>
      </c>
      <c r="CE24" s="25">
        <v>-3.75</v>
      </c>
      <c r="CF24" s="25">
        <v>0</v>
      </c>
      <c r="CG24" s="25">
        <v>0</v>
      </c>
      <c r="CN24" s="25">
        <v>12</v>
      </c>
      <c r="CO24" s="25">
        <v>-3.75</v>
      </c>
      <c r="CP24" s="25">
        <v>0</v>
      </c>
      <c r="CQ24" s="25">
        <v>0</v>
      </c>
      <c r="CX24" s="25">
        <v>12</v>
      </c>
      <c r="CY24" s="25">
        <v>-3.75</v>
      </c>
      <c r="CZ24" s="25">
        <v>0</v>
      </c>
      <c r="DA24" s="25">
        <v>0</v>
      </c>
      <c r="DH24" s="25">
        <v>12</v>
      </c>
      <c r="DI24" s="25">
        <v>-3.75</v>
      </c>
      <c r="DJ24" s="25">
        <v>0</v>
      </c>
      <c r="DK24" s="25">
        <v>0</v>
      </c>
      <c r="DR24" s="25">
        <v>12</v>
      </c>
      <c r="DS24" s="25">
        <v>-3.75</v>
      </c>
      <c r="DT24" s="25">
        <v>0</v>
      </c>
      <c r="DU24" s="25">
        <v>0</v>
      </c>
      <c r="EB24" s="25">
        <v>12</v>
      </c>
      <c r="EC24" s="25">
        <v>-3.75</v>
      </c>
      <c r="ED24" s="25">
        <v>0</v>
      </c>
      <c r="EE24" s="25">
        <v>0</v>
      </c>
      <c r="EL24" s="25">
        <v>12</v>
      </c>
      <c r="EM24" s="25">
        <v>-3.75</v>
      </c>
      <c r="EN24" s="25">
        <v>0</v>
      </c>
      <c r="EO24" s="25">
        <v>0</v>
      </c>
      <c r="EV24" s="25">
        <v>12</v>
      </c>
      <c r="EW24" s="25">
        <v>-3.75</v>
      </c>
      <c r="EX24" s="25">
        <v>0</v>
      </c>
      <c r="EY24" s="25">
        <v>0</v>
      </c>
      <c r="FF24" s="25">
        <v>12</v>
      </c>
      <c r="FG24" s="25">
        <v>-3.75</v>
      </c>
      <c r="FH24" s="25">
        <v>0</v>
      </c>
      <c r="FI24" s="25">
        <v>0</v>
      </c>
    </row>
    <row r="25" spans="2:168">
      <c r="B25" s="25">
        <v>13</v>
      </c>
      <c r="C25" s="25">
        <v>3.75</v>
      </c>
      <c r="D25" s="25">
        <v>0</v>
      </c>
      <c r="E25" s="25">
        <v>0</v>
      </c>
      <c r="L25" s="25">
        <v>13</v>
      </c>
      <c r="M25" s="25">
        <v>3.75</v>
      </c>
      <c r="N25" s="25">
        <v>0</v>
      </c>
      <c r="O25" s="25">
        <v>0</v>
      </c>
      <c r="V25" s="25">
        <v>13</v>
      </c>
      <c r="W25" s="25">
        <v>3.75</v>
      </c>
      <c r="X25" s="25">
        <v>0</v>
      </c>
      <c r="Y25" s="25">
        <v>0</v>
      </c>
      <c r="AF25" s="25">
        <v>13</v>
      </c>
      <c r="AG25" s="25">
        <v>3.75</v>
      </c>
      <c r="AH25" s="25">
        <v>0</v>
      </c>
      <c r="AI25" s="25">
        <v>0</v>
      </c>
      <c r="AP25" s="25">
        <v>13</v>
      </c>
      <c r="AQ25" s="25">
        <v>3.75</v>
      </c>
      <c r="AR25" s="25">
        <v>0</v>
      </c>
      <c r="AS25" s="25">
        <v>0</v>
      </c>
      <c r="AZ25" s="25">
        <v>13</v>
      </c>
      <c r="BA25" s="25">
        <v>3.75</v>
      </c>
      <c r="BB25" s="25">
        <v>0</v>
      </c>
      <c r="BC25" s="25">
        <v>0</v>
      </c>
      <c r="BJ25" s="25">
        <v>13</v>
      </c>
      <c r="BK25" s="25">
        <v>3.75</v>
      </c>
      <c r="BL25" s="25">
        <v>0</v>
      </c>
      <c r="BM25" s="25">
        <v>0</v>
      </c>
      <c r="BT25" s="25">
        <v>13</v>
      </c>
      <c r="BU25" s="25">
        <v>3.75</v>
      </c>
      <c r="BV25" s="25">
        <v>0</v>
      </c>
      <c r="BW25" s="25">
        <v>0</v>
      </c>
      <c r="CD25" s="25">
        <v>13</v>
      </c>
      <c r="CE25" s="25">
        <v>3.75</v>
      </c>
      <c r="CF25" s="25">
        <v>0</v>
      </c>
      <c r="CG25" s="25">
        <v>0</v>
      </c>
      <c r="CN25" s="25">
        <v>13</v>
      </c>
      <c r="CO25" s="25">
        <v>3.75</v>
      </c>
      <c r="CP25" s="25">
        <v>0</v>
      </c>
      <c r="CQ25" s="25">
        <v>0</v>
      </c>
      <c r="CX25" s="25">
        <v>13</v>
      </c>
      <c r="CY25" s="25">
        <v>3.75</v>
      </c>
      <c r="CZ25" s="25">
        <v>0</v>
      </c>
      <c r="DA25" s="25">
        <v>0</v>
      </c>
      <c r="DH25" s="25">
        <v>13</v>
      </c>
      <c r="DI25" s="25">
        <v>3.75</v>
      </c>
      <c r="DJ25" s="25">
        <v>0</v>
      </c>
      <c r="DK25" s="25">
        <v>0</v>
      </c>
      <c r="DR25" s="25">
        <v>13</v>
      </c>
      <c r="DS25" s="25">
        <v>3.75</v>
      </c>
      <c r="DT25" s="25">
        <v>0</v>
      </c>
      <c r="DU25" s="25">
        <v>0</v>
      </c>
      <c r="EB25" s="25">
        <v>13</v>
      </c>
      <c r="EC25" s="25">
        <v>3.75</v>
      </c>
      <c r="ED25" s="25">
        <v>0</v>
      </c>
      <c r="EE25" s="25">
        <v>0</v>
      </c>
      <c r="EL25" s="25">
        <v>13</v>
      </c>
      <c r="EM25" s="25">
        <v>3.75</v>
      </c>
      <c r="EN25" s="25">
        <v>0</v>
      </c>
      <c r="EO25" s="25">
        <v>0</v>
      </c>
      <c r="EV25" s="25">
        <v>13</v>
      </c>
      <c r="EW25" s="25">
        <v>3.75</v>
      </c>
      <c r="EX25" s="25">
        <v>0</v>
      </c>
      <c r="EY25" s="25">
        <v>0</v>
      </c>
      <c r="FF25" s="25">
        <v>13</v>
      </c>
      <c r="FG25" s="25">
        <v>3.75</v>
      </c>
      <c r="FH25" s="25">
        <v>0</v>
      </c>
      <c r="FI25" s="25">
        <v>0</v>
      </c>
    </row>
    <row r="26" spans="2:168">
      <c r="B26" s="25">
        <v>14</v>
      </c>
      <c r="C26" s="25">
        <v>11.25</v>
      </c>
      <c r="D26" s="25">
        <v>0</v>
      </c>
      <c r="E26" s="25">
        <v>0</v>
      </c>
      <c r="L26" s="25">
        <v>14</v>
      </c>
      <c r="M26" s="25">
        <v>11.25</v>
      </c>
      <c r="N26" s="25">
        <v>0</v>
      </c>
      <c r="O26" s="25">
        <v>0</v>
      </c>
      <c r="V26" s="25">
        <v>14</v>
      </c>
      <c r="W26" s="25">
        <v>11.25</v>
      </c>
      <c r="X26" s="25">
        <v>0</v>
      </c>
      <c r="Y26" s="25">
        <v>0</v>
      </c>
      <c r="AF26" s="25">
        <v>14</v>
      </c>
      <c r="AG26" s="25">
        <v>11.25</v>
      </c>
      <c r="AH26" s="25">
        <v>0</v>
      </c>
      <c r="AI26" s="25">
        <v>0</v>
      </c>
      <c r="AP26" s="25">
        <v>14</v>
      </c>
      <c r="AQ26" s="25">
        <v>11.25</v>
      </c>
      <c r="AR26" s="25">
        <v>0</v>
      </c>
      <c r="AS26" s="25">
        <v>0</v>
      </c>
      <c r="AZ26" s="25">
        <v>14</v>
      </c>
      <c r="BA26" s="25">
        <v>11.25</v>
      </c>
      <c r="BB26" s="25">
        <v>0</v>
      </c>
      <c r="BC26" s="25">
        <v>0</v>
      </c>
      <c r="BJ26" s="25">
        <v>14</v>
      </c>
      <c r="BK26" s="25">
        <v>11.25</v>
      </c>
      <c r="BL26" s="25">
        <v>0</v>
      </c>
      <c r="BM26" s="25">
        <v>0</v>
      </c>
      <c r="BT26" s="25">
        <v>14</v>
      </c>
      <c r="BU26" s="25">
        <v>11.25</v>
      </c>
      <c r="BV26" s="25">
        <v>0</v>
      </c>
      <c r="BW26" s="25">
        <v>0</v>
      </c>
      <c r="CD26" s="25">
        <v>14</v>
      </c>
      <c r="CE26" s="25">
        <v>11.25</v>
      </c>
      <c r="CF26" s="25">
        <v>0</v>
      </c>
      <c r="CG26" s="25">
        <v>0</v>
      </c>
      <c r="CN26" s="25">
        <v>14</v>
      </c>
      <c r="CO26" s="25">
        <v>11.25</v>
      </c>
      <c r="CP26" s="25">
        <v>0</v>
      </c>
      <c r="CQ26" s="25">
        <v>0</v>
      </c>
      <c r="CX26" s="25">
        <v>14</v>
      </c>
      <c r="CY26" s="25">
        <v>11.25</v>
      </c>
      <c r="CZ26" s="25">
        <v>0</v>
      </c>
      <c r="DA26" s="25">
        <v>0</v>
      </c>
      <c r="DH26" s="25">
        <v>14</v>
      </c>
      <c r="DI26" s="25">
        <v>11.25</v>
      </c>
      <c r="DJ26" s="25">
        <v>0</v>
      </c>
      <c r="DK26" s="25">
        <v>0</v>
      </c>
      <c r="DR26" s="25">
        <v>14</v>
      </c>
      <c r="DS26" s="25">
        <v>11.25</v>
      </c>
      <c r="DT26" s="25">
        <v>0</v>
      </c>
      <c r="DU26" s="25">
        <v>0</v>
      </c>
      <c r="EB26" s="25">
        <v>14</v>
      </c>
      <c r="EC26" s="25">
        <v>11.25</v>
      </c>
      <c r="ED26" s="25">
        <v>0</v>
      </c>
      <c r="EE26" s="25">
        <v>0</v>
      </c>
      <c r="EL26" s="25">
        <v>14</v>
      </c>
      <c r="EM26" s="25">
        <v>11.25</v>
      </c>
      <c r="EN26" s="25">
        <v>0</v>
      </c>
      <c r="EO26" s="25">
        <v>0</v>
      </c>
      <c r="EV26" s="25">
        <v>14</v>
      </c>
      <c r="EW26" s="25">
        <v>11.25</v>
      </c>
      <c r="EX26" s="25">
        <v>0</v>
      </c>
      <c r="EY26" s="25">
        <v>0</v>
      </c>
      <c r="FF26" s="25">
        <v>14</v>
      </c>
      <c r="FG26" s="25">
        <v>11.25</v>
      </c>
      <c r="FH26" s="25">
        <v>0</v>
      </c>
      <c r="FI26" s="25">
        <v>0</v>
      </c>
    </row>
    <row r="29" spans="2:168">
      <c r="B29" s="25" t="s">
        <v>121</v>
      </c>
      <c r="L29" s="25" t="s">
        <v>121</v>
      </c>
      <c r="V29" s="25" t="s">
        <v>121</v>
      </c>
      <c r="AF29" s="25" t="s">
        <v>121</v>
      </c>
      <c r="AP29" s="25" t="s">
        <v>121</v>
      </c>
      <c r="AZ29" s="25" t="s">
        <v>121</v>
      </c>
      <c r="BJ29" s="25" t="s">
        <v>121</v>
      </c>
      <c r="BT29" s="25" t="s">
        <v>121</v>
      </c>
      <c r="CD29" s="25" t="s">
        <v>121</v>
      </c>
      <c r="CN29" s="25" t="s">
        <v>121</v>
      </c>
      <c r="CX29" s="25" t="s">
        <v>121</v>
      </c>
      <c r="DH29" s="25" t="s">
        <v>121</v>
      </c>
      <c r="DR29" s="25" t="s">
        <v>121</v>
      </c>
      <c r="EB29" s="25" t="s">
        <v>121</v>
      </c>
      <c r="EL29" s="25" t="s">
        <v>121</v>
      </c>
      <c r="EV29" s="25" t="s">
        <v>121</v>
      </c>
      <c r="FF29" s="25" t="s">
        <v>121</v>
      </c>
    </row>
    <row r="30" spans="2:168">
      <c r="C30" s="25" t="s">
        <v>118</v>
      </c>
      <c r="D30" s="25" t="s">
        <v>119</v>
      </c>
      <c r="E30" s="25" t="s">
        <v>120</v>
      </c>
      <c r="F30" s="25" t="s">
        <v>122</v>
      </c>
      <c r="G30" s="25" t="s">
        <v>123</v>
      </c>
      <c r="H30" s="25" t="s">
        <v>124</v>
      </c>
      <c r="M30" s="25" t="s">
        <v>118</v>
      </c>
      <c r="N30" s="25" t="s">
        <v>119</v>
      </c>
      <c r="O30" s="25" t="s">
        <v>120</v>
      </c>
      <c r="P30" s="25" t="s">
        <v>122</v>
      </c>
      <c r="Q30" s="25" t="s">
        <v>123</v>
      </c>
      <c r="R30" s="25" t="s">
        <v>124</v>
      </c>
      <c r="W30" s="25" t="s">
        <v>118</v>
      </c>
      <c r="X30" s="25" t="s">
        <v>119</v>
      </c>
      <c r="Y30" s="25" t="s">
        <v>120</v>
      </c>
      <c r="Z30" s="25" t="s">
        <v>122</v>
      </c>
      <c r="AA30" s="25" t="s">
        <v>123</v>
      </c>
      <c r="AB30" s="25" t="s">
        <v>124</v>
      </c>
      <c r="AG30" s="25" t="s">
        <v>118</v>
      </c>
      <c r="AH30" s="25" t="s">
        <v>119</v>
      </c>
      <c r="AI30" s="25" t="s">
        <v>120</v>
      </c>
      <c r="AJ30" s="25" t="s">
        <v>122</v>
      </c>
      <c r="AK30" s="25" t="s">
        <v>123</v>
      </c>
      <c r="AL30" s="25" t="s">
        <v>124</v>
      </c>
      <c r="AQ30" s="25" t="s">
        <v>118</v>
      </c>
      <c r="AR30" s="25" t="s">
        <v>119</v>
      </c>
      <c r="AS30" s="25" t="s">
        <v>120</v>
      </c>
      <c r="AT30" s="25" t="s">
        <v>122</v>
      </c>
      <c r="AU30" s="25" t="s">
        <v>123</v>
      </c>
      <c r="AV30" s="25" t="s">
        <v>124</v>
      </c>
      <c r="BA30" s="25" t="s">
        <v>118</v>
      </c>
      <c r="BB30" s="25" t="s">
        <v>119</v>
      </c>
      <c r="BC30" s="25" t="s">
        <v>120</v>
      </c>
      <c r="BD30" s="25" t="s">
        <v>122</v>
      </c>
      <c r="BE30" s="25" t="s">
        <v>123</v>
      </c>
      <c r="BF30" s="25" t="s">
        <v>124</v>
      </c>
      <c r="BK30" s="25" t="s">
        <v>118</v>
      </c>
      <c r="BL30" s="25" t="s">
        <v>119</v>
      </c>
      <c r="BM30" s="25" t="s">
        <v>120</v>
      </c>
      <c r="BN30" s="25" t="s">
        <v>122</v>
      </c>
      <c r="BO30" s="25" t="s">
        <v>123</v>
      </c>
      <c r="BP30" s="25" t="s">
        <v>124</v>
      </c>
      <c r="BU30" s="25" t="s">
        <v>118</v>
      </c>
      <c r="BV30" s="25" t="s">
        <v>119</v>
      </c>
      <c r="BW30" s="25" t="s">
        <v>120</v>
      </c>
      <c r="BX30" s="25" t="s">
        <v>122</v>
      </c>
      <c r="BY30" s="25" t="s">
        <v>123</v>
      </c>
      <c r="BZ30" s="25" t="s">
        <v>124</v>
      </c>
      <c r="CE30" s="25" t="s">
        <v>118</v>
      </c>
      <c r="CF30" s="25" t="s">
        <v>119</v>
      </c>
      <c r="CG30" s="25" t="s">
        <v>120</v>
      </c>
      <c r="CH30" s="25" t="s">
        <v>122</v>
      </c>
      <c r="CI30" s="25" t="s">
        <v>123</v>
      </c>
      <c r="CJ30" s="25" t="s">
        <v>124</v>
      </c>
      <c r="CO30" s="25" t="s">
        <v>118</v>
      </c>
      <c r="CP30" s="25" t="s">
        <v>119</v>
      </c>
      <c r="CQ30" s="25" t="s">
        <v>120</v>
      </c>
      <c r="CR30" s="25" t="s">
        <v>122</v>
      </c>
      <c r="CS30" s="25" t="s">
        <v>123</v>
      </c>
      <c r="CT30" s="25" t="s">
        <v>124</v>
      </c>
      <c r="CY30" s="25" t="s">
        <v>118</v>
      </c>
      <c r="CZ30" s="25" t="s">
        <v>119</v>
      </c>
      <c r="DA30" s="25" t="s">
        <v>120</v>
      </c>
      <c r="DB30" s="25" t="s">
        <v>122</v>
      </c>
      <c r="DC30" s="25" t="s">
        <v>123</v>
      </c>
      <c r="DD30" s="25" t="s">
        <v>124</v>
      </c>
      <c r="DI30" s="25" t="s">
        <v>118</v>
      </c>
      <c r="DJ30" s="25" t="s">
        <v>119</v>
      </c>
      <c r="DK30" s="25" t="s">
        <v>120</v>
      </c>
      <c r="DL30" s="25" t="s">
        <v>122</v>
      </c>
      <c r="DM30" s="25" t="s">
        <v>123</v>
      </c>
      <c r="DN30" s="25" t="s">
        <v>124</v>
      </c>
      <c r="DS30" s="25" t="s">
        <v>118</v>
      </c>
      <c r="DT30" s="25" t="s">
        <v>119</v>
      </c>
      <c r="DU30" s="25" t="s">
        <v>120</v>
      </c>
      <c r="DV30" s="25" t="s">
        <v>122</v>
      </c>
      <c r="DW30" s="25" t="s">
        <v>123</v>
      </c>
      <c r="DX30" s="25" t="s">
        <v>124</v>
      </c>
      <c r="EC30" s="25" t="s">
        <v>118</v>
      </c>
      <c r="ED30" s="25" t="s">
        <v>119</v>
      </c>
      <c r="EE30" s="25" t="s">
        <v>120</v>
      </c>
      <c r="EF30" s="25" t="s">
        <v>122</v>
      </c>
      <c r="EG30" s="25" t="s">
        <v>123</v>
      </c>
      <c r="EH30" s="25" t="s">
        <v>124</v>
      </c>
      <c r="EM30" s="25" t="s">
        <v>118</v>
      </c>
      <c r="EN30" s="25" t="s">
        <v>119</v>
      </c>
      <c r="EO30" s="25" t="s">
        <v>120</v>
      </c>
      <c r="EP30" s="25" t="s">
        <v>122</v>
      </c>
      <c r="EQ30" s="25" t="s">
        <v>123</v>
      </c>
      <c r="ER30" s="25" t="s">
        <v>124</v>
      </c>
      <c r="EW30" s="25" t="s">
        <v>118</v>
      </c>
      <c r="EX30" s="25" t="s">
        <v>119</v>
      </c>
      <c r="EY30" s="25" t="s">
        <v>120</v>
      </c>
      <c r="EZ30" s="25" t="s">
        <v>122</v>
      </c>
      <c r="FA30" s="25" t="s">
        <v>123</v>
      </c>
      <c r="FB30" s="25" t="s">
        <v>124</v>
      </c>
      <c r="FG30" s="25" t="s">
        <v>118</v>
      </c>
      <c r="FH30" s="25" t="s">
        <v>119</v>
      </c>
      <c r="FI30" s="25" t="s">
        <v>120</v>
      </c>
      <c r="FJ30" s="25" t="s">
        <v>122</v>
      </c>
      <c r="FK30" s="25" t="s">
        <v>123</v>
      </c>
      <c r="FL30" s="25" t="s">
        <v>124</v>
      </c>
    </row>
    <row r="31" spans="2:168">
      <c r="B31" s="25">
        <v>1</v>
      </c>
      <c r="C31" s="25">
        <v>-1.088320914277574E-6</v>
      </c>
      <c r="D31" s="25">
        <v>5.1502406131476164E-4</v>
      </c>
      <c r="E31" s="25">
        <v>0</v>
      </c>
      <c r="F31" s="25">
        <v>0</v>
      </c>
      <c r="G31" s="25">
        <v>0</v>
      </c>
      <c r="H31" s="25">
        <v>2.3812852305127308E-5</v>
      </c>
      <c r="L31" s="25">
        <v>1</v>
      </c>
      <c r="M31" s="25">
        <v>-5.3854382713325322E-5</v>
      </c>
      <c r="N31" s="25">
        <v>2.2181090025696903E-4</v>
      </c>
      <c r="O31" s="25">
        <v>0</v>
      </c>
      <c r="P31" s="25">
        <v>0</v>
      </c>
      <c r="Q31" s="25">
        <v>0</v>
      </c>
      <c r="R31" s="25">
        <v>2.0783016225323081E-5</v>
      </c>
      <c r="V31" s="25">
        <v>1</v>
      </c>
      <c r="W31" s="25">
        <v>6.2993972096592188E-4</v>
      </c>
      <c r="X31" s="25">
        <v>-6.5315780375385657E-6</v>
      </c>
      <c r="Y31" s="25">
        <v>0</v>
      </c>
      <c r="Z31" s="25">
        <v>0</v>
      </c>
      <c r="AA31" s="25">
        <v>0</v>
      </c>
      <c r="AB31" s="25">
        <v>3.619053586589871E-6</v>
      </c>
      <c r="AF31" s="25">
        <v>1</v>
      </c>
      <c r="AG31" s="25">
        <v>-6.3258275622501969E-4</v>
      </c>
      <c r="AH31" s="25">
        <v>7.8736620707786642E-6</v>
      </c>
      <c r="AI31" s="25">
        <v>0</v>
      </c>
      <c r="AJ31" s="25">
        <v>0</v>
      </c>
      <c r="AK31" s="25">
        <v>0</v>
      </c>
      <c r="AL31" s="25">
        <v>-3.3959024676732952E-6</v>
      </c>
      <c r="AP31" s="25">
        <v>1</v>
      </c>
      <c r="AQ31" s="25">
        <v>-2.4400219444942195E-7</v>
      </c>
      <c r="AR31" s="25">
        <v>6.1955429373483639E-6</v>
      </c>
      <c r="AS31" s="25">
        <v>0</v>
      </c>
      <c r="AT31" s="25">
        <v>0</v>
      </c>
      <c r="AU31" s="25">
        <v>0</v>
      </c>
      <c r="AV31" s="25">
        <v>6.211126333255379E-7</v>
      </c>
      <c r="AZ31" s="25">
        <v>1</v>
      </c>
      <c r="BA31" s="25">
        <v>-5.468252766149817E-7</v>
      </c>
      <c r="BB31" s="25">
        <v>1.4835873116680887E-5</v>
      </c>
      <c r="BC31" s="25">
        <v>0</v>
      </c>
      <c r="BD31" s="25">
        <v>0</v>
      </c>
      <c r="BE31" s="25">
        <v>0</v>
      </c>
      <c r="BF31" s="25">
        <v>1.4328406905406155E-6</v>
      </c>
      <c r="BJ31" s="25">
        <v>1</v>
      </c>
      <c r="BK31" s="25">
        <v>-1.0328957387173432E-6</v>
      </c>
      <c r="BL31" s="25">
        <v>2.8033015041728504E-5</v>
      </c>
      <c r="BM31" s="25">
        <v>0</v>
      </c>
      <c r="BN31" s="25">
        <v>0</v>
      </c>
      <c r="BO31" s="25">
        <v>0</v>
      </c>
      <c r="BP31" s="25">
        <v>2.7064229470852297E-6</v>
      </c>
      <c r="BT31" s="25">
        <v>1</v>
      </c>
      <c r="BU31" s="25">
        <v>-1.6406855138484389E-5</v>
      </c>
      <c r="BV31" s="25">
        <v>3.8849950215080753E-5</v>
      </c>
      <c r="BW31" s="25">
        <v>0</v>
      </c>
      <c r="BX31" s="25">
        <v>0</v>
      </c>
      <c r="BY31" s="25">
        <v>0</v>
      </c>
      <c r="BZ31" s="25">
        <v>-7.4487309120740974E-7</v>
      </c>
      <c r="CD31" s="25">
        <v>1</v>
      </c>
      <c r="CE31" s="25">
        <v>-4.5757496991427615E-6</v>
      </c>
      <c r="CF31" s="25">
        <v>2.6551506380201317E-5</v>
      </c>
      <c r="CG31" s="25">
        <v>0</v>
      </c>
      <c r="CH31" s="25">
        <v>0</v>
      </c>
      <c r="CI31" s="25">
        <v>0</v>
      </c>
      <c r="CJ31" s="25">
        <v>-1.487241885200774E-8</v>
      </c>
      <c r="CN31" s="25">
        <v>1</v>
      </c>
      <c r="CO31" s="25">
        <v>1.7042515537468717E-5</v>
      </c>
      <c r="CP31" s="25">
        <v>-5.3363041843113024E-6</v>
      </c>
      <c r="CQ31" s="25">
        <v>0</v>
      </c>
      <c r="CR31" s="25">
        <v>0</v>
      </c>
      <c r="CS31" s="25">
        <v>0</v>
      </c>
      <c r="CT31" s="25">
        <v>1.6579141401962261E-6</v>
      </c>
      <c r="CX31" s="25">
        <v>1</v>
      </c>
      <c r="CY31" s="25">
        <v>-1.6406855138484389E-5</v>
      </c>
      <c r="CZ31" s="25">
        <v>3.8849950215080753E-5</v>
      </c>
      <c r="DA31" s="25">
        <v>0</v>
      </c>
      <c r="DB31" s="25">
        <v>0</v>
      </c>
      <c r="DC31" s="25">
        <v>0</v>
      </c>
      <c r="DD31" s="25">
        <v>-7.4487309120740974E-7</v>
      </c>
      <c r="DH31" s="25">
        <v>1</v>
      </c>
      <c r="DI31" s="25">
        <v>-4.5757496991427615E-6</v>
      </c>
      <c r="DJ31" s="25">
        <v>2.6551506380201317E-5</v>
      </c>
      <c r="DK31" s="25">
        <v>0</v>
      </c>
      <c r="DL31" s="25">
        <v>0</v>
      </c>
      <c r="DM31" s="25">
        <v>0</v>
      </c>
      <c r="DN31" s="25">
        <v>-1.487241885200774E-8</v>
      </c>
      <c r="DR31" s="25">
        <v>1</v>
      </c>
      <c r="DS31" s="25">
        <v>1.7042515537468717E-5</v>
      </c>
      <c r="DT31" s="25">
        <v>-5.3363041843113024E-6</v>
      </c>
      <c r="DU31" s="25">
        <v>0</v>
      </c>
      <c r="DV31" s="25">
        <v>0</v>
      </c>
      <c r="DW31" s="25">
        <v>0</v>
      </c>
      <c r="DX31" s="25">
        <v>1.6579141401962261E-6</v>
      </c>
      <c r="EB31" s="25">
        <v>1</v>
      </c>
      <c r="EC31" s="25">
        <v>1.4462323451880366E-4</v>
      </c>
      <c r="ED31" s="25">
        <v>-6.78649530527764E-6</v>
      </c>
      <c r="EE31" s="25">
        <v>0</v>
      </c>
      <c r="EF31" s="25">
        <v>0</v>
      </c>
      <c r="EG31" s="25">
        <v>0</v>
      </c>
      <c r="EH31" s="25">
        <v>1.0287479881299078E-6</v>
      </c>
      <c r="EL31" s="25">
        <v>1</v>
      </c>
      <c r="EM31" s="25">
        <v>7.9038225521799177E-5</v>
      </c>
      <c r="EN31" s="25">
        <v>-3.5441451018414227E-6</v>
      </c>
      <c r="EO31" s="25">
        <v>0</v>
      </c>
      <c r="EP31" s="25">
        <v>0</v>
      </c>
      <c r="EQ31" s="25">
        <v>0</v>
      </c>
      <c r="ER31" s="25">
        <v>5.4575292551817256E-7</v>
      </c>
      <c r="EV31" s="25">
        <v>1</v>
      </c>
      <c r="EW31" s="25">
        <v>1.1344141094014049E-3</v>
      </c>
      <c r="EX31" s="25">
        <v>-4.7441033530049026E-5</v>
      </c>
      <c r="EY31" s="25">
        <v>0</v>
      </c>
      <c r="EZ31" s="25">
        <v>0</v>
      </c>
      <c r="FA31" s="25">
        <v>0</v>
      </c>
      <c r="FB31" s="25">
        <v>7.2316961450269446E-6</v>
      </c>
      <c r="FF31" s="25">
        <v>1</v>
      </c>
      <c r="FG31" s="25">
        <v>2.266737399622798E-3</v>
      </c>
      <c r="FH31" s="25">
        <v>-9.2136360763106495E-5</v>
      </c>
      <c r="FI31" s="25">
        <v>0</v>
      </c>
      <c r="FJ31" s="25">
        <v>0</v>
      </c>
      <c r="FK31" s="25">
        <v>0</v>
      </c>
      <c r="FL31" s="25">
        <v>1.4246641512727365E-5</v>
      </c>
    </row>
    <row r="32" spans="2:168">
      <c r="B32" s="25">
        <v>2</v>
      </c>
      <c r="C32" s="25">
        <v>-1.088320914277574E-6</v>
      </c>
      <c r="D32" s="25">
        <v>5.3764687618240714E-4</v>
      </c>
      <c r="E32" s="25">
        <v>0</v>
      </c>
      <c r="F32" s="25">
        <v>0</v>
      </c>
      <c r="G32" s="25">
        <v>0</v>
      </c>
      <c r="H32" s="25">
        <v>2.3815429813112132E-5</v>
      </c>
      <c r="L32" s="25">
        <v>2</v>
      </c>
      <c r="M32" s="25">
        <v>-5.3854382713325322E-5</v>
      </c>
      <c r="N32" s="25">
        <v>2.4155476421583444E-4</v>
      </c>
      <c r="O32" s="25">
        <v>0</v>
      </c>
      <c r="P32" s="25">
        <v>0</v>
      </c>
      <c r="Q32" s="25">
        <v>0</v>
      </c>
      <c r="R32" s="25">
        <v>2.0783016225323081E-5</v>
      </c>
      <c r="V32" s="25">
        <v>2</v>
      </c>
      <c r="W32" s="25">
        <v>4.87439741846174E-4</v>
      </c>
      <c r="X32" s="25">
        <v>-3.0934772894397611E-6</v>
      </c>
      <c r="Y32" s="25">
        <v>0</v>
      </c>
      <c r="Z32" s="25">
        <v>0</v>
      </c>
      <c r="AA32" s="25">
        <v>0</v>
      </c>
      <c r="AB32" s="25">
        <v>3.619053586589871E-6</v>
      </c>
      <c r="AF32" s="25">
        <v>2</v>
      </c>
      <c r="AG32" s="25">
        <v>-5.375827313400805E-4</v>
      </c>
      <c r="AH32" s="25">
        <v>4.647555215342436E-6</v>
      </c>
      <c r="AI32" s="25">
        <v>0</v>
      </c>
      <c r="AJ32" s="25">
        <v>0</v>
      </c>
      <c r="AK32" s="25">
        <v>0</v>
      </c>
      <c r="AL32" s="25">
        <v>-3.3959024676732952E-6</v>
      </c>
      <c r="AP32" s="25">
        <v>2</v>
      </c>
      <c r="AQ32" s="25">
        <v>-2.4400219444942195E-7</v>
      </c>
      <c r="AR32" s="25">
        <v>6.7855999077437446E-6</v>
      </c>
      <c r="AS32" s="25">
        <v>0</v>
      </c>
      <c r="AT32" s="25">
        <v>0</v>
      </c>
      <c r="AU32" s="25">
        <v>0</v>
      </c>
      <c r="AV32" s="25">
        <v>6.211126333255379E-7</v>
      </c>
      <c r="AZ32" s="25">
        <v>2</v>
      </c>
      <c r="BA32" s="25">
        <v>-5.468252766149817E-7</v>
      </c>
      <c r="BB32" s="25">
        <v>1.6197071090573445E-5</v>
      </c>
      <c r="BC32" s="25">
        <v>0</v>
      </c>
      <c r="BD32" s="25">
        <v>0</v>
      </c>
      <c r="BE32" s="25">
        <v>0</v>
      </c>
      <c r="BF32" s="25">
        <v>1.4328406905406155E-6</v>
      </c>
      <c r="BJ32" s="25">
        <v>2</v>
      </c>
      <c r="BK32" s="25">
        <v>-1.0328957387173432E-6</v>
      </c>
      <c r="BL32" s="25">
        <v>3.0604118364863098E-5</v>
      </c>
      <c r="BM32" s="25">
        <v>0</v>
      </c>
      <c r="BN32" s="25">
        <v>0</v>
      </c>
      <c r="BO32" s="25">
        <v>0</v>
      </c>
      <c r="BP32" s="25">
        <v>2.7064229470852297E-6</v>
      </c>
      <c r="BT32" s="25">
        <v>2</v>
      </c>
      <c r="BU32" s="25">
        <v>-1.6406855138484389E-5</v>
      </c>
      <c r="BV32" s="25">
        <v>3.8142323319334537E-5</v>
      </c>
      <c r="BW32" s="25">
        <v>0</v>
      </c>
      <c r="BX32" s="25">
        <v>0</v>
      </c>
      <c r="BY32" s="25">
        <v>0</v>
      </c>
      <c r="BZ32" s="25">
        <v>-7.4487309120740974E-7</v>
      </c>
      <c r="CD32" s="25">
        <v>2</v>
      </c>
      <c r="CE32" s="25">
        <v>-4.5757496991427615E-6</v>
      </c>
      <c r="CF32" s="25">
        <v>2.6537425583228469E-5</v>
      </c>
      <c r="CG32" s="25">
        <v>0</v>
      </c>
      <c r="CH32" s="25">
        <v>0</v>
      </c>
      <c r="CI32" s="25">
        <v>0</v>
      </c>
      <c r="CJ32" s="25">
        <v>-1.4722739472006197E-8</v>
      </c>
      <c r="CN32" s="25">
        <v>2</v>
      </c>
      <c r="CO32" s="25">
        <v>1.7042515537468717E-5</v>
      </c>
      <c r="CP32" s="25">
        <v>-3.7612858250213321E-6</v>
      </c>
      <c r="CQ32" s="25">
        <v>0</v>
      </c>
      <c r="CR32" s="25">
        <v>0</v>
      </c>
      <c r="CS32" s="25">
        <v>0</v>
      </c>
      <c r="CT32" s="25">
        <v>1.6579141401962261E-6</v>
      </c>
      <c r="CX32" s="25">
        <v>2</v>
      </c>
      <c r="CY32" s="25">
        <v>-1.6406855138484389E-5</v>
      </c>
      <c r="CZ32" s="25">
        <v>3.8142323319334537E-5</v>
      </c>
      <c r="DA32" s="25">
        <v>0</v>
      </c>
      <c r="DB32" s="25">
        <v>0</v>
      </c>
      <c r="DC32" s="25">
        <v>0</v>
      </c>
      <c r="DD32" s="25">
        <v>-7.4487309120740974E-7</v>
      </c>
      <c r="DH32" s="25">
        <v>2</v>
      </c>
      <c r="DI32" s="25">
        <v>-4.5757496991427615E-6</v>
      </c>
      <c r="DJ32" s="25">
        <v>2.6537425583228469E-5</v>
      </c>
      <c r="DK32" s="25">
        <v>0</v>
      </c>
      <c r="DL32" s="25">
        <v>0</v>
      </c>
      <c r="DM32" s="25">
        <v>0</v>
      </c>
      <c r="DN32" s="25">
        <v>-1.4722739472006197E-8</v>
      </c>
      <c r="DR32" s="25">
        <v>2</v>
      </c>
      <c r="DS32" s="25">
        <v>1.7042515537468717E-5</v>
      </c>
      <c r="DT32" s="25">
        <v>-3.7612858250213321E-6</v>
      </c>
      <c r="DU32" s="25">
        <v>0</v>
      </c>
      <c r="DV32" s="25">
        <v>0</v>
      </c>
      <c r="DW32" s="25">
        <v>0</v>
      </c>
      <c r="DX32" s="25">
        <v>1.6579141401962261E-6</v>
      </c>
      <c r="EB32" s="25">
        <v>2</v>
      </c>
      <c r="EC32" s="25">
        <v>1.4462323451880366E-4</v>
      </c>
      <c r="ED32" s="25">
        <v>-5.8091845858143643E-6</v>
      </c>
      <c r="EE32" s="25">
        <v>0</v>
      </c>
      <c r="EF32" s="25">
        <v>0</v>
      </c>
      <c r="EG32" s="25">
        <v>0</v>
      </c>
      <c r="EH32" s="25">
        <v>1.0287479881299078E-6</v>
      </c>
      <c r="EL32" s="25">
        <v>2</v>
      </c>
      <c r="EM32" s="25">
        <v>7.9038225521799177E-5</v>
      </c>
      <c r="EN32" s="25">
        <v>-3.0256796890171245E-6</v>
      </c>
      <c r="EO32" s="25">
        <v>0</v>
      </c>
      <c r="EP32" s="25">
        <v>0</v>
      </c>
      <c r="EQ32" s="25">
        <v>0</v>
      </c>
      <c r="ER32" s="25">
        <v>5.4575292551817256E-7</v>
      </c>
      <c r="EV32" s="25">
        <v>2</v>
      </c>
      <c r="EW32" s="25">
        <v>1.1344141094014049E-3</v>
      </c>
      <c r="EX32" s="25">
        <v>-4.0570921555627137E-5</v>
      </c>
      <c r="EY32" s="25">
        <v>0</v>
      </c>
      <c r="EZ32" s="25">
        <v>0</v>
      </c>
      <c r="FA32" s="25">
        <v>0</v>
      </c>
      <c r="FB32" s="25">
        <v>7.2316961450269446E-6</v>
      </c>
      <c r="FF32" s="25">
        <v>2</v>
      </c>
      <c r="FG32" s="25">
        <v>2.266737399622798E-3</v>
      </c>
      <c r="FH32" s="25">
        <v>-7.8602053690701723E-5</v>
      </c>
      <c r="FI32" s="25">
        <v>0</v>
      </c>
      <c r="FJ32" s="25">
        <v>0</v>
      </c>
      <c r="FK32" s="25">
        <v>0</v>
      </c>
      <c r="FL32" s="25">
        <v>1.4246641512727365E-5</v>
      </c>
    </row>
    <row r="33" spans="2:168">
      <c r="B33" s="25">
        <v>3</v>
      </c>
      <c r="C33" s="25">
        <v>-1.9376454929442843E-6</v>
      </c>
      <c r="D33" s="25">
        <v>6.595838931389153E-4</v>
      </c>
      <c r="E33" s="25">
        <v>0</v>
      </c>
      <c r="F33" s="25">
        <v>0</v>
      </c>
      <c r="G33" s="25">
        <v>0</v>
      </c>
      <c r="H33" s="25">
        <v>6.416375981643796E-6</v>
      </c>
      <c r="L33" s="25">
        <v>3</v>
      </c>
      <c r="M33" s="25">
        <v>-5.4782249208074063E-5</v>
      </c>
      <c r="N33" s="25">
        <v>3.284095146227628E-4</v>
      </c>
      <c r="O33" s="25">
        <v>0</v>
      </c>
      <c r="P33" s="25">
        <v>0</v>
      </c>
      <c r="Q33" s="25">
        <v>0</v>
      </c>
      <c r="R33" s="25">
        <v>9.5826123924780404E-7</v>
      </c>
      <c r="V33" s="25">
        <v>3</v>
      </c>
      <c r="W33" s="25">
        <v>1.1421581439208239E-4</v>
      </c>
      <c r="X33" s="25">
        <v>1.1000162885466125E-5</v>
      </c>
      <c r="Y33" s="25">
        <v>0</v>
      </c>
      <c r="Z33" s="25">
        <v>0</v>
      </c>
      <c r="AA33" s="25">
        <v>0</v>
      </c>
      <c r="AB33" s="25">
        <v>7.6654714575852267E-7</v>
      </c>
      <c r="AF33" s="25">
        <v>3</v>
      </c>
      <c r="AG33" s="25">
        <v>1.7423204553779215E-4</v>
      </c>
      <c r="AH33" s="25">
        <v>-5.8594687288859859E-6</v>
      </c>
      <c r="AI33" s="25">
        <v>0</v>
      </c>
      <c r="AJ33" s="25">
        <v>0</v>
      </c>
      <c r="AK33" s="25">
        <v>0</v>
      </c>
      <c r="AL33" s="25">
        <v>1.2012031902486342E-7</v>
      </c>
      <c r="AP33" s="25">
        <v>3</v>
      </c>
      <c r="AQ33" s="25">
        <v>-2.6691367338571581E-7</v>
      </c>
      <c r="AR33" s="25">
        <v>9.9799099189112894E-6</v>
      </c>
      <c r="AS33" s="25">
        <v>0</v>
      </c>
      <c r="AT33" s="25">
        <v>0</v>
      </c>
      <c r="AU33" s="25">
        <v>0</v>
      </c>
      <c r="AV33" s="25">
        <v>2.1939047201158246E-7</v>
      </c>
      <c r="AZ33" s="25">
        <v>3</v>
      </c>
      <c r="BA33" s="25">
        <v>-5.9962292198179057E-7</v>
      </c>
      <c r="BB33" s="25">
        <v>2.3603812223882414E-5</v>
      </c>
      <c r="BC33" s="25">
        <v>0</v>
      </c>
      <c r="BD33" s="25">
        <v>0</v>
      </c>
      <c r="BE33" s="25">
        <v>0</v>
      </c>
      <c r="BF33" s="25">
        <v>5.11152222770761E-7</v>
      </c>
      <c r="BJ33" s="25">
        <v>3</v>
      </c>
      <c r="BK33" s="25">
        <v>-1.1326227422614465E-6</v>
      </c>
      <c r="BL33" s="25">
        <v>4.4594180508283898E-5</v>
      </c>
      <c r="BM33" s="25">
        <v>0</v>
      </c>
      <c r="BN33" s="25">
        <v>0</v>
      </c>
      <c r="BO33" s="25">
        <v>0</v>
      </c>
      <c r="BP33" s="25">
        <v>9.6547194061713526E-7</v>
      </c>
      <c r="BT33" s="25">
        <v>3</v>
      </c>
      <c r="BU33" s="25">
        <v>-1.64383072842611E-5</v>
      </c>
      <c r="BV33" s="25">
        <v>2.719274561968632E-5</v>
      </c>
      <c r="BW33" s="25">
        <v>0</v>
      </c>
      <c r="BX33" s="25">
        <v>0</v>
      </c>
      <c r="BY33" s="25">
        <v>0</v>
      </c>
      <c r="BZ33" s="25">
        <v>-2.0887237042188644E-6</v>
      </c>
      <c r="CD33" s="25">
        <v>3</v>
      </c>
      <c r="CE33" s="25">
        <v>-4.5913739086245187E-6</v>
      </c>
      <c r="CF33" s="25">
        <v>2.1473179003805853E-5</v>
      </c>
      <c r="CG33" s="25">
        <v>0</v>
      </c>
      <c r="CH33" s="25">
        <v>0</v>
      </c>
      <c r="CI33" s="25">
        <v>0</v>
      </c>
      <c r="CJ33" s="25">
        <v>-1.2978812264918815E-6</v>
      </c>
      <c r="CN33" s="25">
        <v>3</v>
      </c>
      <c r="CO33" s="25">
        <v>1.7043796106008813E-5</v>
      </c>
      <c r="CP33" s="25">
        <v>9.945025340130087E-6</v>
      </c>
      <c r="CQ33" s="25">
        <v>0</v>
      </c>
      <c r="CR33" s="25">
        <v>0</v>
      </c>
      <c r="CS33" s="25">
        <v>0</v>
      </c>
      <c r="CT33" s="25">
        <v>2.1417213247332256E-6</v>
      </c>
      <c r="CX33" s="25">
        <v>3</v>
      </c>
      <c r="CY33" s="25">
        <v>-1.64383072842611E-5</v>
      </c>
      <c r="CZ33" s="25">
        <v>2.719274561968632E-5</v>
      </c>
      <c r="DA33" s="25">
        <v>0</v>
      </c>
      <c r="DB33" s="25">
        <v>0</v>
      </c>
      <c r="DC33" s="25">
        <v>0</v>
      </c>
      <c r="DD33" s="25">
        <v>-2.0887237042188644E-6</v>
      </c>
      <c r="DH33" s="25">
        <v>3</v>
      </c>
      <c r="DI33" s="25">
        <v>-4.5913739086245187E-6</v>
      </c>
      <c r="DJ33" s="25">
        <v>2.1473179003805853E-5</v>
      </c>
      <c r="DK33" s="25">
        <v>0</v>
      </c>
      <c r="DL33" s="25">
        <v>0</v>
      </c>
      <c r="DM33" s="25">
        <v>0</v>
      </c>
      <c r="DN33" s="25">
        <v>-1.2978812264918815E-6</v>
      </c>
      <c r="DR33" s="25">
        <v>3</v>
      </c>
      <c r="DS33" s="25">
        <v>1.7043796106008813E-5</v>
      </c>
      <c r="DT33" s="25">
        <v>9.945025340130087E-6</v>
      </c>
      <c r="DU33" s="25">
        <v>0</v>
      </c>
      <c r="DV33" s="25">
        <v>0</v>
      </c>
      <c r="DW33" s="25">
        <v>0</v>
      </c>
      <c r="DX33" s="25">
        <v>2.1417213247332256E-6</v>
      </c>
      <c r="EB33" s="25">
        <v>3</v>
      </c>
      <c r="EC33" s="25">
        <v>1.4460939564742148E-4</v>
      </c>
      <c r="ED33" s="25">
        <v>-2.6203602487839817E-7</v>
      </c>
      <c r="EE33" s="25">
        <v>0</v>
      </c>
      <c r="EF33" s="25">
        <v>0</v>
      </c>
      <c r="EG33" s="25">
        <v>0</v>
      </c>
      <c r="EH33" s="25">
        <v>6.8658926011266885E-7</v>
      </c>
      <c r="EL33" s="25">
        <v>3</v>
      </c>
      <c r="EM33" s="25">
        <v>7.903102959971875E-5</v>
      </c>
      <c r="EN33" s="25">
        <v>-1.6088340260012046E-7</v>
      </c>
      <c r="EO33" s="25">
        <v>0</v>
      </c>
      <c r="EP33" s="25">
        <v>0</v>
      </c>
      <c r="EQ33" s="25">
        <v>0</v>
      </c>
      <c r="ER33" s="25">
        <v>3.509281896185712E-7</v>
      </c>
      <c r="EV33" s="25">
        <v>3</v>
      </c>
      <c r="EW33" s="25">
        <v>1.1343361111357808E-3</v>
      </c>
      <c r="EX33" s="25">
        <v>-5.0957150961039588E-6</v>
      </c>
      <c r="EY33" s="25">
        <v>0</v>
      </c>
      <c r="EZ33" s="25">
        <v>0</v>
      </c>
      <c r="FA33" s="25">
        <v>0</v>
      </c>
      <c r="FB33" s="25">
        <v>4.233084837323986E-6</v>
      </c>
      <c r="FF33" s="25">
        <v>3</v>
      </c>
      <c r="FG33" s="25">
        <v>2.2665811702609062E-3</v>
      </c>
      <c r="FH33" s="25">
        <v>-9.3317648861557245E-6</v>
      </c>
      <c r="FI33" s="25">
        <v>0</v>
      </c>
      <c r="FJ33" s="25">
        <v>0</v>
      </c>
      <c r="FK33" s="25">
        <v>0</v>
      </c>
      <c r="FL33" s="25">
        <v>8.2383048720657825E-6</v>
      </c>
    </row>
    <row r="34" spans="2:168">
      <c r="B34" s="25">
        <v>4</v>
      </c>
      <c r="C34" s="25">
        <v>-3.0215985589165939E-6</v>
      </c>
      <c r="D34" s="25">
        <v>6.502684555016458E-4</v>
      </c>
      <c r="E34" s="25">
        <v>0</v>
      </c>
      <c r="F34" s="25">
        <v>0</v>
      </c>
      <c r="G34" s="25">
        <v>0</v>
      </c>
      <c r="H34" s="25">
        <v>-7.3034252636716701E-6</v>
      </c>
      <c r="L34" s="25">
        <v>4</v>
      </c>
      <c r="M34" s="25">
        <v>-5.5937449360499159E-5</v>
      </c>
      <c r="N34" s="25">
        <v>2.5118383928202093E-4</v>
      </c>
      <c r="O34" s="25">
        <v>0</v>
      </c>
      <c r="P34" s="25">
        <v>0</v>
      </c>
      <c r="Q34" s="25">
        <v>0</v>
      </c>
      <c r="R34" s="25">
        <v>-1.9915451048291288E-5</v>
      </c>
      <c r="V34" s="25">
        <v>4</v>
      </c>
      <c r="W34" s="25">
        <v>-1.0933931480394676E-4</v>
      </c>
      <c r="X34" s="25">
        <v>9.3354328782879747E-6</v>
      </c>
      <c r="Y34" s="25">
        <v>0</v>
      </c>
      <c r="Z34" s="25">
        <v>0</v>
      </c>
      <c r="AA34" s="25">
        <v>0</v>
      </c>
      <c r="AB34" s="25">
        <v>-1.1723358284143615E-6</v>
      </c>
      <c r="AF34" s="25">
        <v>4</v>
      </c>
      <c r="AG34" s="25">
        <v>1.7470039892941713E-4</v>
      </c>
      <c r="AH34" s="25">
        <v>-2.7803328066511312E-6</v>
      </c>
      <c r="AI34" s="25">
        <v>0</v>
      </c>
      <c r="AJ34" s="25">
        <v>0</v>
      </c>
      <c r="AK34" s="25">
        <v>0</v>
      </c>
      <c r="AL34" s="25">
        <v>8.0525643397777458E-7</v>
      </c>
      <c r="AP34" s="25">
        <v>4</v>
      </c>
      <c r="AQ34" s="25">
        <v>-2.9855570460313174E-7</v>
      </c>
      <c r="AR34" s="25">
        <v>9.9167773441877216E-6</v>
      </c>
      <c r="AS34" s="25">
        <v>0</v>
      </c>
      <c r="AT34" s="25">
        <v>0</v>
      </c>
      <c r="AU34" s="25">
        <v>0</v>
      </c>
      <c r="AV34" s="25">
        <v>-2.317281087016454E-7</v>
      </c>
      <c r="AZ34" s="25">
        <v>4</v>
      </c>
      <c r="BA34" s="25">
        <v>-6.7268314296597964E-7</v>
      </c>
      <c r="BB34" s="25">
        <v>2.3461763703380711E-5</v>
      </c>
      <c r="BC34" s="25">
        <v>0</v>
      </c>
      <c r="BD34" s="25">
        <v>0</v>
      </c>
      <c r="BE34" s="25">
        <v>0</v>
      </c>
      <c r="BF34" s="25">
        <v>-5.3891187690169318E-7</v>
      </c>
      <c r="BJ34" s="25">
        <v>4</v>
      </c>
      <c r="BK34" s="25">
        <v>-1.2706220786640188E-6</v>
      </c>
      <c r="BL34" s="25">
        <v>4.4325868657324463E-5</v>
      </c>
      <c r="BM34" s="25">
        <v>0</v>
      </c>
      <c r="BN34" s="25">
        <v>0</v>
      </c>
      <c r="BO34" s="25">
        <v>0</v>
      </c>
      <c r="BP34" s="25">
        <v>-1.0179069249716122E-6</v>
      </c>
      <c r="BT34" s="25">
        <v>4</v>
      </c>
      <c r="BU34" s="25">
        <v>-1.6453612261102535E-5</v>
      </c>
      <c r="BV34" s="25">
        <v>1.1015903510269709E-5</v>
      </c>
      <c r="BW34" s="25">
        <v>0</v>
      </c>
      <c r="BX34" s="25">
        <v>0</v>
      </c>
      <c r="BY34" s="25">
        <v>0</v>
      </c>
      <c r="BZ34" s="25">
        <v>-2.0413433503563283E-6</v>
      </c>
      <c r="CD34" s="25">
        <v>4</v>
      </c>
      <c r="CE34" s="25">
        <v>-4.5771225813950878E-6</v>
      </c>
      <c r="CF34" s="25">
        <v>1.359923498966964E-5</v>
      </c>
      <c r="CG34" s="25">
        <v>0</v>
      </c>
      <c r="CH34" s="25">
        <v>0</v>
      </c>
      <c r="CI34" s="25">
        <v>0</v>
      </c>
      <c r="CJ34" s="25">
        <v>-6.2141327816789271E-7</v>
      </c>
      <c r="CN34" s="25">
        <v>4</v>
      </c>
      <c r="CO34" s="25">
        <v>1.7029185983119532E-5</v>
      </c>
      <c r="CP34" s="25">
        <v>2.8271142582525499E-5</v>
      </c>
      <c r="CQ34" s="25">
        <v>0</v>
      </c>
      <c r="CR34" s="25">
        <v>0</v>
      </c>
      <c r="CS34" s="25">
        <v>0</v>
      </c>
      <c r="CT34" s="25">
        <v>2.5465196813456714E-6</v>
      </c>
      <c r="CX34" s="25">
        <v>4</v>
      </c>
      <c r="CY34" s="25">
        <v>-1.6453612261102535E-5</v>
      </c>
      <c r="CZ34" s="25">
        <v>1.1015903510269709E-5</v>
      </c>
      <c r="DA34" s="25">
        <v>0</v>
      </c>
      <c r="DB34" s="25">
        <v>0</v>
      </c>
      <c r="DC34" s="25">
        <v>0</v>
      </c>
      <c r="DD34" s="25">
        <v>-2.0413433503563283E-6</v>
      </c>
      <c r="DH34" s="25">
        <v>4</v>
      </c>
      <c r="DI34" s="25">
        <v>-4.5771225813950878E-6</v>
      </c>
      <c r="DJ34" s="25">
        <v>1.359923498966964E-5</v>
      </c>
      <c r="DK34" s="25">
        <v>0</v>
      </c>
      <c r="DL34" s="25">
        <v>0</v>
      </c>
      <c r="DM34" s="25">
        <v>0</v>
      </c>
      <c r="DN34" s="25">
        <v>-6.2141327816789271E-7</v>
      </c>
      <c r="DR34" s="25">
        <v>4</v>
      </c>
      <c r="DS34" s="25">
        <v>1.7029185983119532E-5</v>
      </c>
      <c r="DT34" s="25">
        <v>2.8271142582525499E-5</v>
      </c>
      <c r="DU34" s="25">
        <v>0</v>
      </c>
      <c r="DV34" s="25">
        <v>0</v>
      </c>
      <c r="DW34" s="25">
        <v>0</v>
      </c>
      <c r="DX34" s="25">
        <v>2.5465196813456714E-6</v>
      </c>
      <c r="EB34" s="25">
        <v>4</v>
      </c>
      <c r="EC34" s="25">
        <v>1.4459382509812713E-4</v>
      </c>
      <c r="ED34" s="25">
        <v>2.1123469196027145E-6</v>
      </c>
      <c r="EE34" s="25">
        <v>0</v>
      </c>
      <c r="EF34" s="25">
        <v>0</v>
      </c>
      <c r="EG34" s="25">
        <v>0</v>
      </c>
      <c r="EH34" s="25">
        <v>2.4467169623676455E-7</v>
      </c>
      <c r="EL34" s="25">
        <v>4</v>
      </c>
      <c r="EM34" s="25">
        <v>7.9023520811460912E-5</v>
      </c>
      <c r="EN34" s="25">
        <v>1.0534181456023362E-6</v>
      </c>
      <c r="EO34" s="25">
        <v>0</v>
      </c>
      <c r="EP34" s="25">
        <v>0</v>
      </c>
      <c r="EQ34" s="25">
        <v>0</v>
      </c>
      <c r="ER34" s="25">
        <v>1.3776059404335683E-7</v>
      </c>
      <c r="EV34" s="25">
        <v>4</v>
      </c>
      <c r="EW34" s="25">
        <v>1.1342862853780389E-3</v>
      </c>
      <c r="EX34" s="25">
        <v>1.0373447366873734E-5</v>
      </c>
      <c r="EY34" s="25">
        <v>0</v>
      </c>
      <c r="EZ34" s="25">
        <v>0</v>
      </c>
      <c r="FA34" s="25">
        <v>0</v>
      </c>
      <c r="FB34" s="25">
        <v>2.5159861252177507E-6</v>
      </c>
      <c r="FF34" s="25">
        <v>4</v>
      </c>
      <c r="FG34" s="25">
        <v>2.2664815187454224E-3</v>
      </c>
      <c r="FH34" s="25">
        <v>1.9886059817508794E-5</v>
      </c>
      <c r="FI34" s="25">
        <v>0</v>
      </c>
      <c r="FJ34" s="25">
        <v>0</v>
      </c>
      <c r="FK34" s="25">
        <v>0</v>
      </c>
      <c r="FL34" s="25">
        <v>4.8043525566754397E-6</v>
      </c>
    </row>
    <row r="35" spans="2:168">
      <c r="B35" s="25">
        <v>5</v>
      </c>
      <c r="C35" s="25">
        <v>-3.8569314710912295E-6</v>
      </c>
      <c r="D35" s="25">
        <v>5.3253484657034278E-4</v>
      </c>
      <c r="E35" s="25">
        <v>0</v>
      </c>
      <c r="F35" s="25">
        <v>0</v>
      </c>
      <c r="G35" s="25">
        <v>0</v>
      </c>
      <c r="H35" s="25">
        <v>-2.3912854885566048E-5</v>
      </c>
      <c r="L35" s="25">
        <v>5</v>
      </c>
      <c r="M35" s="25">
        <v>-5.6583005061838776E-5</v>
      </c>
      <c r="N35" s="25">
        <v>8.5527608462143689E-5</v>
      </c>
      <c r="O35" s="25">
        <v>0</v>
      </c>
      <c r="P35" s="25">
        <v>0</v>
      </c>
      <c r="Q35" s="25">
        <v>0</v>
      </c>
      <c r="R35" s="25">
        <v>-2.3808112018741667E-5</v>
      </c>
      <c r="V35" s="25">
        <v>5</v>
      </c>
      <c r="W35" s="25">
        <v>-4.9731653416529298E-4</v>
      </c>
      <c r="X35" s="25">
        <v>-6.5259669099759776E-6</v>
      </c>
      <c r="Y35" s="25">
        <v>0</v>
      </c>
      <c r="Z35" s="25">
        <v>0</v>
      </c>
      <c r="AA35" s="25">
        <v>0</v>
      </c>
      <c r="AB35" s="25">
        <v>-3.7102788610354764E-6</v>
      </c>
      <c r="AF35" s="25">
        <v>5</v>
      </c>
      <c r="AG35" s="25">
        <v>1.7671973910182714E-4</v>
      </c>
      <c r="AH35" s="25">
        <v>3.6529015687847277E-6</v>
      </c>
      <c r="AI35" s="25">
        <v>0</v>
      </c>
      <c r="AJ35" s="25">
        <v>0</v>
      </c>
      <c r="AK35" s="25">
        <v>0</v>
      </c>
      <c r="AL35" s="25">
        <v>1.2846689969592262E-6</v>
      </c>
      <c r="AP35" s="25">
        <v>5</v>
      </c>
      <c r="AQ35" s="25">
        <v>-3.2302455110766459E-7</v>
      </c>
      <c r="AR35" s="25">
        <v>6.2698791225557216E-6</v>
      </c>
      <c r="AS35" s="25">
        <v>0</v>
      </c>
      <c r="AT35" s="25">
        <v>0</v>
      </c>
      <c r="AU35" s="25">
        <v>0</v>
      </c>
      <c r="AV35" s="25">
        <v>-7.2134139372792561E-7</v>
      </c>
      <c r="AZ35" s="25">
        <v>5</v>
      </c>
      <c r="BA35" s="25">
        <v>-7.2898490088846302E-7</v>
      </c>
      <c r="BB35" s="25">
        <v>1.5036699551274069E-5</v>
      </c>
      <c r="BC35" s="25">
        <v>0</v>
      </c>
      <c r="BD35" s="25">
        <v>0</v>
      </c>
      <c r="BE35" s="25">
        <v>0</v>
      </c>
      <c r="BF35" s="25">
        <v>-1.6583553588134237E-6</v>
      </c>
      <c r="BJ35" s="25">
        <v>5</v>
      </c>
      <c r="BK35" s="25">
        <v>-1.3769679299002746E-6</v>
      </c>
      <c r="BL35" s="25">
        <v>2.8412303436198272E-5</v>
      </c>
      <c r="BM35" s="25">
        <v>0</v>
      </c>
      <c r="BN35" s="25">
        <v>0</v>
      </c>
      <c r="BO35" s="25">
        <v>0</v>
      </c>
      <c r="BP35" s="25">
        <v>-3.1323950224759756E-6</v>
      </c>
      <c r="BT35" s="25">
        <v>5</v>
      </c>
      <c r="BU35" s="25">
        <v>-1.6454507203889079E-5</v>
      </c>
      <c r="BV35" s="25">
        <v>-2.4541777747799642E-6</v>
      </c>
      <c r="BW35" s="25">
        <v>0</v>
      </c>
      <c r="BX35" s="25">
        <v>0</v>
      </c>
      <c r="BY35" s="25">
        <v>0</v>
      </c>
      <c r="BZ35" s="25">
        <v>-1.6607189081696561E-6</v>
      </c>
      <c r="CD35" s="25">
        <v>5</v>
      </c>
      <c r="CE35" s="25">
        <v>-4.5569618123408873E-6</v>
      </c>
      <c r="CF35" s="25">
        <v>1.228695509780664E-5</v>
      </c>
      <c r="CG35" s="25">
        <v>0</v>
      </c>
      <c r="CH35" s="25">
        <v>0</v>
      </c>
      <c r="CI35" s="25">
        <v>0</v>
      </c>
      <c r="CJ35" s="25">
        <v>1.149375776776651E-7</v>
      </c>
      <c r="CN35" s="25">
        <v>5</v>
      </c>
      <c r="CO35" s="25">
        <v>1.6984260582830757E-5</v>
      </c>
      <c r="CP35" s="25">
        <v>3.9441911212634295E-5</v>
      </c>
      <c r="CQ35" s="25">
        <v>0</v>
      </c>
      <c r="CR35" s="25">
        <v>0</v>
      </c>
      <c r="CS35" s="25">
        <v>0</v>
      </c>
      <c r="CT35" s="25">
        <v>4.2273583744645293E-7</v>
      </c>
      <c r="CX35" s="25">
        <v>5</v>
      </c>
      <c r="CY35" s="25">
        <v>-1.6454507203889079E-5</v>
      </c>
      <c r="CZ35" s="25">
        <v>-2.4541777747799642E-6</v>
      </c>
      <c r="DA35" s="25">
        <v>0</v>
      </c>
      <c r="DB35" s="25">
        <v>0</v>
      </c>
      <c r="DC35" s="25">
        <v>0</v>
      </c>
      <c r="DD35" s="25">
        <v>-1.6607189081696561E-6</v>
      </c>
      <c r="DH35" s="25">
        <v>5</v>
      </c>
      <c r="DI35" s="25">
        <v>-4.5569618123408873E-6</v>
      </c>
      <c r="DJ35" s="25">
        <v>1.228695509780664E-5</v>
      </c>
      <c r="DK35" s="25">
        <v>0</v>
      </c>
      <c r="DL35" s="25">
        <v>0</v>
      </c>
      <c r="DM35" s="25">
        <v>0</v>
      </c>
      <c r="DN35" s="25">
        <v>1.149375776776651E-7</v>
      </c>
      <c r="DR35" s="25">
        <v>5</v>
      </c>
      <c r="DS35" s="25">
        <v>1.6984260582830757E-5</v>
      </c>
      <c r="DT35" s="25">
        <v>3.9441911212634295E-5</v>
      </c>
      <c r="DU35" s="25">
        <v>0</v>
      </c>
      <c r="DV35" s="25">
        <v>0</v>
      </c>
      <c r="DW35" s="25">
        <v>0</v>
      </c>
      <c r="DX35" s="25">
        <v>4.2273583744645293E-7</v>
      </c>
      <c r="EB35" s="25">
        <v>5</v>
      </c>
      <c r="EC35" s="25">
        <v>1.4459216617979109E-4</v>
      </c>
      <c r="ED35" s="25">
        <v>3.9588735489815008E-6</v>
      </c>
      <c r="EE35" s="25">
        <v>0</v>
      </c>
      <c r="EF35" s="25">
        <v>0</v>
      </c>
      <c r="EG35" s="25">
        <v>0</v>
      </c>
      <c r="EH35" s="25">
        <v>5.8904390698444331E-7</v>
      </c>
      <c r="EL35" s="25">
        <v>5</v>
      </c>
      <c r="EM35" s="25">
        <v>7.9023237049113959E-5</v>
      </c>
      <c r="EN35" s="25">
        <v>2.1331450170691824E-6</v>
      </c>
      <c r="EO35" s="25">
        <v>0</v>
      </c>
      <c r="EP35" s="25">
        <v>0</v>
      </c>
      <c r="EQ35" s="25">
        <v>0</v>
      </c>
      <c r="ER35" s="25">
        <v>3.3365270724061702E-7</v>
      </c>
      <c r="EV35" s="25">
        <v>5</v>
      </c>
      <c r="EW35" s="25">
        <v>1.1343254009261727E-3</v>
      </c>
      <c r="EX35" s="25">
        <v>3.5293189284857363E-5</v>
      </c>
      <c r="EY35" s="25">
        <v>0</v>
      </c>
      <c r="EZ35" s="25">
        <v>0</v>
      </c>
      <c r="FA35" s="25">
        <v>0</v>
      </c>
      <c r="FB35" s="25">
        <v>6.1274918152776081E-6</v>
      </c>
      <c r="FF35" s="25">
        <v>5</v>
      </c>
      <c r="FG35" s="25">
        <v>2.2665599826723337E-3</v>
      </c>
      <c r="FH35" s="25">
        <v>6.8047760578338057E-5</v>
      </c>
      <c r="FI35" s="25">
        <v>0</v>
      </c>
      <c r="FJ35" s="25">
        <v>0</v>
      </c>
      <c r="FK35" s="25">
        <v>0</v>
      </c>
      <c r="FL35" s="25">
        <v>1.2038517525070347E-5</v>
      </c>
    </row>
    <row r="36" spans="2:168">
      <c r="B36" s="25">
        <v>6</v>
      </c>
      <c r="C36" s="25">
        <v>-3.8569314710912295E-6</v>
      </c>
      <c r="D36" s="25">
        <v>5.0981942331418395E-4</v>
      </c>
      <c r="E36" s="25">
        <v>0</v>
      </c>
      <c r="F36" s="25">
        <v>0</v>
      </c>
      <c r="G36" s="25">
        <v>0</v>
      </c>
      <c r="H36" s="25">
        <v>-2.3910277377581224E-5</v>
      </c>
      <c r="L36" s="25">
        <v>6</v>
      </c>
      <c r="M36" s="25">
        <v>-5.6583005061838776E-5</v>
      </c>
      <c r="N36" s="25">
        <v>6.2909901316743344E-5</v>
      </c>
      <c r="O36" s="25">
        <v>0</v>
      </c>
      <c r="P36" s="25">
        <v>0</v>
      </c>
      <c r="Q36" s="25">
        <v>0</v>
      </c>
      <c r="R36" s="25">
        <v>-2.3808112018741667E-5</v>
      </c>
      <c r="V36" s="25">
        <v>6</v>
      </c>
      <c r="W36" s="25">
        <v>-5.0286471378058195E-4</v>
      </c>
      <c r="X36" s="25">
        <v>-1.0050732271338347E-5</v>
      </c>
      <c r="Y36" s="25">
        <v>0</v>
      </c>
      <c r="Z36" s="25">
        <v>0</v>
      </c>
      <c r="AA36" s="25">
        <v>0</v>
      </c>
      <c r="AB36" s="25">
        <v>-3.7102788610354764E-6</v>
      </c>
      <c r="AF36" s="25">
        <v>6</v>
      </c>
      <c r="AG36" s="25">
        <v>1.8041851581074297E-4</v>
      </c>
      <c r="AH36" s="25">
        <v>4.8733368203102145E-6</v>
      </c>
      <c r="AI36" s="25">
        <v>0</v>
      </c>
      <c r="AJ36" s="25">
        <v>0</v>
      </c>
      <c r="AK36" s="25">
        <v>0</v>
      </c>
      <c r="AL36" s="25">
        <v>1.2846689969592262E-6</v>
      </c>
      <c r="AP36" s="25">
        <v>6</v>
      </c>
      <c r="AQ36" s="25">
        <v>-3.2302455110766459E-7</v>
      </c>
      <c r="AR36" s="25">
        <v>5.5846048780949786E-6</v>
      </c>
      <c r="AS36" s="25">
        <v>0</v>
      </c>
      <c r="AT36" s="25">
        <v>0</v>
      </c>
      <c r="AU36" s="25">
        <v>0</v>
      </c>
      <c r="AV36" s="25">
        <v>-7.2134139372792561E-7</v>
      </c>
      <c r="AZ36" s="25">
        <v>6</v>
      </c>
      <c r="BA36" s="25">
        <v>-7.2898490088846302E-7</v>
      </c>
      <c r="BB36" s="25">
        <v>1.3461261914926581E-5</v>
      </c>
      <c r="BC36" s="25">
        <v>0</v>
      </c>
      <c r="BD36" s="25">
        <v>0</v>
      </c>
      <c r="BE36" s="25">
        <v>0</v>
      </c>
      <c r="BF36" s="25">
        <v>-1.6583553588134237E-6</v>
      </c>
      <c r="BJ36" s="25">
        <v>6</v>
      </c>
      <c r="BK36" s="25">
        <v>-1.3769679299002746E-6</v>
      </c>
      <c r="BL36" s="25">
        <v>2.5436529540456831E-5</v>
      </c>
      <c r="BM36" s="25">
        <v>0</v>
      </c>
      <c r="BN36" s="25">
        <v>0</v>
      </c>
      <c r="BO36" s="25">
        <v>0</v>
      </c>
      <c r="BP36" s="25">
        <v>-3.1323950224759756E-6</v>
      </c>
      <c r="BT36" s="25">
        <v>6</v>
      </c>
      <c r="BU36" s="25">
        <v>-1.6454507203889079E-5</v>
      </c>
      <c r="BV36" s="25">
        <v>-4.0318609535461292E-6</v>
      </c>
      <c r="BW36" s="25">
        <v>0</v>
      </c>
      <c r="BX36" s="25">
        <v>0</v>
      </c>
      <c r="BY36" s="25">
        <v>0</v>
      </c>
      <c r="BZ36" s="25">
        <v>-1.6607189081696561E-6</v>
      </c>
      <c r="CD36" s="25">
        <v>6</v>
      </c>
      <c r="CE36" s="25">
        <v>-4.5569618123408873E-6</v>
      </c>
      <c r="CF36" s="25">
        <v>1.2396747479215264E-5</v>
      </c>
      <c r="CG36" s="25">
        <v>0</v>
      </c>
      <c r="CH36" s="25">
        <v>0</v>
      </c>
      <c r="CI36" s="25">
        <v>0</v>
      </c>
      <c r="CJ36" s="25">
        <v>1.1588724646571791E-7</v>
      </c>
      <c r="CN36" s="25">
        <v>6</v>
      </c>
      <c r="CO36" s="25">
        <v>1.6984260582830757E-5</v>
      </c>
      <c r="CP36" s="25">
        <v>3.9843511331127957E-5</v>
      </c>
      <c r="CQ36" s="25">
        <v>0</v>
      </c>
      <c r="CR36" s="25">
        <v>0</v>
      </c>
      <c r="CS36" s="25">
        <v>0</v>
      </c>
      <c r="CT36" s="25">
        <v>4.2273583744645293E-7</v>
      </c>
      <c r="CX36" s="25">
        <v>6</v>
      </c>
      <c r="CY36" s="25">
        <v>-1.6454507203889079E-5</v>
      </c>
      <c r="CZ36" s="25">
        <v>-4.0318609535461292E-6</v>
      </c>
      <c r="DA36" s="25">
        <v>0</v>
      </c>
      <c r="DB36" s="25">
        <v>0</v>
      </c>
      <c r="DC36" s="25">
        <v>0</v>
      </c>
      <c r="DD36" s="25">
        <v>-1.6607189081696561E-6</v>
      </c>
      <c r="DH36" s="25">
        <v>6</v>
      </c>
      <c r="DI36" s="25">
        <v>-4.5569618123408873E-6</v>
      </c>
      <c r="DJ36" s="25">
        <v>1.2396747479215264E-5</v>
      </c>
      <c r="DK36" s="25">
        <v>0</v>
      </c>
      <c r="DL36" s="25">
        <v>0</v>
      </c>
      <c r="DM36" s="25">
        <v>0</v>
      </c>
      <c r="DN36" s="25">
        <v>1.1588724646571791E-7</v>
      </c>
      <c r="DR36" s="25">
        <v>6</v>
      </c>
      <c r="DS36" s="25">
        <v>1.6984260582830757E-5</v>
      </c>
      <c r="DT36" s="25">
        <v>3.9843511331127957E-5</v>
      </c>
      <c r="DU36" s="25">
        <v>0</v>
      </c>
      <c r="DV36" s="25">
        <v>0</v>
      </c>
      <c r="DW36" s="25">
        <v>0</v>
      </c>
      <c r="DX36" s="25">
        <v>4.2273583744645293E-7</v>
      </c>
      <c r="EB36" s="25">
        <v>6</v>
      </c>
      <c r="EC36" s="25">
        <v>1.4459216617979109E-4</v>
      </c>
      <c r="ED36" s="25">
        <v>4.5184651753515936E-6</v>
      </c>
      <c r="EE36" s="25">
        <v>0</v>
      </c>
      <c r="EF36" s="25">
        <v>0</v>
      </c>
      <c r="EG36" s="25">
        <v>0</v>
      </c>
      <c r="EH36" s="25">
        <v>5.8904390698444331E-7</v>
      </c>
      <c r="EL36" s="25">
        <v>6</v>
      </c>
      <c r="EM36" s="25">
        <v>7.9023237049113959E-5</v>
      </c>
      <c r="EN36" s="25">
        <v>2.4501150619471446E-6</v>
      </c>
      <c r="EO36" s="25">
        <v>0</v>
      </c>
      <c r="EP36" s="25">
        <v>0</v>
      </c>
      <c r="EQ36" s="25">
        <v>0</v>
      </c>
      <c r="ER36" s="25">
        <v>3.3365270724061702E-7</v>
      </c>
      <c r="EV36" s="25">
        <v>6</v>
      </c>
      <c r="EW36" s="25">
        <v>1.1343254009261727E-3</v>
      </c>
      <c r="EX36" s="25">
        <v>4.1114308260148391E-5</v>
      </c>
      <c r="EY36" s="25">
        <v>0</v>
      </c>
      <c r="EZ36" s="25">
        <v>0</v>
      </c>
      <c r="FA36" s="25">
        <v>0</v>
      </c>
      <c r="FB36" s="25">
        <v>6.1274918152776081E-6</v>
      </c>
      <c r="FF36" s="25">
        <v>6</v>
      </c>
      <c r="FG36" s="25">
        <v>2.2665599826723337E-3</v>
      </c>
      <c r="FH36" s="25">
        <v>7.9484350862912834E-5</v>
      </c>
      <c r="FI36" s="25">
        <v>0</v>
      </c>
      <c r="FJ36" s="25">
        <v>0</v>
      </c>
      <c r="FK36" s="25">
        <v>0</v>
      </c>
      <c r="FL36" s="25">
        <v>1.2038517525070347E-5</v>
      </c>
    </row>
    <row r="37" spans="2:168">
      <c r="B37" s="25">
        <v>7</v>
      </c>
      <c r="C37" s="25">
        <v>-3.7389341741800308E-5</v>
      </c>
      <c r="D37" s="25">
        <v>5.3738418500870466E-4</v>
      </c>
      <c r="E37" s="25">
        <v>0</v>
      </c>
      <c r="F37" s="25">
        <v>0</v>
      </c>
      <c r="G37" s="25">
        <v>0</v>
      </c>
      <c r="H37" s="25">
        <v>2.3792956199031323E-5</v>
      </c>
      <c r="L37" s="25">
        <v>7</v>
      </c>
      <c r="M37" s="25">
        <v>-8.5530125943478197E-5</v>
      </c>
      <c r="N37" s="25">
        <v>2.413991023786366E-4</v>
      </c>
      <c r="O37" s="25">
        <v>0</v>
      </c>
      <c r="P37" s="25">
        <v>0</v>
      </c>
      <c r="Q37" s="25">
        <v>0</v>
      </c>
      <c r="R37" s="25">
        <v>2.0759478502441198E-5</v>
      </c>
      <c r="V37" s="25">
        <v>7</v>
      </c>
      <c r="W37" s="25">
        <v>4.8189499648287892E-4</v>
      </c>
      <c r="X37" s="25">
        <v>-3.0914836770534748E-6</v>
      </c>
      <c r="Y37" s="25">
        <v>0</v>
      </c>
      <c r="Z37" s="25">
        <v>0</v>
      </c>
      <c r="AA37" s="25">
        <v>0</v>
      </c>
      <c r="AB37" s="25">
        <v>3.6518124488793546E-6</v>
      </c>
      <c r="AF37" s="25">
        <v>7</v>
      </c>
      <c r="AG37" s="25">
        <v>-5.3237524116411805E-4</v>
      </c>
      <c r="AH37" s="25">
        <v>4.6445602492894977E-6</v>
      </c>
      <c r="AI37" s="25">
        <v>0</v>
      </c>
      <c r="AJ37" s="25">
        <v>0</v>
      </c>
      <c r="AK37" s="25">
        <v>0</v>
      </c>
      <c r="AL37" s="25">
        <v>-3.4325910291954642E-6</v>
      </c>
      <c r="AP37" s="25">
        <v>7</v>
      </c>
      <c r="AQ37" s="25">
        <v>-1.1907297903235303E-6</v>
      </c>
      <c r="AR37" s="25">
        <v>6.7812270572176203E-6</v>
      </c>
      <c r="AS37" s="25">
        <v>0</v>
      </c>
      <c r="AT37" s="25">
        <v>0</v>
      </c>
      <c r="AU37" s="25">
        <v>0</v>
      </c>
      <c r="AV37" s="25">
        <v>6.2051049098954536E-7</v>
      </c>
      <c r="AZ37" s="25">
        <v>7</v>
      </c>
      <c r="BA37" s="25">
        <v>-2.7308258268021746E-6</v>
      </c>
      <c r="BB37" s="25">
        <v>1.6186633729375899E-5</v>
      </c>
      <c r="BC37" s="25">
        <v>0</v>
      </c>
      <c r="BD37" s="25">
        <v>0</v>
      </c>
      <c r="BE37" s="25">
        <v>0</v>
      </c>
      <c r="BF37" s="25">
        <v>1.43145280162571E-6</v>
      </c>
      <c r="BJ37" s="25">
        <v>7</v>
      </c>
      <c r="BK37" s="25">
        <v>-5.1581482694018632E-6</v>
      </c>
      <c r="BL37" s="25">
        <v>3.0584396881749853E-5</v>
      </c>
      <c r="BM37" s="25">
        <v>0</v>
      </c>
      <c r="BN37" s="25">
        <v>0</v>
      </c>
      <c r="BO37" s="25">
        <v>0</v>
      </c>
      <c r="BP37" s="25">
        <v>2.7038013286073692E-6</v>
      </c>
      <c r="BT37" s="25">
        <v>7</v>
      </c>
      <c r="BU37" s="25">
        <v>-1.527051608718466E-5</v>
      </c>
      <c r="BV37" s="25">
        <v>3.8117741496535018E-5</v>
      </c>
      <c r="BW37" s="25">
        <v>0</v>
      </c>
      <c r="BX37" s="25">
        <v>0</v>
      </c>
      <c r="BY37" s="25">
        <v>0</v>
      </c>
      <c r="BZ37" s="25">
        <v>-7.4538985472827335E-7</v>
      </c>
      <c r="CD37" s="25">
        <v>7</v>
      </c>
      <c r="CE37" s="25">
        <v>-4.5530427996709477E-6</v>
      </c>
      <c r="CF37" s="25">
        <v>2.6520323444856331E-5</v>
      </c>
      <c r="CG37" s="25">
        <v>0</v>
      </c>
      <c r="CH37" s="25">
        <v>0</v>
      </c>
      <c r="CI37" s="25">
        <v>0</v>
      </c>
      <c r="CJ37" s="25">
        <v>-1.5048359003344558E-8</v>
      </c>
      <c r="CN37" s="25">
        <v>7</v>
      </c>
      <c r="CO37" s="25">
        <v>1.4514421309286263E-5</v>
      </c>
      <c r="CP37" s="25">
        <v>-3.7588620216411073E-6</v>
      </c>
      <c r="CQ37" s="25">
        <v>0</v>
      </c>
      <c r="CR37" s="25">
        <v>0</v>
      </c>
      <c r="CS37" s="25">
        <v>0</v>
      </c>
      <c r="CT37" s="25">
        <v>1.6576195775996894E-6</v>
      </c>
      <c r="CX37" s="25">
        <v>7</v>
      </c>
      <c r="CY37" s="25">
        <v>-1.527051608718466E-5</v>
      </c>
      <c r="CZ37" s="25">
        <v>3.8117741496535018E-5</v>
      </c>
      <c r="DA37" s="25">
        <v>0</v>
      </c>
      <c r="DB37" s="25">
        <v>0</v>
      </c>
      <c r="DC37" s="25">
        <v>0</v>
      </c>
      <c r="DD37" s="25">
        <v>-7.4538985472827335E-7</v>
      </c>
      <c r="DH37" s="25">
        <v>7</v>
      </c>
      <c r="DI37" s="25">
        <v>-4.5530427996709477E-6</v>
      </c>
      <c r="DJ37" s="25">
        <v>2.6520323444856331E-5</v>
      </c>
      <c r="DK37" s="25">
        <v>0</v>
      </c>
      <c r="DL37" s="25">
        <v>0</v>
      </c>
      <c r="DM37" s="25">
        <v>0</v>
      </c>
      <c r="DN37" s="25">
        <v>-1.5048359003344558E-8</v>
      </c>
      <c r="DR37" s="25">
        <v>7</v>
      </c>
      <c r="DS37" s="25">
        <v>1.4514421309286263E-5</v>
      </c>
      <c r="DT37" s="25">
        <v>-3.7588620216411073E-6</v>
      </c>
      <c r="DU37" s="25">
        <v>0</v>
      </c>
      <c r="DV37" s="25">
        <v>0</v>
      </c>
      <c r="DW37" s="25">
        <v>0</v>
      </c>
      <c r="DX37" s="25">
        <v>1.6576195775996894E-6</v>
      </c>
      <c r="EB37" s="25">
        <v>7</v>
      </c>
      <c r="EC37" s="25">
        <v>1.430467382306233E-4</v>
      </c>
      <c r="ED37" s="25">
        <v>-5.8054411056218669E-6</v>
      </c>
      <c r="EE37" s="25">
        <v>0</v>
      </c>
      <c r="EF37" s="25">
        <v>0</v>
      </c>
      <c r="EG37" s="25">
        <v>0</v>
      </c>
      <c r="EH37" s="25">
        <v>1.038509822137712E-6</v>
      </c>
      <c r="EL37" s="25">
        <v>7</v>
      </c>
      <c r="EM37" s="25">
        <v>7.8201759606599808E-5</v>
      </c>
      <c r="EN37" s="25">
        <v>-3.0237299597501988E-6</v>
      </c>
      <c r="EO37" s="25">
        <v>0</v>
      </c>
      <c r="EP37" s="25">
        <v>0</v>
      </c>
      <c r="EQ37" s="25">
        <v>0</v>
      </c>
      <c r="ER37" s="25">
        <v>5.5110342600528384E-7</v>
      </c>
      <c r="EV37" s="25">
        <v>7</v>
      </c>
      <c r="EW37" s="25">
        <v>1.123325084336102E-3</v>
      </c>
      <c r="EX37" s="25">
        <v>-4.0544779039919376E-5</v>
      </c>
      <c r="EY37" s="25">
        <v>0</v>
      </c>
      <c r="EZ37" s="25">
        <v>0</v>
      </c>
      <c r="FA37" s="25">
        <v>0</v>
      </c>
      <c r="FB37" s="25">
        <v>7.3090554906229954E-6</v>
      </c>
      <c r="FF37" s="25">
        <v>7</v>
      </c>
      <c r="FG37" s="25">
        <v>2.2448899690061808E-3</v>
      </c>
      <c r="FH37" s="25">
        <v>-7.8551398473791778E-5</v>
      </c>
      <c r="FI37" s="25">
        <v>0</v>
      </c>
      <c r="FJ37" s="25">
        <v>0</v>
      </c>
      <c r="FK37" s="25">
        <v>0</v>
      </c>
      <c r="FL37" s="25">
        <v>1.4401408407138661E-5</v>
      </c>
    </row>
    <row r="38" spans="2:168">
      <c r="B38" s="25">
        <v>8</v>
      </c>
      <c r="C38" s="25">
        <v>-1.1717805136868265E-5</v>
      </c>
      <c r="D38" s="25">
        <v>6.5924262162297964E-4</v>
      </c>
      <c r="E38" s="25">
        <v>0</v>
      </c>
      <c r="F38" s="25">
        <v>0</v>
      </c>
      <c r="G38" s="25">
        <v>0</v>
      </c>
      <c r="H38" s="25">
        <v>6.4101986936293542E-6</v>
      </c>
      <c r="L38" s="25">
        <v>8</v>
      </c>
      <c r="M38" s="25">
        <v>-5.6239710829686373E-5</v>
      </c>
      <c r="N38" s="25">
        <v>3.2819790067151189E-4</v>
      </c>
      <c r="O38" s="25">
        <v>0</v>
      </c>
      <c r="P38" s="25">
        <v>0</v>
      </c>
      <c r="Q38" s="25">
        <v>0</v>
      </c>
      <c r="R38" s="25">
        <v>9.5329602345373132E-7</v>
      </c>
      <c r="V38" s="25">
        <v>8</v>
      </c>
      <c r="W38" s="25">
        <v>1.1304075451334938E-4</v>
      </c>
      <c r="X38" s="25">
        <v>1.0993074283760507E-5</v>
      </c>
      <c r="Y38" s="25">
        <v>0</v>
      </c>
      <c r="Z38" s="25">
        <v>0</v>
      </c>
      <c r="AA38" s="25">
        <v>0</v>
      </c>
      <c r="AB38" s="25">
        <v>7.7429973543985398E-7</v>
      </c>
      <c r="AF38" s="25">
        <v>8</v>
      </c>
      <c r="AG38" s="25">
        <v>1.7403882520738989E-4</v>
      </c>
      <c r="AH38" s="25">
        <v>-5.8556925068842247E-6</v>
      </c>
      <c r="AI38" s="25">
        <v>0</v>
      </c>
      <c r="AJ38" s="25">
        <v>0</v>
      </c>
      <c r="AK38" s="25">
        <v>0</v>
      </c>
      <c r="AL38" s="25">
        <v>1.3293322354002157E-7</v>
      </c>
      <c r="AP38" s="25">
        <v>8</v>
      </c>
      <c r="AQ38" s="25">
        <v>-6.013079314470815E-7</v>
      </c>
      <c r="AR38" s="25">
        <v>9.973478881875053E-6</v>
      </c>
      <c r="AS38" s="25">
        <v>0</v>
      </c>
      <c r="AT38" s="25">
        <v>0</v>
      </c>
      <c r="AU38" s="25">
        <v>0</v>
      </c>
      <c r="AV38" s="25">
        <v>2.191643773130636E-7</v>
      </c>
      <c r="AZ38" s="25">
        <v>8</v>
      </c>
      <c r="BA38" s="25">
        <v>-1.3787207535642665E-6</v>
      </c>
      <c r="BB38" s="25">
        <v>2.3588601834489964E-5</v>
      </c>
      <c r="BC38" s="25">
        <v>0</v>
      </c>
      <c r="BD38" s="25">
        <v>0</v>
      </c>
      <c r="BE38" s="25">
        <v>0</v>
      </c>
      <c r="BF38" s="25">
        <v>5.1062704642390599E-7</v>
      </c>
      <c r="BJ38" s="25">
        <v>8</v>
      </c>
      <c r="BK38" s="25">
        <v>-2.6041943783638999E-6</v>
      </c>
      <c r="BL38" s="25">
        <v>4.4565444113686681E-5</v>
      </c>
      <c r="BM38" s="25">
        <v>0</v>
      </c>
      <c r="BN38" s="25">
        <v>0</v>
      </c>
      <c r="BO38" s="25">
        <v>0</v>
      </c>
      <c r="BP38" s="25">
        <v>9.6448013664485188E-7</v>
      </c>
      <c r="BT38" s="25">
        <v>8</v>
      </c>
      <c r="BU38" s="25">
        <v>-1.3253577890282031E-5</v>
      </c>
      <c r="BV38" s="25">
        <v>2.7175223294761963E-5</v>
      </c>
      <c r="BW38" s="25">
        <v>0</v>
      </c>
      <c r="BX38" s="25">
        <v>0</v>
      </c>
      <c r="BY38" s="25">
        <v>0</v>
      </c>
      <c r="BZ38" s="25">
        <v>-2.0879790554317879E-6</v>
      </c>
      <c r="CD38" s="25">
        <v>8</v>
      </c>
      <c r="CE38" s="25">
        <v>-2.6127888759219786E-6</v>
      </c>
      <c r="CF38" s="25">
        <v>2.145934195141308E-5</v>
      </c>
      <c r="CG38" s="25">
        <v>0</v>
      </c>
      <c r="CH38" s="25">
        <v>0</v>
      </c>
      <c r="CI38" s="25">
        <v>0</v>
      </c>
      <c r="CJ38" s="25">
        <v>-1.2970014040547539E-6</v>
      </c>
      <c r="CN38" s="25">
        <v>8</v>
      </c>
      <c r="CO38" s="25">
        <v>1.3778249922324903E-5</v>
      </c>
      <c r="CP38" s="25">
        <v>9.9386170404613949E-6</v>
      </c>
      <c r="CQ38" s="25">
        <v>0</v>
      </c>
      <c r="CR38" s="25">
        <v>0</v>
      </c>
      <c r="CS38" s="25">
        <v>0</v>
      </c>
      <c r="CT38" s="25">
        <v>2.1409719010989647E-6</v>
      </c>
      <c r="CX38" s="25">
        <v>8</v>
      </c>
      <c r="CY38" s="25">
        <v>-1.3253577890282031E-5</v>
      </c>
      <c r="CZ38" s="25">
        <v>2.7175223294761963E-5</v>
      </c>
      <c r="DA38" s="25">
        <v>0</v>
      </c>
      <c r="DB38" s="25">
        <v>0</v>
      </c>
      <c r="DC38" s="25">
        <v>0</v>
      </c>
      <c r="DD38" s="25">
        <v>-2.0879790554317879E-6</v>
      </c>
      <c r="DH38" s="25">
        <v>8</v>
      </c>
      <c r="DI38" s="25">
        <v>-2.6127888759219786E-6</v>
      </c>
      <c r="DJ38" s="25">
        <v>2.145934195141308E-5</v>
      </c>
      <c r="DK38" s="25">
        <v>0</v>
      </c>
      <c r="DL38" s="25">
        <v>0</v>
      </c>
      <c r="DM38" s="25">
        <v>0</v>
      </c>
      <c r="DN38" s="25">
        <v>-1.2970014040547539E-6</v>
      </c>
      <c r="DR38" s="25">
        <v>8</v>
      </c>
      <c r="DS38" s="25">
        <v>1.3778249922324903E-5</v>
      </c>
      <c r="DT38" s="25">
        <v>9.9386170404613949E-6</v>
      </c>
      <c r="DU38" s="25">
        <v>0</v>
      </c>
      <c r="DV38" s="25">
        <v>0</v>
      </c>
      <c r="DW38" s="25">
        <v>0</v>
      </c>
      <c r="DX38" s="25">
        <v>2.1409719010989647E-6</v>
      </c>
      <c r="EB38" s="25">
        <v>8</v>
      </c>
      <c r="EC38" s="25">
        <v>1.435544400010258E-4</v>
      </c>
      <c r="ED38" s="25">
        <v>-2.6186717150267214E-7</v>
      </c>
      <c r="EE38" s="25">
        <v>0</v>
      </c>
      <c r="EF38" s="25">
        <v>0</v>
      </c>
      <c r="EG38" s="25">
        <v>0</v>
      </c>
      <c r="EH38" s="25">
        <v>6.9667186153310467E-7</v>
      </c>
      <c r="EL38" s="25">
        <v>8</v>
      </c>
      <c r="EM38" s="25">
        <v>7.8491524618584663E-5</v>
      </c>
      <c r="EN38" s="25">
        <v>-1.6077973441497306E-7</v>
      </c>
      <c r="EO38" s="25">
        <v>0</v>
      </c>
      <c r="EP38" s="25">
        <v>0</v>
      </c>
      <c r="EQ38" s="25">
        <v>0</v>
      </c>
      <c r="ER38" s="25">
        <v>3.5646132801048225E-7</v>
      </c>
      <c r="EV38" s="25">
        <v>8</v>
      </c>
      <c r="EW38" s="25">
        <v>1.1278177844360471E-3</v>
      </c>
      <c r="EX38" s="25">
        <v>-5.0924313654832076E-6</v>
      </c>
      <c r="EY38" s="25">
        <v>0</v>
      </c>
      <c r="EZ38" s="25">
        <v>0</v>
      </c>
      <c r="FA38" s="25">
        <v>0</v>
      </c>
      <c r="FB38" s="25">
        <v>4.3132581595273223E-6</v>
      </c>
      <c r="FF38" s="25">
        <v>8</v>
      </c>
      <c r="FG38" s="25">
        <v>2.2538919001817703E-3</v>
      </c>
      <c r="FH38" s="25">
        <v>-9.3257513071876019E-6</v>
      </c>
      <c r="FI38" s="25">
        <v>0</v>
      </c>
      <c r="FJ38" s="25">
        <v>0</v>
      </c>
      <c r="FK38" s="25">
        <v>0</v>
      </c>
      <c r="FL38" s="25">
        <v>8.3987106336280704E-6</v>
      </c>
    </row>
    <row r="39" spans="2:168">
      <c r="B39" s="25">
        <v>9</v>
      </c>
      <c r="C39" s="25">
        <v>8.110950147965923E-6</v>
      </c>
      <c r="D39" s="25">
        <v>6.4993317937478423E-4</v>
      </c>
      <c r="E39" s="25">
        <v>0</v>
      </c>
      <c r="F39" s="25">
        <v>0</v>
      </c>
      <c r="G39" s="25">
        <v>0</v>
      </c>
      <c r="H39" s="25">
        <v>-7.2967818596225698E-6</v>
      </c>
      <c r="L39" s="25">
        <v>9</v>
      </c>
      <c r="M39" s="25">
        <v>-2.5577723135938868E-5</v>
      </c>
      <c r="N39" s="25">
        <v>2.5102196377702057E-4</v>
      </c>
      <c r="O39" s="25">
        <v>0</v>
      </c>
      <c r="P39" s="25">
        <v>0</v>
      </c>
      <c r="Q39" s="25">
        <v>0</v>
      </c>
      <c r="R39" s="25">
        <v>-1.9900873667211272E-5</v>
      </c>
      <c r="V39" s="25">
        <v>9</v>
      </c>
      <c r="W39" s="25">
        <v>-1.0754600953077897E-4</v>
      </c>
      <c r="X39" s="25">
        <v>9.3294165708357468E-6</v>
      </c>
      <c r="Y39" s="25">
        <v>0</v>
      </c>
      <c r="Z39" s="25">
        <v>0</v>
      </c>
      <c r="AA39" s="25">
        <v>0</v>
      </c>
      <c r="AB39" s="25">
        <v>-1.17934507670725E-6</v>
      </c>
      <c r="AF39" s="25">
        <v>9</v>
      </c>
      <c r="AG39" s="25">
        <v>1.7346281674690545E-4</v>
      </c>
      <c r="AH39" s="25">
        <v>-2.7785411020886386E-6</v>
      </c>
      <c r="AI39" s="25">
        <v>0</v>
      </c>
      <c r="AJ39" s="25">
        <v>0</v>
      </c>
      <c r="AK39" s="25">
        <v>0</v>
      </c>
      <c r="AL39" s="25">
        <v>8.1745980651248829E-7</v>
      </c>
      <c r="AP39" s="25">
        <v>9</v>
      </c>
      <c r="AQ39" s="25">
        <v>5.4677272487424489E-8</v>
      </c>
      <c r="AR39" s="25">
        <v>9.9103863249183632E-6</v>
      </c>
      <c r="AS39" s="25">
        <v>0</v>
      </c>
      <c r="AT39" s="25">
        <v>0</v>
      </c>
      <c r="AU39" s="25">
        <v>0</v>
      </c>
      <c r="AV39" s="25">
        <v>-2.315323683887982E-7</v>
      </c>
      <c r="AZ39" s="25">
        <v>9</v>
      </c>
      <c r="BA39" s="25">
        <v>1.488017886686066E-7</v>
      </c>
      <c r="BB39" s="25">
        <v>2.3446644263458438E-5</v>
      </c>
      <c r="BC39" s="25">
        <v>0</v>
      </c>
      <c r="BD39" s="25">
        <v>0</v>
      </c>
      <c r="BE39" s="25">
        <v>0</v>
      </c>
      <c r="BF39" s="25">
        <v>-5.3845502634430886E-7</v>
      </c>
      <c r="BJ39" s="25">
        <v>9</v>
      </c>
      <c r="BK39" s="25">
        <v>2.8101413818149013E-7</v>
      </c>
      <c r="BL39" s="25">
        <v>4.4297303247731179E-5</v>
      </c>
      <c r="BM39" s="25">
        <v>0</v>
      </c>
      <c r="BN39" s="25">
        <v>0</v>
      </c>
      <c r="BO39" s="25">
        <v>0</v>
      </c>
      <c r="BP39" s="25">
        <v>-1.0170440418733051E-6</v>
      </c>
      <c r="BT39" s="25">
        <v>9</v>
      </c>
      <c r="BU39" s="25">
        <v>-1.3341102203412447E-5</v>
      </c>
      <c r="BV39" s="25">
        <v>1.1008804904122371E-5</v>
      </c>
      <c r="BW39" s="25">
        <v>0</v>
      </c>
      <c r="BX39" s="25">
        <v>0</v>
      </c>
      <c r="BY39" s="25">
        <v>0</v>
      </c>
      <c r="BZ39" s="25">
        <v>-2.0406446310516912E-6</v>
      </c>
      <c r="CD39" s="25">
        <v>9</v>
      </c>
      <c r="CE39" s="25">
        <v>-3.6296567031968152E-6</v>
      </c>
      <c r="CF39" s="25">
        <v>1.3590471098723356E-5</v>
      </c>
      <c r="CG39" s="25">
        <v>0</v>
      </c>
      <c r="CH39" s="25">
        <v>0</v>
      </c>
      <c r="CI39" s="25">
        <v>0</v>
      </c>
      <c r="CJ39" s="25">
        <v>-6.2116851040627807E-7</v>
      </c>
      <c r="CN39" s="25">
        <v>9</v>
      </c>
      <c r="CO39" s="25">
        <v>1.3146618584869429E-5</v>
      </c>
      <c r="CP39" s="25">
        <v>2.8252925403648987E-5</v>
      </c>
      <c r="CQ39" s="25">
        <v>0</v>
      </c>
      <c r="CR39" s="25">
        <v>0</v>
      </c>
      <c r="CS39" s="25">
        <v>0</v>
      </c>
      <c r="CT39" s="25">
        <v>2.5453884973103413E-6</v>
      </c>
      <c r="CX39" s="25">
        <v>9</v>
      </c>
      <c r="CY39" s="25">
        <v>-1.3341102203412447E-5</v>
      </c>
      <c r="CZ39" s="25">
        <v>1.1008804904122371E-5</v>
      </c>
      <c r="DA39" s="25">
        <v>0</v>
      </c>
      <c r="DB39" s="25">
        <v>0</v>
      </c>
      <c r="DC39" s="25">
        <v>0</v>
      </c>
      <c r="DD39" s="25">
        <v>-2.0406446310516912E-6</v>
      </c>
      <c r="DH39" s="25">
        <v>9</v>
      </c>
      <c r="DI39" s="25">
        <v>-3.6296567031968152E-6</v>
      </c>
      <c r="DJ39" s="25">
        <v>1.3590471098723356E-5</v>
      </c>
      <c r="DK39" s="25">
        <v>0</v>
      </c>
      <c r="DL39" s="25">
        <v>0</v>
      </c>
      <c r="DM39" s="25">
        <v>0</v>
      </c>
      <c r="DN39" s="25">
        <v>-6.2116851040627807E-7</v>
      </c>
      <c r="DR39" s="25">
        <v>9</v>
      </c>
      <c r="DS39" s="25">
        <v>1.3146618584869429E-5</v>
      </c>
      <c r="DT39" s="25">
        <v>2.8252925403648987E-5</v>
      </c>
      <c r="DU39" s="25">
        <v>0</v>
      </c>
      <c r="DV39" s="25">
        <v>0</v>
      </c>
      <c r="DW39" s="25">
        <v>0</v>
      </c>
      <c r="DX39" s="25">
        <v>2.5453884973103413E-6</v>
      </c>
      <c r="EB39" s="25">
        <v>9</v>
      </c>
      <c r="EC39" s="25">
        <v>1.4421247760765254E-4</v>
      </c>
      <c r="ED39" s="25">
        <v>2.1109858607815113E-6</v>
      </c>
      <c r="EE39" s="25">
        <v>0</v>
      </c>
      <c r="EF39" s="25">
        <v>0</v>
      </c>
      <c r="EG39" s="25">
        <v>0</v>
      </c>
      <c r="EH39" s="25">
        <v>2.5516868618069566E-7</v>
      </c>
      <c r="EL39" s="25">
        <v>9</v>
      </c>
      <c r="EM39" s="25">
        <v>7.8808938269503415E-5</v>
      </c>
      <c r="EN39" s="25">
        <v>1.0527393214943004E-6</v>
      </c>
      <c r="EO39" s="25">
        <v>0</v>
      </c>
      <c r="EP39" s="25">
        <v>0</v>
      </c>
      <c r="EQ39" s="25">
        <v>0</v>
      </c>
      <c r="ER39" s="25">
        <v>1.4349362231769192E-7</v>
      </c>
      <c r="EV39" s="25">
        <v>9</v>
      </c>
      <c r="EW39" s="25">
        <v>1.1303853243589401E-3</v>
      </c>
      <c r="EX39" s="25">
        <v>1.0366762580815703E-5</v>
      </c>
      <c r="EY39" s="25">
        <v>0</v>
      </c>
      <c r="EZ39" s="25">
        <v>0</v>
      </c>
      <c r="FA39" s="25">
        <v>0</v>
      </c>
      <c r="FB39" s="25">
        <v>2.5977701625379268E-6</v>
      </c>
      <c r="FF39" s="25">
        <v>9</v>
      </c>
      <c r="FG39" s="25">
        <v>2.2590265143662691E-3</v>
      </c>
      <c r="FH39" s="25">
        <v>1.987324321817141E-5</v>
      </c>
      <c r="FI39" s="25">
        <v>0</v>
      </c>
      <c r="FJ39" s="25">
        <v>0</v>
      </c>
      <c r="FK39" s="25">
        <v>0</v>
      </c>
      <c r="FL39" s="25">
        <v>4.9679792937240563E-6</v>
      </c>
    </row>
    <row r="40" spans="2:168">
      <c r="B40" s="25">
        <v>10</v>
      </c>
      <c r="C40" s="25">
        <v>3.2592877687420696E-5</v>
      </c>
      <c r="D40" s="25">
        <v>5.3227541502565145E-4</v>
      </c>
      <c r="E40" s="25">
        <v>0</v>
      </c>
      <c r="F40" s="25">
        <v>0</v>
      </c>
      <c r="G40" s="25">
        <v>0</v>
      </c>
      <c r="H40" s="25">
        <v>-2.3890655938885175E-5</v>
      </c>
      <c r="L40" s="25">
        <v>10</v>
      </c>
      <c r="M40" s="25">
        <v>-2.0289788153604604E-5</v>
      </c>
      <c r="N40" s="25">
        <v>8.547249308321625E-5</v>
      </c>
      <c r="O40" s="25">
        <v>0</v>
      </c>
      <c r="P40" s="25">
        <v>0</v>
      </c>
      <c r="Q40" s="25">
        <v>0</v>
      </c>
      <c r="R40" s="25">
        <v>-2.3789922124706209E-5</v>
      </c>
      <c r="V40" s="25">
        <v>10</v>
      </c>
      <c r="W40" s="25">
        <v>-4.9163220683112741E-4</v>
      </c>
      <c r="X40" s="25">
        <v>-6.5217614064749796E-6</v>
      </c>
      <c r="Y40" s="25">
        <v>0</v>
      </c>
      <c r="Z40" s="25">
        <v>0</v>
      </c>
      <c r="AA40" s="25">
        <v>0</v>
      </c>
      <c r="AB40" s="25">
        <v>-3.7436848288052715E-6</v>
      </c>
      <c r="AF40" s="25">
        <v>10</v>
      </c>
      <c r="AG40" s="25">
        <v>1.7475130152888596E-4</v>
      </c>
      <c r="AH40" s="25">
        <v>3.6505475691228639E-6</v>
      </c>
      <c r="AI40" s="25">
        <v>0</v>
      </c>
      <c r="AJ40" s="25">
        <v>0</v>
      </c>
      <c r="AK40" s="25">
        <v>0</v>
      </c>
      <c r="AL40" s="25">
        <v>1.2965713267476531E-6</v>
      </c>
      <c r="AP40" s="25">
        <v>10</v>
      </c>
      <c r="AQ40" s="25">
        <v>7.7651139918089029E-7</v>
      </c>
      <c r="AR40" s="25">
        <v>6.2658386923430953E-6</v>
      </c>
      <c r="AS40" s="25">
        <v>0</v>
      </c>
      <c r="AT40" s="25">
        <v>0</v>
      </c>
      <c r="AU40" s="25">
        <v>0</v>
      </c>
      <c r="AV40" s="25">
        <v>-7.2068706913341885E-7</v>
      </c>
      <c r="AZ40" s="25">
        <v>10</v>
      </c>
      <c r="BA40" s="25">
        <v>1.7988345462072175E-6</v>
      </c>
      <c r="BB40" s="25">
        <v>1.502700979472138E-5</v>
      </c>
      <c r="BC40" s="25">
        <v>0</v>
      </c>
      <c r="BD40" s="25">
        <v>0</v>
      </c>
      <c r="BE40" s="25">
        <v>0</v>
      </c>
      <c r="BF40" s="25">
        <v>-1.6568500313951517E-6</v>
      </c>
      <c r="BJ40" s="25">
        <v>10</v>
      </c>
      <c r="BK40" s="25">
        <v>3.3977198654611129E-6</v>
      </c>
      <c r="BL40" s="25">
        <v>2.8393995307851583E-5</v>
      </c>
      <c r="BM40" s="25">
        <v>0</v>
      </c>
      <c r="BN40" s="25">
        <v>0</v>
      </c>
      <c r="BO40" s="25">
        <v>0</v>
      </c>
      <c r="BP40" s="25">
        <v>-3.1295517146645579E-6</v>
      </c>
      <c r="BT40" s="25">
        <v>10</v>
      </c>
      <c r="BU40" s="25">
        <v>-1.3922170182922855E-5</v>
      </c>
      <c r="BV40" s="25">
        <v>-2.4525963908672566E-6</v>
      </c>
      <c r="BW40" s="25">
        <v>0</v>
      </c>
      <c r="BX40" s="25">
        <v>0</v>
      </c>
      <c r="BY40" s="25">
        <v>0</v>
      </c>
      <c r="BZ40" s="25">
        <v>-1.6603780750301667E-6</v>
      </c>
      <c r="CD40" s="25">
        <v>10</v>
      </c>
      <c r="CE40" s="25">
        <v>-4.7318926590378396E-6</v>
      </c>
      <c r="CF40" s="25">
        <v>1.2279037036933005E-5</v>
      </c>
      <c r="CG40" s="25">
        <v>0</v>
      </c>
      <c r="CH40" s="25">
        <v>0</v>
      </c>
      <c r="CI40" s="25">
        <v>0</v>
      </c>
      <c r="CJ40" s="25">
        <v>1.1449142789388134E-7</v>
      </c>
      <c r="CN40" s="25">
        <v>10</v>
      </c>
      <c r="CO40" s="25">
        <v>1.633891042729374E-5</v>
      </c>
      <c r="CP40" s="25">
        <v>3.9416492654709145E-5</v>
      </c>
      <c r="CQ40" s="25">
        <v>0</v>
      </c>
      <c r="CR40" s="25">
        <v>0</v>
      </c>
      <c r="CS40" s="25">
        <v>0</v>
      </c>
      <c r="CT40" s="25">
        <v>4.235983510625374E-7</v>
      </c>
      <c r="CX40" s="25">
        <v>10</v>
      </c>
      <c r="CY40" s="25">
        <v>-1.3922170182922855E-5</v>
      </c>
      <c r="CZ40" s="25">
        <v>-2.4525963908672566E-6</v>
      </c>
      <c r="DA40" s="25">
        <v>0</v>
      </c>
      <c r="DB40" s="25">
        <v>0</v>
      </c>
      <c r="DC40" s="25">
        <v>0</v>
      </c>
      <c r="DD40" s="25">
        <v>-1.6603780750301667E-6</v>
      </c>
      <c r="DH40" s="25">
        <v>10</v>
      </c>
      <c r="DI40" s="25">
        <v>-4.7318926590378396E-6</v>
      </c>
      <c r="DJ40" s="25">
        <v>1.2279037036933005E-5</v>
      </c>
      <c r="DK40" s="25">
        <v>0</v>
      </c>
      <c r="DL40" s="25">
        <v>0</v>
      </c>
      <c r="DM40" s="25">
        <v>0</v>
      </c>
      <c r="DN40" s="25">
        <v>1.1449142789388134E-7</v>
      </c>
      <c r="DR40" s="25">
        <v>10</v>
      </c>
      <c r="DS40" s="25">
        <v>1.633891042729374E-5</v>
      </c>
      <c r="DT40" s="25">
        <v>3.9416492654709145E-5</v>
      </c>
      <c r="DU40" s="25">
        <v>0</v>
      </c>
      <c r="DV40" s="25">
        <v>0</v>
      </c>
      <c r="DW40" s="25">
        <v>0</v>
      </c>
      <c r="DX40" s="25">
        <v>4.235983510625374E-7</v>
      </c>
      <c r="EB40" s="25">
        <v>10</v>
      </c>
      <c r="EC40" s="25">
        <v>1.4368590200319886E-4</v>
      </c>
      <c r="ED40" s="25">
        <v>3.9563224163430277E-6</v>
      </c>
      <c r="EE40" s="25">
        <v>0</v>
      </c>
      <c r="EF40" s="25">
        <v>0</v>
      </c>
      <c r="EG40" s="25">
        <v>0</v>
      </c>
      <c r="EH40" s="25">
        <v>5.9921700312770554E-7</v>
      </c>
      <c r="EL40" s="25">
        <v>10</v>
      </c>
      <c r="EM40" s="25">
        <v>7.8510071034543216E-5</v>
      </c>
      <c r="EN40" s="25">
        <v>2.1317703158274526E-6</v>
      </c>
      <c r="EO40" s="25">
        <v>0</v>
      </c>
      <c r="EP40" s="25">
        <v>0</v>
      </c>
      <c r="EQ40" s="25">
        <v>0</v>
      </c>
      <c r="ER40" s="25">
        <v>3.3920150599442422E-7</v>
      </c>
      <c r="EV40" s="25">
        <v>10</v>
      </c>
      <c r="EW40" s="25">
        <v>1.1249195085838437E-3</v>
      </c>
      <c r="EX40" s="25">
        <v>3.5270448279334232E-5</v>
      </c>
      <c r="EY40" s="25">
        <v>0</v>
      </c>
      <c r="EZ40" s="25">
        <v>0</v>
      </c>
      <c r="FA40" s="25">
        <v>0</v>
      </c>
      <c r="FB40" s="25">
        <v>6.2058829826128203E-6</v>
      </c>
      <c r="FF40" s="25">
        <v>10</v>
      </c>
      <c r="FG40" s="25">
        <v>2.2480783518403769E-3</v>
      </c>
      <c r="FH40" s="25">
        <v>6.8003908381797373E-5</v>
      </c>
      <c r="FI40" s="25">
        <v>0</v>
      </c>
      <c r="FJ40" s="25">
        <v>0</v>
      </c>
      <c r="FK40" s="25">
        <v>0</v>
      </c>
      <c r="FL40" s="25">
        <v>1.2195348062959965E-5</v>
      </c>
    </row>
    <row r="41" spans="2:168">
      <c r="B41" s="25">
        <v>11</v>
      </c>
      <c r="C41" s="25">
        <v>0</v>
      </c>
      <c r="D41" s="25">
        <v>0</v>
      </c>
      <c r="E41" s="25">
        <v>0</v>
      </c>
      <c r="F41" s="25">
        <v>0</v>
      </c>
      <c r="G41" s="25">
        <v>0</v>
      </c>
      <c r="H41" s="25">
        <v>0</v>
      </c>
      <c r="L41" s="25">
        <v>11</v>
      </c>
      <c r="M41" s="25">
        <v>0</v>
      </c>
      <c r="N41" s="25">
        <v>0</v>
      </c>
      <c r="O41" s="25">
        <v>0</v>
      </c>
      <c r="P41" s="25">
        <v>0</v>
      </c>
      <c r="Q41" s="25">
        <v>0</v>
      </c>
      <c r="R41" s="25">
        <v>0</v>
      </c>
      <c r="V41" s="25">
        <v>11</v>
      </c>
      <c r="W41" s="25">
        <v>0</v>
      </c>
      <c r="X41" s="25">
        <v>0</v>
      </c>
      <c r="Y41" s="25">
        <v>0</v>
      </c>
      <c r="Z41" s="25">
        <v>0</v>
      </c>
      <c r="AA41" s="25">
        <v>0</v>
      </c>
      <c r="AB41" s="25">
        <v>0</v>
      </c>
      <c r="AF41" s="25">
        <v>11</v>
      </c>
      <c r="AG41" s="25">
        <v>0</v>
      </c>
      <c r="AH41" s="25">
        <v>0</v>
      </c>
      <c r="AI41" s="25">
        <v>0</v>
      </c>
      <c r="AJ41" s="25">
        <v>0</v>
      </c>
      <c r="AK41" s="25">
        <v>0</v>
      </c>
      <c r="AL41" s="25">
        <v>0</v>
      </c>
      <c r="AP41" s="25">
        <v>11</v>
      </c>
      <c r="AQ41" s="25">
        <v>0</v>
      </c>
      <c r="AR41" s="25">
        <v>0</v>
      </c>
      <c r="AS41" s="25">
        <v>0</v>
      </c>
      <c r="AT41" s="25">
        <v>0</v>
      </c>
      <c r="AU41" s="25">
        <v>0</v>
      </c>
      <c r="AV41" s="25">
        <v>0</v>
      </c>
      <c r="AZ41" s="25">
        <v>11</v>
      </c>
      <c r="BA41" s="25">
        <v>0</v>
      </c>
      <c r="BB41" s="25">
        <v>0</v>
      </c>
      <c r="BC41" s="25">
        <v>0</v>
      </c>
      <c r="BD41" s="25">
        <v>0</v>
      </c>
      <c r="BE41" s="25">
        <v>0</v>
      </c>
      <c r="BF41" s="25">
        <v>0</v>
      </c>
      <c r="BJ41" s="25">
        <v>11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0</v>
      </c>
      <c r="BT41" s="25">
        <v>11</v>
      </c>
      <c r="BU41" s="25">
        <v>0</v>
      </c>
      <c r="BV41" s="25">
        <v>0</v>
      </c>
      <c r="BW41" s="25">
        <v>0</v>
      </c>
      <c r="BX41" s="25">
        <v>0</v>
      </c>
      <c r="BY41" s="25">
        <v>0</v>
      </c>
      <c r="BZ41" s="25">
        <v>0</v>
      </c>
      <c r="CD41" s="25">
        <v>11</v>
      </c>
      <c r="CE41" s="25">
        <v>0</v>
      </c>
      <c r="CF41" s="25">
        <v>0</v>
      </c>
      <c r="CG41" s="25">
        <v>0</v>
      </c>
      <c r="CH41" s="25">
        <v>0</v>
      </c>
      <c r="CI41" s="25">
        <v>0</v>
      </c>
      <c r="CJ41" s="25">
        <v>0</v>
      </c>
      <c r="CN41" s="25">
        <v>11</v>
      </c>
      <c r="CO41" s="25">
        <v>0</v>
      </c>
      <c r="CP41" s="25">
        <v>0</v>
      </c>
      <c r="CQ41" s="25">
        <v>0</v>
      </c>
      <c r="CR41" s="25">
        <v>0</v>
      </c>
      <c r="CS41" s="25">
        <v>0</v>
      </c>
      <c r="CT41" s="25">
        <v>0</v>
      </c>
      <c r="CX41" s="25">
        <v>11</v>
      </c>
      <c r="CY41" s="25">
        <v>0</v>
      </c>
      <c r="CZ41" s="25">
        <v>0</v>
      </c>
      <c r="DA41" s="25">
        <v>0</v>
      </c>
      <c r="DB41" s="25">
        <v>0</v>
      </c>
      <c r="DC41" s="25">
        <v>0</v>
      </c>
      <c r="DD41" s="25">
        <v>0</v>
      </c>
      <c r="DH41" s="25">
        <v>11</v>
      </c>
      <c r="DI41" s="25">
        <v>0</v>
      </c>
      <c r="DJ41" s="25">
        <v>0</v>
      </c>
      <c r="DK41" s="25">
        <v>0</v>
      </c>
      <c r="DL41" s="25">
        <v>0</v>
      </c>
      <c r="DM41" s="25">
        <v>0</v>
      </c>
      <c r="DN41" s="25">
        <v>0</v>
      </c>
      <c r="DR41" s="25">
        <v>11</v>
      </c>
      <c r="DS41" s="25">
        <v>0</v>
      </c>
      <c r="DT41" s="25">
        <v>0</v>
      </c>
      <c r="DU41" s="25">
        <v>0</v>
      </c>
      <c r="DV41" s="25">
        <v>0</v>
      </c>
      <c r="DW41" s="25">
        <v>0</v>
      </c>
      <c r="DX41" s="25">
        <v>0</v>
      </c>
      <c r="EB41" s="25">
        <v>11</v>
      </c>
      <c r="EC41" s="25">
        <v>0</v>
      </c>
      <c r="ED41" s="25">
        <v>0</v>
      </c>
      <c r="EE41" s="25">
        <v>0</v>
      </c>
      <c r="EF41" s="25">
        <v>0</v>
      </c>
      <c r="EG41" s="25">
        <v>0</v>
      </c>
      <c r="EH41" s="25">
        <v>0</v>
      </c>
      <c r="EL41" s="25">
        <v>11</v>
      </c>
      <c r="EM41" s="25">
        <v>0</v>
      </c>
      <c r="EN41" s="25">
        <v>0</v>
      </c>
      <c r="EO41" s="25">
        <v>0</v>
      </c>
      <c r="EP41" s="25">
        <v>0</v>
      </c>
      <c r="EQ41" s="25">
        <v>0</v>
      </c>
      <c r="ER41" s="25">
        <v>0</v>
      </c>
      <c r="EV41" s="25">
        <v>11</v>
      </c>
      <c r="EW41" s="25">
        <v>0</v>
      </c>
      <c r="EX41" s="25">
        <v>0</v>
      </c>
      <c r="EY41" s="25">
        <v>0</v>
      </c>
      <c r="EZ41" s="25">
        <v>0</v>
      </c>
      <c r="FA41" s="25">
        <v>0</v>
      </c>
      <c r="FB41" s="25">
        <v>0</v>
      </c>
      <c r="FF41" s="25">
        <v>11</v>
      </c>
      <c r="FG41" s="25">
        <v>0</v>
      </c>
      <c r="FH41" s="25">
        <v>0</v>
      </c>
      <c r="FI41" s="25">
        <v>0</v>
      </c>
      <c r="FJ41" s="25">
        <v>0</v>
      </c>
      <c r="FK41" s="25">
        <v>0</v>
      </c>
      <c r="FL41" s="25">
        <v>0</v>
      </c>
    </row>
    <row r="42" spans="2:168">
      <c r="B42" s="25">
        <v>12</v>
      </c>
      <c r="C42" s="25">
        <v>0</v>
      </c>
      <c r="D42" s="25">
        <v>0</v>
      </c>
      <c r="E42" s="25">
        <v>0</v>
      </c>
      <c r="F42" s="25">
        <v>0</v>
      </c>
      <c r="G42" s="25">
        <v>0</v>
      </c>
      <c r="H42" s="25">
        <v>0</v>
      </c>
      <c r="L42" s="25">
        <v>12</v>
      </c>
      <c r="M42" s="25">
        <v>0</v>
      </c>
      <c r="N42" s="25">
        <v>0</v>
      </c>
      <c r="O42" s="25">
        <v>0</v>
      </c>
      <c r="P42" s="25">
        <v>0</v>
      </c>
      <c r="Q42" s="25">
        <v>0</v>
      </c>
      <c r="R42" s="25">
        <v>0</v>
      </c>
      <c r="V42" s="25">
        <v>12</v>
      </c>
      <c r="W42" s="25">
        <v>0</v>
      </c>
      <c r="X42" s="25">
        <v>0</v>
      </c>
      <c r="Y42" s="25">
        <v>0</v>
      </c>
      <c r="Z42" s="25">
        <v>0</v>
      </c>
      <c r="AA42" s="25">
        <v>0</v>
      </c>
      <c r="AB42" s="25">
        <v>0</v>
      </c>
      <c r="AF42" s="25">
        <v>12</v>
      </c>
      <c r="AG42" s="25">
        <v>0</v>
      </c>
      <c r="AH42" s="25">
        <v>0</v>
      </c>
      <c r="AI42" s="25">
        <v>0</v>
      </c>
      <c r="AJ42" s="25">
        <v>0</v>
      </c>
      <c r="AK42" s="25">
        <v>0</v>
      </c>
      <c r="AL42" s="25">
        <v>0</v>
      </c>
      <c r="AP42" s="25">
        <v>12</v>
      </c>
      <c r="AQ42" s="25">
        <v>0</v>
      </c>
      <c r="AR42" s="25">
        <v>0</v>
      </c>
      <c r="AS42" s="25">
        <v>0</v>
      </c>
      <c r="AT42" s="25">
        <v>0</v>
      </c>
      <c r="AU42" s="25">
        <v>0</v>
      </c>
      <c r="AV42" s="25">
        <v>0</v>
      </c>
      <c r="AZ42" s="25">
        <v>12</v>
      </c>
      <c r="BA42" s="25">
        <v>0</v>
      </c>
      <c r="BB42" s="25">
        <v>0</v>
      </c>
      <c r="BC42" s="25">
        <v>0</v>
      </c>
      <c r="BD42" s="25">
        <v>0</v>
      </c>
      <c r="BE42" s="25">
        <v>0</v>
      </c>
      <c r="BF42" s="25">
        <v>0</v>
      </c>
      <c r="BJ42" s="25">
        <v>12</v>
      </c>
      <c r="BK42" s="25">
        <v>0</v>
      </c>
      <c r="BL42" s="25">
        <v>0</v>
      </c>
      <c r="BM42" s="25">
        <v>0</v>
      </c>
      <c r="BN42" s="25">
        <v>0</v>
      </c>
      <c r="BO42" s="25">
        <v>0</v>
      </c>
      <c r="BP42" s="25">
        <v>0</v>
      </c>
      <c r="BT42" s="25">
        <v>12</v>
      </c>
      <c r="BU42" s="25">
        <v>0</v>
      </c>
      <c r="BV42" s="25">
        <v>0</v>
      </c>
      <c r="BW42" s="25">
        <v>0</v>
      </c>
      <c r="BX42" s="25">
        <v>0</v>
      </c>
      <c r="BY42" s="25">
        <v>0</v>
      </c>
      <c r="BZ42" s="25">
        <v>0</v>
      </c>
      <c r="CD42" s="25">
        <v>12</v>
      </c>
      <c r="CE42" s="25">
        <v>0</v>
      </c>
      <c r="CF42" s="25">
        <v>0</v>
      </c>
      <c r="CG42" s="25">
        <v>0</v>
      </c>
      <c r="CH42" s="25">
        <v>0</v>
      </c>
      <c r="CI42" s="25">
        <v>0</v>
      </c>
      <c r="CJ42" s="25">
        <v>0</v>
      </c>
      <c r="CN42" s="25">
        <v>12</v>
      </c>
      <c r="CO42" s="25">
        <v>0</v>
      </c>
      <c r="CP42" s="25">
        <v>0</v>
      </c>
      <c r="CQ42" s="25">
        <v>0</v>
      </c>
      <c r="CR42" s="25">
        <v>0</v>
      </c>
      <c r="CS42" s="25">
        <v>0</v>
      </c>
      <c r="CT42" s="25">
        <v>0</v>
      </c>
      <c r="CX42" s="25">
        <v>12</v>
      </c>
      <c r="CY42" s="25">
        <v>0</v>
      </c>
      <c r="CZ42" s="25">
        <v>0</v>
      </c>
      <c r="DA42" s="25">
        <v>0</v>
      </c>
      <c r="DB42" s="25">
        <v>0</v>
      </c>
      <c r="DC42" s="25">
        <v>0</v>
      </c>
      <c r="DD42" s="25">
        <v>0</v>
      </c>
      <c r="DH42" s="25">
        <v>12</v>
      </c>
      <c r="DI42" s="25">
        <v>0</v>
      </c>
      <c r="DJ42" s="25">
        <v>0</v>
      </c>
      <c r="DK42" s="25">
        <v>0</v>
      </c>
      <c r="DL42" s="25">
        <v>0</v>
      </c>
      <c r="DM42" s="25">
        <v>0</v>
      </c>
      <c r="DN42" s="25">
        <v>0</v>
      </c>
      <c r="DR42" s="25">
        <v>12</v>
      </c>
      <c r="DS42" s="25">
        <v>0</v>
      </c>
      <c r="DT42" s="25">
        <v>0</v>
      </c>
      <c r="DU42" s="25">
        <v>0</v>
      </c>
      <c r="DV42" s="25">
        <v>0</v>
      </c>
      <c r="DW42" s="25">
        <v>0</v>
      </c>
      <c r="DX42" s="25">
        <v>0</v>
      </c>
      <c r="EB42" s="25">
        <v>12</v>
      </c>
      <c r="EC42" s="25">
        <v>0</v>
      </c>
      <c r="ED42" s="25">
        <v>0</v>
      </c>
      <c r="EE42" s="25">
        <v>0</v>
      </c>
      <c r="EF42" s="25">
        <v>0</v>
      </c>
      <c r="EG42" s="25">
        <v>0</v>
      </c>
      <c r="EH42" s="25">
        <v>0</v>
      </c>
      <c r="EL42" s="25">
        <v>12</v>
      </c>
      <c r="EM42" s="25">
        <v>0</v>
      </c>
      <c r="EN42" s="25">
        <v>0</v>
      </c>
      <c r="EO42" s="25">
        <v>0</v>
      </c>
      <c r="EP42" s="25">
        <v>0</v>
      </c>
      <c r="EQ42" s="25">
        <v>0</v>
      </c>
      <c r="ER42" s="25">
        <v>0</v>
      </c>
      <c r="EV42" s="25">
        <v>12</v>
      </c>
      <c r="EW42" s="25">
        <v>0</v>
      </c>
      <c r="EX42" s="25">
        <v>0</v>
      </c>
      <c r="EY42" s="25">
        <v>0</v>
      </c>
      <c r="EZ42" s="25">
        <v>0</v>
      </c>
      <c r="FA42" s="25">
        <v>0</v>
      </c>
      <c r="FB42" s="25">
        <v>0</v>
      </c>
      <c r="FF42" s="25">
        <v>12</v>
      </c>
      <c r="FG42" s="25">
        <v>0</v>
      </c>
      <c r="FH42" s="25">
        <v>0</v>
      </c>
      <c r="FI42" s="25">
        <v>0</v>
      </c>
      <c r="FJ42" s="25">
        <v>0</v>
      </c>
      <c r="FK42" s="25">
        <v>0</v>
      </c>
      <c r="FL42" s="25">
        <v>0</v>
      </c>
    </row>
    <row r="43" spans="2:168">
      <c r="B43" s="25">
        <v>13</v>
      </c>
      <c r="C43" s="25">
        <v>0</v>
      </c>
      <c r="D43" s="25">
        <v>0</v>
      </c>
      <c r="E43" s="25">
        <v>0</v>
      </c>
      <c r="F43" s="25">
        <v>0</v>
      </c>
      <c r="G43" s="25">
        <v>0</v>
      </c>
      <c r="H43" s="25">
        <v>0</v>
      </c>
      <c r="L43" s="25">
        <v>13</v>
      </c>
      <c r="M43" s="25">
        <v>0</v>
      </c>
      <c r="N43" s="25">
        <v>0</v>
      </c>
      <c r="O43" s="25">
        <v>0</v>
      </c>
      <c r="P43" s="25">
        <v>0</v>
      </c>
      <c r="Q43" s="25">
        <v>0</v>
      </c>
      <c r="R43" s="25">
        <v>0</v>
      </c>
      <c r="V43" s="25">
        <v>13</v>
      </c>
      <c r="W43" s="25">
        <v>0</v>
      </c>
      <c r="X43" s="25">
        <v>0</v>
      </c>
      <c r="Y43" s="25">
        <v>0</v>
      </c>
      <c r="Z43" s="25">
        <v>0</v>
      </c>
      <c r="AA43" s="25">
        <v>0</v>
      </c>
      <c r="AB43" s="25">
        <v>0</v>
      </c>
      <c r="AF43" s="25">
        <v>13</v>
      </c>
      <c r="AG43" s="25">
        <v>0</v>
      </c>
      <c r="AH43" s="25">
        <v>0</v>
      </c>
      <c r="AI43" s="25">
        <v>0</v>
      </c>
      <c r="AJ43" s="25">
        <v>0</v>
      </c>
      <c r="AK43" s="25">
        <v>0</v>
      </c>
      <c r="AL43" s="25">
        <v>0</v>
      </c>
      <c r="AP43" s="25">
        <v>13</v>
      </c>
      <c r="AQ43" s="25">
        <v>0</v>
      </c>
      <c r="AR43" s="25">
        <v>0</v>
      </c>
      <c r="AS43" s="25">
        <v>0</v>
      </c>
      <c r="AT43" s="25">
        <v>0</v>
      </c>
      <c r="AU43" s="25">
        <v>0</v>
      </c>
      <c r="AV43" s="25">
        <v>0</v>
      </c>
      <c r="AZ43" s="25">
        <v>13</v>
      </c>
      <c r="BA43" s="25">
        <v>0</v>
      </c>
      <c r="BB43" s="25">
        <v>0</v>
      </c>
      <c r="BC43" s="25">
        <v>0</v>
      </c>
      <c r="BD43" s="25">
        <v>0</v>
      </c>
      <c r="BE43" s="25">
        <v>0</v>
      </c>
      <c r="BF43" s="25">
        <v>0</v>
      </c>
      <c r="BJ43" s="25">
        <v>13</v>
      </c>
      <c r="BK43" s="25">
        <v>0</v>
      </c>
      <c r="BL43" s="25">
        <v>0</v>
      </c>
      <c r="BM43" s="25">
        <v>0</v>
      </c>
      <c r="BN43" s="25">
        <v>0</v>
      </c>
      <c r="BO43" s="25">
        <v>0</v>
      </c>
      <c r="BP43" s="25">
        <v>0</v>
      </c>
      <c r="BT43" s="25">
        <v>13</v>
      </c>
      <c r="BU43" s="25">
        <v>0</v>
      </c>
      <c r="BV43" s="25">
        <v>0</v>
      </c>
      <c r="BW43" s="25">
        <v>0</v>
      </c>
      <c r="BX43" s="25">
        <v>0</v>
      </c>
      <c r="BY43" s="25">
        <v>0</v>
      </c>
      <c r="BZ43" s="25">
        <v>0</v>
      </c>
      <c r="CD43" s="25">
        <v>13</v>
      </c>
      <c r="CE43" s="25">
        <v>0</v>
      </c>
      <c r="CF43" s="25">
        <v>0</v>
      </c>
      <c r="CG43" s="25">
        <v>0</v>
      </c>
      <c r="CH43" s="25">
        <v>0</v>
      </c>
      <c r="CI43" s="25">
        <v>0</v>
      </c>
      <c r="CJ43" s="25">
        <v>0</v>
      </c>
      <c r="CN43" s="25">
        <v>13</v>
      </c>
      <c r="CO43" s="25">
        <v>0</v>
      </c>
      <c r="CP43" s="25">
        <v>0</v>
      </c>
      <c r="CQ43" s="25">
        <v>0</v>
      </c>
      <c r="CR43" s="25">
        <v>0</v>
      </c>
      <c r="CS43" s="25">
        <v>0</v>
      </c>
      <c r="CT43" s="25">
        <v>0</v>
      </c>
      <c r="CX43" s="25">
        <v>13</v>
      </c>
      <c r="CY43" s="25">
        <v>0</v>
      </c>
      <c r="CZ43" s="25">
        <v>0</v>
      </c>
      <c r="DA43" s="25">
        <v>0</v>
      </c>
      <c r="DB43" s="25">
        <v>0</v>
      </c>
      <c r="DC43" s="25">
        <v>0</v>
      </c>
      <c r="DD43" s="25">
        <v>0</v>
      </c>
      <c r="DH43" s="25">
        <v>13</v>
      </c>
      <c r="DI43" s="25">
        <v>0</v>
      </c>
      <c r="DJ43" s="25">
        <v>0</v>
      </c>
      <c r="DK43" s="25">
        <v>0</v>
      </c>
      <c r="DL43" s="25">
        <v>0</v>
      </c>
      <c r="DM43" s="25">
        <v>0</v>
      </c>
      <c r="DN43" s="25">
        <v>0</v>
      </c>
      <c r="DR43" s="25">
        <v>13</v>
      </c>
      <c r="DS43" s="25">
        <v>0</v>
      </c>
      <c r="DT43" s="25">
        <v>0</v>
      </c>
      <c r="DU43" s="25">
        <v>0</v>
      </c>
      <c r="DV43" s="25">
        <v>0</v>
      </c>
      <c r="DW43" s="25">
        <v>0</v>
      </c>
      <c r="DX43" s="25">
        <v>0</v>
      </c>
      <c r="EB43" s="25">
        <v>13</v>
      </c>
      <c r="EC43" s="25">
        <v>0</v>
      </c>
      <c r="ED43" s="25">
        <v>0</v>
      </c>
      <c r="EE43" s="25">
        <v>0</v>
      </c>
      <c r="EF43" s="25">
        <v>0</v>
      </c>
      <c r="EG43" s="25">
        <v>0</v>
      </c>
      <c r="EH43" s="25">
        <v>0</v>
      </c>
      <c r="EL43" s="25">
        <v>13</v>
      </c>
      <c r="EM43" s="25">
        <v>0</v>
      </c>
      <c r="EN43" s="25">
        <v>0</v>
      </c>
      <c r="EO43" s="25">
        <v>0</v>
      </c>
      <c r="EP43" s="25">
        <v>0</v>
      </c>
      <c r="EQ43" s="25">
        <v>0</v>
      </c>
      <c r="ER43" s="25">
        <v>0</v>
      </c>
      <c r="EV43" s="25">
        <v>13</v>
      </c>
      <c r="EW43" s="25">
        <v>0</v>
      </c>
      <c r="EX43" s="25">
        <v>0</v>
      </c>
      <c r="EY43" s="25">
        <v>0</v>
      </c>
      <c r="EZ43" s="25">
        <v>0</v>
      </c>
      <c r="FA43" s="25">
        <v>0</v>
      </c>
      <c r="FB43" s="25">
        <v>0</v>
      </c>
      <c r="FF43" s="25">
        <v>13</v>
      </c>
      <c r="FG43" s="25">
        <v>0</v>
      </c>
      <c r="FH43" s="25">
        <v>0</v>
      </c>
      <c r="FI43" s="25">
        <v>0</v>
      </c>
      <c r="FJ43" s="25">
        <v>0</v>
      </c>
      <c r="FK43" s="25">
        <v>0</v>
      </c>
      <c r="FL43" s="25">
        <v>0</v>
      </c>
    </row>
    <row r="44" spans="2:168">
      <c r="B44" s="25">
        <v>14</v>
      </c>
      <c r="C44" s="25">
        <v>0</v>
      </c>
      <c r="D44" s="25">
        <v>0</v>
      </c>
      <c r="E44" s="25">
        <v>0</v>
      </c>
      <c r="F44" s="25">
        <v>0</v>
      </c>
      <c r="G44" s="25">
        <v>0</v>
      </c>
      <c r="H44" s="25">
        <v>0</v>
      </c>
      <c r="L44" s="25">
        <v>14</v>
      </c>
      <c r="M44" s="25">
        <v>0</v>
      </c>
      <c r="N44" s="25">
        <v>0</v>
      </c>
      <c r="O44" s="25">
        <v>0</v>
      </c>
      <c r="P44" s="25">
        <v>0</v>
      </c>
      <c r="Q44" s="25">
        <v>0</v>
      </c>
      <c r="R44" s="25">
        <v>0</v>
      </c>
      <c r="V44" s="25">
        <v>14</v>
      </c>
      <c r="W44" s="25">
        <v>0</v>
      </c>
      <c r="X44" s="25">
        <v>0</v>
      </c>
      <c r="Y44" s="25">
        <v>0</v>
      </c>
      <c r="Z44" s="25">
        <v>0</v>
      </c>
      <c r="AA44" s="25">
        <v>0</v>
      </c>
      <c r="AB44" s="25">
        <v>0</v>
      </c>
      <c r="AF44" s="25">
        <v>14</v>
      </c>
      <c r="AG44" s="25">
        <v>0</v>
      </c>
      <c r="AH44" s="25">
        <v>0</v>
      </c>
      <c r="AI44" s="25">
        <v>0</v>
      </c>
      <c r="AJ44" s="25">
        <v>0</v>
      </c>
      <c r="AK44" s="25">
        <v>0</v>
      </c>
      <c r="AL44" s="25">
        <v>0</v>
      </c>
      <c r="AP44" s="25">
        <v>14</v>
      </c>
      <c r="AQ44" s="25">
        <v>0</v>
      </c>
      <c r="AR44" s="25">
        <v>0</v>
      </c>
      <c r="AS44" s="25">
        <v>0</v>
      </c>
      <c r="AT44" s="25">
        <v>0</v>
      </c>
      <c r="AU44" s="25">
        <v>0</v>
      </c>
      <c r="AV44" s="25">
        <v>0</v>
      </c>
      <c r="AZ44" s="25">
        <v>14</v>
      </c>
      <c r="BA44" s="25">
        <v>0</v>
      </c>
      <c r="BB44" s="25">
        <v>0</v>
      </c>
      <c r="BC44" s="25">
        <v>0</v>
      </c>
      <c r="BD44" s="25">
        <v>0</v>
      </c>
      <c r="BE44" s="25">
        <v>0</v>
      </c>
      <c r="BF44" s="25">
        <v>0</v>
      </c>
      <c r="BJ44" s="25">
        <v>14</v>
      </c>
      <c r="BK44" s="25">
        <v>0</v>
      </c>
      <c r="BL44" s="25">
        <v>0</v>
      </c>
      <c r="BM44" s="25">
        <v>0</v>
      </c>
      <c r="BN44" s="25">
        <v>0</v>
      </c>
      <c r="BO44" s="25">
        <v>0</v>
      </c>
      <c r="BP44" s="25">
        <v>0</v>
      </c>
      <c r="BT44" s="25">
        <v>14</v>
      </c>
      <c r="BU44" s="25">
        <v>0</v>
      </c>
      <c r="BV44" s="25">
        <v>0</v>
      </c>
      <c r="BW44" s="25">
        <v>0</v>
      </c>
      <c r="BX44" s="25">
        <v>0</v>
      </c>
      <c r="BY44" s="25">
        <v>0</v>
      </c>
      <c r="BZ44" s="25">
        <v>0</v>
      </c>
      <c r="CD44" s="25">
        <v>14</v>
      </c>
      <c r="CE44" s="25">
        <v>0</v>
      </c>
      <c r="CF44" s="25">
        <v>0</v>
      </c>
      <c r="CG44" s="25">
        <v>0</v>
      </c>
      <c r="CH44" s="25">
        <v>0</v>
      </c>
      <c r="CI44" s="25">
        <v>0</v>
      </c>
      <c r="CJ44" s="25">
        <v>0</v>
      </c>
      <c r="CN44" s="25">
        <v>14</v>
      </c>
      <c r="CO44" s="25">
        <v>0</v>
      </c>
      <c r="CP44" s="25">
        <v>0</v>
      </c>
      <c r="CQ44" s="25">
        <v>0</v>
      </c>
      <c r="CR44" s="25">
        <v>0</v>
      </c>
      <c r="CS44" s="25">
        <v>0</v>
      </c>
      <c r="CT44" s="25">
        <v>0</v>
      </c>
      <c r="CX44" s="25">
        <v>14</v>
      </c>
      <c r="CY44" s="25">
        <v>0</v>
      </c>
      <c r="CZ44" s="25">
        <v>0</v>
      </c>
      <c r="DA44" s="25">
        <v>0</v>
      </c>
      <c r="DB44" s="25">
        <v>0</v>
      </c>
      <c r="DC44" s="25">
        <v>0</v>
      </c>
      <c r="DD44" s="25">
        <v>0</v>
      </c>
      <c r="DH44" s="25">
        <v>14</v>
      </c>
      <c r="DI44" s="25">
        <v>0</v>
      </c>
      <c r="DJ44" s="25">
        <v>0</v>
      </c>
      <c r="DK44" s="25">
        <v>0</v>
      </c>
      <c r="DL44" s="25">
        <v>0</v>
      </c>
      <c r="DM44" s="25">
        <v>0</v>
      </c>
      <c r="DN44" s="25">
        <v>0</v>
      </c>
      <c r="DR44" s="25">
        <v>14</v>
      </c>
      <c r="DS44" s="25">
        <v>0</v>
      </c>
      <c r="DT44" s="25">
        <v>0</v>
      </c>
      <c r="DU44" s="25">
        <v>0</v>
      </c>
      <c r="DV44" s="25">
        <v>0</v>
      </c>
      <c r="DW44" s="25">
        <v>0</v>
      </c>
      <c r="DX44" s="25">
        <v>0</v>
      </c>
      <c r="EB44" s="25">
        <v>14</v>
      </c>
      <c r="EC44" s="25">
        <v>0</v>
      </c>
      <c r="ED44" s="25">
        <v>0</v>
      </c>
      <c r="EE44" s="25">
        <v>0</v>
      </c>
      <c r="EF44" s="25">
        <v>0</v>
      </c>
      <c r="EG44" s="25">
        <v>0</v>
      </c>
      <c r="EH44" s="25">
        <v>0</v>
      </c>
      <c r="EL44" s="25">
        <v>14</v>
      </c>
      <c r="EM44" s="25">
        <v>0</v>
      </c>
      <c r="EN44" s="25">
        <v>0</v>
      </c>
      <c r="EO44" s="25">
        <v>0</v>
      </c>
      <c r="EP44" s="25">
        <v>0</v>
      </c>
      <c r="EQ44" s="25">
        <v>0</v>
      </c>
      <c r="ER44" s="25">
        <v>0</v>
      </c>
      <c r="EV44" s="25">
        <v>14</v>
      </c>
      <c r="EW44" s="25">
        <v>0</v>
      </c>
      <c r="EX44" s="25">
        <v>0</v>
      </c>
      <c r="EY44" s="25">
        <v>0</v>
      </c>
      <c r="EZ44" s="25">
        <v>0</v>
      </c>
      <c r="FA44" s="25">
        <v>0</v>
      </c>
      <c r="FB44" s="25">
        <v>0</v>
      </c>
      <c r="FF44" s="25">
        <v>14</v>
      </c>
      <c r="FG44" s="25">
        <v>0</v>
      </c>
      <c r="FH44" s="25">
        <v>0</v>
      </c>
      <c r="FI44" s="25">
        <v>0</v>
      </c>
      <c r="FJ44" s="25">
        <v>0</v>
      </c>
      <c r="FK44" s="25">
        <v>0</v>
      </c>
      <c r="FL44" s="25">
        <v>0</v>
      </c>
    </row>
    <row r="47" spans="2:168">
      <c r="B47" s="25" t="s">
        <v>125</v>
      </c>
      <c r="L47" s="25" t="s">
        <v>125</v>
      </c>
      <c r="V47" s="25" t="s">
        <v>125</v>
      </c>
      <c r="AF47" s="25" t="s">
        <v>125</v>
      </c>
      <c r="AP47" s="25" t="s">
        <v>125</v>
      </c>
      <c r="AZ47" s="25" t="s">
        <v>125</v>
      </c>
      <c r="BJ47" s="25" t="s">
        <v>125</v>
      </c>
      <c r="BT47" s="25" t="s">
        <v>125</v>
      </c>
      <c r="CD47" s="25" t="s">
        <v>125</v>
      </c>
      <c r="CN47" s="25" t="s">
        <v>125</v>
      </c>
      <c r="CX47" s="25" t="s">
        <v>125</v>
      </c>
      <c r="DH47" s="25" t="s">
        <v>125</v>
      </c>
      <c r="DR47" s="25" t="s">
        <v>125</v>
      </c>
      <c r="EB47" s="25" t="s">
        <v>125</v>
      </c>
      <c r="EL47" s="25" t="s">
        <v>125</v>
      </c>
      <c r="EV47" s="25" t="s">
        <v>125</v>
      </c>
      <c r="FF47" s="25" t="s">
        <v>125</v>
      </c>
    </row>
    <row r="48" spans="2:168">
      <c r="C48" s="25" t="s">
        <v>126</v>
      </c>
      <c r="D48" s="25" t="s">
        <v>127</v>
      </c>
      <c r="E48" s="25" t="s">
        <v>128</v>
      </c>
      <c r="F48" s="25" t="s">
        <v>129</v>
      </c>
      <c r="G48" s="25" t="s">
        <v>130</v>
      </c>
      <c r="H48" s="25" t="s">
        <v>131</v>
      </c>
      <c r="M48" s="25" t="s">
        <v>126</v>
      </c>
      <c r="N48" s="25" t="s">
        <v>127</v>
      </c>
      <c r="O48" s="25" t="s">
        <v>128</v>
      </c>
      <c r="P48" s="25" t="s">
        <v>129</v>
      </c>
      <c r="Q48" s="25" t="s">
        <v>130</v>
      </c>
      <c r="R48" s="25" t="s">
        <v>131</v>
      </c>
      <c r="W48" s="25" t="s">
        <v>126</v>
      </c>
      <c r="X48" s="25" t="s">
        <v>127</v>
      </c>
      <c r="Y48" s="25" t="s">
        <v>128</v>
      </c>
      <c r="Z48" s="25" t="s">
        <v>129</v>
      </c>
      <c r="AA48" s="25" t="s">
        <v>130</v>
      </c>
      <c r="AB48" s="25" t="s">
        <v>131</v>
      </c>
      <c r="AG48" s="25" t="s">
        <v>126</v>
      </c>
      <c r="AH48" s="25" t="s">
        <v>127</v>
      </c>
      <c r="AI48" s="25" t="s">
        <v>128</v>
      </c>
      <c r="AJ48" s="25" t="s">
        <v>129</v>
      </c>
      <c r="AK48" s="25" t="s">
        <v>130</v>
      </c>
      <c r="AL48" s="25" t="s">
        <v>131</v>
      </c>
      <c r="AQ48" s="25" t="s">
        <v>126</v>
      </c>
      <c r="AR48" s="25" t="s">
        <v>127</v>
      </c>
      <c r="AS48" s="25" t="s">
        <v>128</v>
      </c>
      <c r="AT48" s="25" t="s">
        <v>129</v>
      </c>
      <c r="AU48" s="25" t="s">
        <v>130</v>
      </c>
      <c r="AV48" s="25" t="s">
        <v>131</v>
      </c>
      <c r="BA48" s="25" t="s">
        <v>126</v>
      </c>
      <c r="BB48" s="25" t="s">
        <v>127</v>
      </c>
      <c r="BC48" s="25" t="s">
        <v>128</v>
      </c>
      <c r="BD48" s="25" t="s">
        <v>129</v>
      </c>
      <c r="BE48" s="25" t="s">
        <v>130</v>
      </c>
      <c r="BF48" s="25" t="s">
        <v>131</v>
      </c>
      <c r="BK48" s="25" t="s">
        <v>126</v>
      </c>
      <c r="BL48" s="25" t="s">
        <v>127</v>
      </c>
      <c r="BM48" s="25" t="s">
        <v>128</v>
      </c>
      <c r="BN48" s="25" t="s">
        <v>129</v>
      </c>
      <c r="BO48" s="25" t="s">
        <v>130</v>
      </c>
      <c r="BP48" s="25" t="s">
        <v>131</v>
      </c>
      <c r="BU48" s="25" t="s">
        <v>126</v>
      </c>
      <c r="BV48" s="25" t="s">
        <v>127</v>
      </c>
      <c r="BW48" s="25" t="s">
        <v>128</v>
      </c>
      <c r="BX48" s="25" t="s">
        <v>129</v>
      </c>
      <c r="BY48" s="25" t="s">
        <v>130</v>
      </c>
      <c r="BZ48" s="25" t="s">
        <v>131</v>
      </c>
      <c r="CE48" s="25" t="s">
        <v>126</v>
      </c>
      <c r="CF48" s="25" t="s">
        <v>127</v>
      </c>
      <c r="CG48" s="25" t="s">
        <v>128</v>
      </c>
      <c r="CH48" s="25" t="s">
        <v>129</v>
      </c>
      <c r="CI48" s="25" t="s">
        <v>130</v>
      </c>
      <c r="CJ48" s="25" t="s">
        <v>131</v>
      </c>
      <c r="CO48" s="25" t="s">
        <v>126</v>
      </c>
      <c r="CP48" s="25" t="s">
        <v>127</v>
      </c>
      <c r="CQ48" s="25" t="s">
        <v>128</v>
      </c>
      <c r="CR48" s="25" t="s">
        <v>129</v>
      </c>
      <c r="CS48" s="25" t="s">
        <v>130</v>
      </c>
      <c r="CT48" s="25" t="s">
        <v>131</v>
      </c>
      <c r="CY48" s="25" t="s">
        <v>126</v>
      </c>
      <c r="CZ48" s="25" t="s">
        <v>127</v>
      </c>
      <c r="DA48" s="25" t="s">
        <v>128</v>
      </c>
      <c r="DB48" s="25" t="s">
        <v>129</v>
      </c>
      <c r="DC48" s="25" t="s">
        <v>130</v>
      </c>
      <c r="DD48" s="25" t="s">
        <v>131</v>
      </c>
      <c r="DI48" s="25" t="s">
        <v>126</v>
      </c>
      <c r="DJ48" s="25" t="s">
        <v>127</v>
      </c>
      <c r="DK48" s="25" t="s">
        <v>128</v>
      </c>
      <c r="DL48" s="25" t="s">
        <v>129</v>
      </c>
      <c r="DM48" s="25" t="s">
        <v>130</v>
      </c>
      <c r="DN48" s="25" t="s">
        <v>131</v>
      </c>
      <c r="DS48" s="25" t="s">
        <v>126</v>
      </c>
      <c r="DT48" s="25" t="s">
        <v>127</v>
      </c>
      <c r="DU48" s="25" t="s">
        <v>128</v>
      </c>
      <c r="DV48" s="25" t="s">
        <v>129</v>
      </c>
      <c r="DW48" s="25" t="s">
        <v>130</v>
      </c>
      <c r="DX48" s="25" t="s">
        <v>131</v>
      </c>
      <c r="EC48" s="25" t="s">
        <v>126</v>
      </c>
      <c r="ED48" s="25" t="s">
        <v>127</v>
      </c>
      <c r="EE48" s="25" t="s">
        <v>128</v>
      </c>
      <c r="EF48" s="25" t="s">
        <v>129</v>
      </c>
      <c r="EG48" s="25" t="s">
        <v>130</v>
      </c>
      <c r="EH48" s="25" t="s">
        <v>131</v>
      </c>
      <c r="EM48" s="25" t="s">
        <v>126</v>
      </c>
      <c r="EN48" s="25" t="s">
        <v>127</v>
      </c>
      <c r="EO48" s="25" t="s">
        <v>128</v>
      </c>
      <c r="EP48" s="25" t="s">
        <v>129</v>
      </c>
      <c r="EQ48" s="25" t="s">
        <v>130</v>
      </c>
      <c r="ER48" s="25" t="s">
        <v>131</v>
      </c>
      <c r="EW48" s="25" t="s">
        <v>126</v>
      </c>
      <c r="EX48" s="25" t="s">
        <v>127</v>
      </c>
      <c r="EY48" s="25" t="s">
        <v>128</v>
      </c>
      <c r="EZ48" s="25" t="s">
        <v>129</v>
      </c>
      <c r="FA48" s="25" t="s">
        <v>130</v>
      </c>
      <c r="FB48" s="25" t="s">
        <v>131</v>
      </c>
      <c r="FG48" s="25" t="s">
        <v>126</v>
      </c>
      <c r="FH48" s="25" t="s">
        <v>127</v>
      </c>
      <c r="FI48" s="25" t="s">
        <v>128</v>
      </c>
      <c r="FJ48" s="25" t="s">
        <v>129</v>
      </c>
      <c r="FK48" s="25" t="s">
        <v>130</v>
      </c>
      <c r="FL48" s="25" t="s">
        <v>131</v>
      </c>
    </row>
    <row r="49" spans="2:168">
      <c r="B49" s="25">
        <v>11</v>
      </c>
      <c r="C49" s="25">
        <v>-33.370525360107422</v>
      </c>
      <c r="D49" s="25">
        <v>4565.0615234375</v>
      </c>
      <c r="E49" s="25">
        <v>0</v>
      </c>
      <c r="F49" s="25">
        <v>0</v>
      </c>
      <c r="G49" s="25">
        <v>0</v>
      </c>
      <c r="H49" s="25">
        <v>-204.69662475585937</v>
      </c>
      <c r="L49" s="25">
        <v>11</v>
      </c>
      <c r="M49" s="25">
        <v>-36.456501007080078</v>
      </c>
      <c r="N49" s="25">
        <v>2704.9423828125</v>
      </c>
      <c r="O49" s="25">
        <v>0</v>
      </c>
      <c r="P49" s="25">
        <v>0</v>
      </c>
      <c r="Q49" s="25">
        <v>0</v>
      </c>
      <c r="R49" s="25">
        <v>-241.26873779296875</v>
      </c>
      <c r="V49" s="25">
        <v>11</v>
      </c>
      <c r="W49" s="25">
        <v>62.533592224121094</v>
      </c>
      <c r="X49" s="25">
        <v>-34.640914916992188</v>
      </c>
      <c r="Y49" s="25">
        <v>0</v>
      </c>
      <c r="Z49" s="25">
        <v>0</v>
      </c>
      <c r="AA49" s="25">
        <v>0</v>
      </c>
      <c r="AB49" s="25">
        <v>546.19049072265625</v>
      </c>
      <c r="AF49" s="25">
        <v>11</v>
      </c>
      <c r="AG49" s="25">
        <v>-69.797004699707031</v>
      </c>
      <c r="AH49" s="25">
        <v>52.043552398681641</v>
      </c>
      <c r="AI49" s="25">
        <v>0</v>
      </c>
      <c r="AJ49" s="25">
        <v>0</v>
      </c>
      <c r="AK49" s="25">
        <v>0</v>
      </c>
      <c r="AL49" s="25">
        <v>-607.462890625</v>
      </c>
      <c r="AP49" s="25">
        <v>11</v>
      </c>
      <c r="AQ49" s="25">
        <v>-0.9002068042755127</v>
      </c>
      <c r="AR49" s="25">
        <v>75.985488891601563</v>
      </c>
      <c r="AS49" s="25">
        <v>0</v>
      </c>
      <c r="AT49" s="25">
        <v>0</v>
      </c>
      <c r="AU49" s="25">
        <v>0</v>
      </c>
      <c r="AV49" s="25">
        <v>-5.5938215255737305</v>
      </c>
      <c r="AZ49" s="25">
        <v>11</v>
      </c>
      <c r="BA49" s="25">
        <v>-2.0744540691375732</v>
      </c>
      <c r="BB49" s="25">
        <v>181.37562561035156</v>
      </c>
      <c r="BC49" s="25">
        <v>0</v>
      </c>
      <c r="BD49" s="25">
        <v>0</v>
      </c>
      <c r="BE49" s="25">
        <v>0</v>
      </c>
      <c r="BF49" s="25">
        <v>-12.885334014892578</v>
      </c>
      <c r="BJ49" s="25">
        <v>11</v>
      </c>
      <c r="BK49" s="25">
        <v>-3.9183387756347656</v>
      </c>
      <c r="BL49" s="25">
        <v>342.70645141601562</v>
      </c>
      <c r="BM49" s="25">
        <v>0</v>
      </c>
      <c r="BN49" s="25">
        <v>0</v>
      </c>
      <c r="BO49" s="25">
        <v>0</v>
      </c>
      <c r="BP49" s="25">
        <v>-24.338508605957031</v>
      </c>
      <c r="BT49" s="25">
        <v>11</v>
      </c>
      <c r="BU49" s="25">
        <v>-1.2357428073883057</v>
      </c>
      <c r="BV49" s="25">
        <v>427.11962890625</v>
      </c>
      <c r="BW49" s="25">
        <v>0</v>
      </c>
      <c r="BX49" s="25">
        <v>0</v>
      </c>
      <c r="BY49" s="25">
        <v>0</v>
      </c>
      <c r="BZ49" s="25">
        <v>-13.062807083129883</v>
      </c>
      <c r="CD49" s="25">
        <v>11</v>
      </c>
      <c r="CE49" s="25">
        <v>-0.61387449502944946</v>
      </c>
      <c r="CF49" s="25">
        <v>297.16741943359375</v>
      </c>
      <c r="CG49" s="25">
        <v>0</v>
      </c>
      <c r="CH49" s="25">
        <v>0</v>
      </c>
      <c r="CI49" s="25">
        <v>0</v>
      </c>
      <c r="CJ49" s="25">
        <v>-5.2916803359985352</v>
      </c>
      <c r="CN49" s="25">
        <v>11</v>
      </c>
      <c r="CO49" s="25">
        <v>5.0293333828449249E-2</v>
      </c>
      <c r="CP49" s="25">
        <v>-42.119068145751953</v>
      </c>
      <c r="CQ49" s="25">
        <v>0</v>
      </c>
      <c r="CR49" s="25">
        <v>0</v>
      </c>
      <c r="CS49" s="25">
        <v>0</v>
      </c>
      <c r="CT49" s="25">
        <v>6.0170888900756836</v>
      </c>
      <c r="CX49" s="25">
        <v>11</v>
      </c>
      <c r="CY49" s="25">
        <v>-1.2357428073883057</v>
      </c>
      <c r="CZ49" s="25">
        <v>427.11962890625</v>
      </c>
      <c r="DA49" s="25">
        <v>0</v>
      </c>
      <c r="DB49" s="25">
        <v>0</v>
      </c>
      <c r="DC49" s="25">
        <v>0</v>
      </c>
      <c r="DD49" s="25">
        <v>-13.062807083129883</v>
      </c>
      <c r="DH49" s="25">
        <v>11</v>
      </c>
      <c r="DI49" s="25">
        <v>-0.61387449502944946</v>
      </c>
      <c r="DJ49" s="25">
        <v>297.16741943359375</v>
      </c>
      <c r="DK49" s="25">
        <v>0</v>
      </c>
      <c r="DL49" s="25">
        <v>0</v>
      </c>
      <c r="DM49" s="25">
        <v>0</v>
      </c>
      <c r="DN49" s="25">
        <v>-5.2916803359985352</v>
      </c>
      <c r="DR49" s="25">
        <v>11</v>
      </c>
      <c r="DS49" s="25">
        <v>5.0293333828449249E-2</v>
      </c>
      <c r="DT49" s="25">
        <v>-42.119068145751953</v>
      </c>
      <c r="DU49" s="25">
        <v>0</v>
      </c>
      <c r="DV49" s="25">
        <v>0</v>
      </c>
      <c r="DW49" s="25">
        <v>0</v>
      </c>
      <c r="DX49" s="25">
        <v>6.0170888900756836</v>
      </c>
      <c r="EB49" s="25">
        <v>11</v>
      </c>
      <c r="EC49" s="25">
        <v>18.616500854492188</v>
      </c>
      <c r="ED49" s="25">
        <v>-65.051536560058594</v>
      </c>
      <c r="EE49" s="25">
        <v>0</v>
      </c>
      <c r="EF49" s="25">
        <v>0</v>
      </c>
      <c r="EG49" s="25">
        <v>0</v>
      </c>
      <c r="EH49" s="25">
        <v>162.43911743164062</v>
      </c>
      <c r="EL49" s="25">
        <v>11</v>
      </c>
      <c r="EM49" s="25">
        <v>10.197101593017578</v>
      </c>
      <c r="EN49" s="25">
        <v>-33.8817138671875</v>
      </c>
      <c r="EO49" s="25">
        <v>0</v>
      </c>
      <c r="EP49" s="25">
        <v>0</v>
      </c>
      <c r="EQ49" s="25">
        <v>0</v>
      </c>
      <c r="ER49" s="25">
        <v>88.915481567382813</v>
      </c>
      <c r="EV49" s="25">
        <v>11</v>
      </c>
      <c r="EW49" s="25">
        <v>147.19502258300781</v>
      </c>
      <c r="EX49" s="25">
        <v>-454.31521606445312</v>
      </c>
      <c r="EY49" s="25">
        <v>0</v>
      </c>
      <c r="EZ49" s="25">
        <v>0</v>
      </c>
      <c r="FA49" s="25">
        <v>0</v>
      </c>
      <c r="FB49" s="25">
        <v>1281.315673828125</v>
      </c>
      <c r="FF49" s="25">
        <v>11</v>
      </c>
      <c r="FG49" s="25">
        <v>294.4024658203125</v>
      </c>
      <c r="FH49" s="25">
        <v>-880.189697265625</v>
      </c>
      <c r="FI49" s="25">
        <v>0</v>
      </c>
      <c r="FJ49" s="25">
        <v>0</v>
      </c>
      <c r="FK49" s="25">
        <v>0</v>
      </c>
      <c r="FL49" s="25">
        <v>2562.00732421875</v>
      </c>
    </row>
    <row r="50" spans="2:168">
      <c r="B50" s="25">
        <v>12</v>
      </c>
      <c r="C50" s="25">
        <v>-9.2187128067016602</v>
      </c>
      <c r="D50" s="25">
        <v>5930.5185546875</v>
      </c>
      <c r="E50" s="25">
        <v>0</v>
      </c>
      <c r="F50" s="25">
        <v>0</v>
      </c>
      <c r="G50" s="25">
        <v>0</v>
      </c>
      <c r="H50" s="25">
        <v>-57.096469879150391</v>
      </c>
      <c r="L50" s="25">
        <v>12</v>
      </c>
      <c r="M50" s="25">
        <v>-8.9320163726806641</v>
      </c>
      <c r="N50" s="25">
        <v>3677.546142578125</v>
      </c>
      <c r="O50" s="25">
        <v>0</v>
      </c>
      <c r="P50" s="25">
        <v>0</v>
      </c>
      <c r="Q50" s="25">
        <v>0</v>
      </c>
      <c r="R50" s="25">
        <v>-73.043601989746094</v>
      </c>
      <c r="V50" s="25">
        <v>12</v>
      </c>
      <c r="W50" s="25">
        <v>14.766364097595215</v>
      </c>
      <c r="X50" s="25">
        <v>123.18038177490234</v>
      </c>
      <c r="Y50" s="25">
        <v>0</v>
      </c>
      <c r="Z50" s="25">
        <v>0</v>
      </c>
      <c r="AA50" s="25">
        <v>0</v>
      </c>
      <c r="AB50" s="25">
        <v>128.67793273925781</v>
      </c>
      <c r="AF50" s="25">
        <v>12</v>
      </c>
      <c r="AG50" s="25">
        <v>23.989080429077148</v>
      </c>
      <c r="AH50" s="25">
        <v>-65.6146240234375</v>
      </c>
      <c r="AI50" s="25">
        <v>0</v>
      </c>
      <c r="AJ50" s="25">
        <v>0</v>
      </c>
      <c r="AK50" s="25">
        <v>0</v>
      </c>
      <c r="AL50" s="25">
        <v>205.2548828125</v>
      </c>
      <c r="AP50" s="25">
        <v>12</v>
      </c>
      <c r="AQ50" s="25">
        <v>-0.34302970767021179</v>
      </c>
      <c r="AR50" s="25">
        <v>111.75552368164062</v>
      </c>
      <c r="AS50" s="25">
        <v>0</v>
      </c>
      <c r="AT50" s="25">
        <v>0</v>
      </c>
      <c r="AU50" s="25">
        <v>0</v>
      </c>
      <c r="AV50" s="25">
        <v>-2.1898295879364014</v>
      </c>
      <c r="AZ50" s="25">
        <v>12</v>
      </c>
      <c r="BA50" s="25">
        <v>-0.79613083600997925</v>
      </c>
      <c r="BB50" s="25">
        <v>264.316650390625</v>
      </c>
      <c r="BC50" s="25">
        <v>0</v>
      </c>
      <c r="BD50" s="25">
        <v>0</v>
      </c>
      <c r="BE50" s="25">
        <v>0</v>
      </c>
      <c r="BF50" s="25">
        <v>-5.0756816864013672</v>
      </c>
      <c r="BJ50" s="25">
        <v>12</v>
      </c>
      <c r="BK50" s="25">
        <v>-1.503750205039978</v>
      </c>
      <c r="BL50" s="25">
        <v>499.36785888671875</v>
      </c>
      <c r="BM50" s="25">
        <v>0</v>
      </c>
      <c r="BN50" s="25">
        <v>0</v>
      </c>
      <c r="BO50" s="25">
        <v>0</v>
      </c>
      <c r="BP50" s="25">
        <v>-9.5870780944824219</v>
      </c>
      <c r="BT50" s="25">
        <v>12</v>
      </c>
      <c r="BU50" s="25">
        <v>0.63440495729446411</v>
      </c>
      <c r="BV50" s="25">
        <v>304.5057373046875</v>
      </c>
      <c r="BW50" s="25">
        <v>0</v>
      </c>
      <c r="BX50" s="25">
        <v>0</v>
      </c>
      <c r="BY50" s="25">
        <v>0</v>
      </c>
      <c r="BZ50" s="25">
        <v>-1.6221864223480225</v>
      </c>
      <c r="CD50" s="25">
        <v>12</v>
      </c>
      <c r="CE50" s="25">
        <v>1.1738096475601196</v>
      </c>
      <c r="CF50" s="25">
        <v>240.45773315429687</v>
      </c>
      <c r="CG50" s="25">
        <v>0</v>
      </c>
      <c r="CH50" s="25">
        <v>0</v>
      </c>
      <c r="CI50" s="25">
        <v>0</v>
      </c>
      <c r="CJ50" s="25">
        <v>5.6493067741394043</v>
      </c>
      <c r="CN50" s="25">
        <v>12</v>
      </c>
      <c r="CO50" s="25">
        <v>-0.62438154220581055</v>
      </c>
      <c r="CP50" s="25">
        <v>111.36489868164062</v>
      </c>
      <c r="CQ50" s="25">
        <v>0</v>
      </c>
      <c r="CR50" s="25">
        <v>0</v>
      </c>
      <c r="CS50" s="25">
        <v>0</v>
      </c>
      <c r="CT50" s="25">
        <v>1.8863962888717651</v>
      </c>
      <c r="CX50" s="25">
        <v>12</v>
      </c>
      <c r="CY50" s="25">
        <v>0.63440495729446411</v>
      </c>
      <c r="CZ50" s="25">
        <v>304.5057373046875</v>
      </c>
      <c r="DA50" s="25">
        <v>0</v>
      </c>
      <c r="DB50" s="25">
        <v>0</v>
      </c>
      <c r="DC50" s="25">
        <v>0</v>
      </c>
      <c r="DD50" s="25">
        <v>-1.6221864223480225</v>
      </c>
      <c r="DH50" s="25">
        <v>12</v>
      </c>
      <c r="DI50" s="25">
        <v>1.1738096475601196</v>
      </c>
      <c r="DJ50" s="25">
        <v>240.45773315429687</v>
      </c>
      <c r="DK50" s="25">
        <v>0</v>
      </c>
      <c r="DL50" s="25">
        <v>0</v>
      </c>
      <c r="DM50" s="25">
        <v>0</v>
      </c>
      <c r="DN50" s="25">
        <v>5.6493067741394043</v>
      </c>
      <c r="DR50" s="25">
        <v>12</v>
      </c>
      <c r="DS50" s="25">
        <v>-0.62438154220581055</v>
      </c>
      <c r="DT50" s="25">
        <v>111.36489868164062</v>
      </c>
      <c r="DU50" s="25">
        <v>0</v>
      </c>
      <c r="DV50" s="25">
        <v>0</v>
      </c>
      <c r="DW50" s="25">
        <v>0</v>
      </c>
      <c r="DX50" s="25">
        <v>1.8863962888717651</v>
      </c>
      <c r="EB50" s="25">
        <v>12</v>
      </c>
      <c r="EC50" s="25">
        <v>19.091854095458984</v>
      </c>
      <c r="ED50" s="25">
        <v>-2.9342925548553467</v>
      </c>
      <c r="EE50" s="25">
        <v>0</v>
      </c>
      <c r="EF50" s="25">
        <v>0</v>
      </c>
      <c r="EG50" s="25">
        <v>0</v>
      </c>
      <c r="EH50" s="25">
        <v>165.34512329101562</v>
      </c>
      <c r="EL50" s="25">
        <v>12</v>
      </c>
      <c r="EM50" s="25">
        <v>10.467860221862793</v>
      </c>
      <c r="EN50" s="25">
        <v>-1.8015804290771484</v>
      </c>
      <c r="EO50" s="25">
        <v>0</v>
      </c>
      <c r="EP50" s="25">
        <v>0</v>
      </c>
      <c r="EQ50" s="25">
        <v>0</v>
      </c>
      <c r="ER50" s="25">
        <v>90.570953369140625</v>
      </c>
      <c r="EV50" s="25">
        <v>12</v>
      </c>
      <c r="EW50" s="25">
        <v>151.36689758300781</v>
      </c>
      <c r="EX50" s="25">
        <v>-57.06207275390625</v>
      </c>
      <c r="EY50" s="25">
        <v>0</v>
      </c>
      <c r="EZ50" s="25">
        <v>0</v>
      </c>
      <c r="FA50" s="25">
        <v>0</v>
      </c>
      <c r="FB50" s="25">
        <v>1306.8345947265625</v>
      </c>
      <c r="FF50" s="25">
        <v>12</v>
      </c>
      <c r="FG50" s="25">
        <v>302.76171875</v>
      </c>
      <c r="FH50" s="25">
        <v>-104.49756622314453</v>
      </c>
      <c r="FI50" s="25">
        <v>0</v>
      </c>
      <c r="FJ50" s="25">
        <v>0</v>
      </c>
      <c r="FK50" s="25">
        <v>0</v>
      </c>
      <c r="FL50" s="25">
        <v>2613.1396484375</v>
      </c>
    </row>
    <row r="51" spans="2:168">
      <c r="B51" s="25">
        <v>13</v>
      </c>
      <c r="C51" s="25">
        <v>9.768458366394043</v>
      </c>
      <c r="D51" s="25">
        <v>5826.20361328125</v>
      </c>
      <c r="E51" s="25">
        <v>0</v>
      </c>
      <c r="F51" s="25">
        <v>0</v>
      </c>
      <c r="G51" s="25">
        <v>0</v>
      </c>
      <c r="H51" s="25">
        <v>58.801315307617188</v>
      </c>
      <c r="L51" s="25">
        <v>13</v>
      </c>
      <c r="M51" s="25">
        <v>20.024114608764648</v>
      </c>
      <c r="N51" s="25">
        <v>2812.76904296875</v>
      </c>
      <c r="O51" s="25">
        <v>0</v>
      </c>
      <c r="P51" s="25">
        <v>0</v>
      </c>
      <c r="Q51" s="25">
        <v>0</v>
      </c>
      <c r="R51" s="25">
        <v>103.87155151367187</v>
      </c>
      <c r="V51" s="25">
        <v>13</v>
      </c>
      <c r="W51" s="25">
        <v>-13.524229049682617</v>
      </c>
      <c r="X51" s="25">
        <v>104.53864288330078</v>
      </c>
      <c r="Y51" s="25">
        <v>0</v>
      </c>
      <c r="Z51" s="25">
        <v>0</v>
      </c>
      <c r="AA51" s="25">
        <v>0</v>
      </c>
      <c r="AB51" s="25">
        <v>-119.43859100341797</v>
      </c>
      <c r="AF51" s="25">
        <v>13</v>
      </c>
      <c r="AG51" s="25">
        <v>23.098335266113281</v>
      </c>
      <c r="AH51" s="25">
        <v>-31.134305953979492</v>
      </c>
      <c r="AI51" s="25">
        <v>0</v>
      </c>
      <c r="AJ51" s="25">
        <v>0</v>
      </c>
      <c r="AK51" s="25">
        <v>0</v>
      </c>
      <c r="AL51" s="25">
        <v>199.95762634277344</v>
      </c>
      <c r="AP51" s="25">
        <v>13</v>
      </c>
      <c r="AQ51" s="25">
        <v>0.28183895349502563</v>
      </c>
      <c r="AR51" s="25">
        <v>111.04856872558594</v>
      </c>
      <c r="AS51" s="25">
        <v>0</v>
      </c>
      <c r="AT51" s="25">
        <v>0</v>
      </c>
      <c r="AU51" s="25">
        <v>0</v>
      </c>
      <c r="AV51" s="25">
        <v>1.6257219314575195</v>
      </c>
      <c r="AZ51" s="25">
        <v>13</v>
      </c>
      <c r="BA51" s="25">
        <v>0.6584516167640686</v>
      </c>
      <c r="BB51" s="25">
        <v>262.72601318359375</v>
      </c>
      <c r="BC51" s="25">
        <v>0</v>
      </c>
      <c r="BD51" s="25">
        <v>0</v>
      </c>
      <c r="BE51" s="25">
        <v>0</v>
      </c>
      <c r="BF51" s="25">
        <v>3.8064396381378174</v>
      </c>
      <c r="BJ51" s="25">
        <v>13</v>
      </c>
      <c r="BK51" s="25">
        <v>1.2436895370483398</v>
      </c>
      <c r="BL51" s="25">
        <v>496.36328125</v>
      </c>
      <c r="BM51" s="25">
        <v>0</v>
      </c>
      <c r="BN51" s="25">
        <v>0</v>
      </c>
      <c r="BO51" s="25">
        <v>0</v>
      </c>
      <c r="BP51" s="25">
        <v>7.1896214485168457</v>
      </c>
      <c r="BT51" s="25">
        <v>13</v>
      </c>
      <c r="BU51" s="25">
        <v>0.56619340181350708</v>
      </c>
      <c r="BV51" s="25">
        <v>123.35663604736328</v>
      </c>
      <c r="BW51" s="25">
        <v>0</v>
      </c>
      <c r="BX51" s="25">
        <v>0</v>
      </c>
      <c r="BY51" s="25">
        <v>0</v>
      </c>
      <c r="BZ51" s="25">
        <v>-2.0449817180633545</v>
      </c>
      <c r="CD51" s="25">
        <v>13</v>
      </c>
      <c r="CE51" s="25">
        <v>0.23219484090805054</v>
      </c>
      <c r="CF51" s="25">
        <v>152.284912109375</v>
      </c>
      <c r="CG51" s="25">
        <v>0</v>
      </c>
      <c r="CH51" s="25">
        <v>0</v>
      </c>
      <c r="CI51" s="25">
        <v>0</v>
      </c>
      <c r="CJ51" s="25">
        <v>-0.11154847592115402</v>
      </c>
      <c r="CN51" s="25">
        <v>13</v>
      </c>
      <c r="CO51" s="25">
        <v>-1.1910519599914551</v>
      </c>
      <c r="CP51" s="25">
        <v>316.5816650390625</v>
      </c>
      <c r="CQ51" s="25">
        <v>0</v>
      </c>
      <c r="CR51" s="25">
        <v>0</v>
      </c>
      <c r="CS51" s="25">
        <v>0</v>
      </c>
      <c r="CT51" s="25">
        <v>-1.5882942676544189</v>
      </c>
      <c r="CX51" s="25">
        <v>13</v>
      </c>
      <c r="CY51" s="25">
        <v>0.56619340181350708</v>
      </c>
      <c r="CZ51" s="25">
        <v>123.35663604736328</v>
      </c>
      <c r="DA51" s="25">
        <v>0</v>
      </c>
      <c r="DB51" s="25">
        <v>0</v>
      </c>
      <c r="DC51" s="25">
        <v>0</v>
      </c>
      <c r="DD51" s="25">
        <v>-2.0449817180633545</v>
      </c>
      <c r="DH51" s="25">
        <v>13</v>
      </c>
      <c r="DI51" s="25">
        <v>0.23219484090805054</v>
      </c>
      <c r="DJ51" s="25">
        <v>152.284912109375</v>
      </c>
      <c r="DK51" s="25">
        <v>0</v>
      </c>
      <c r="DL51" s="25">
        <v>0</v>
      </c>
      <c r="DM51" s="25">
        <v>0</v>
      </c>
      <c r="DN51" s="25">
        <v>-0.11154847592115402</v>
      </c>
      <c r="DR51" s="25">
        <v>13</v>
      </c>
      <c r="DS51" s="25">
        <v>-1.1910519599914551</v>
      </c>
      <c r="DT51" s="25">
        <v>316.5816650390625</v>
      </c>
      <c r="DU51" s="25">
        <v>0</v>
      </c>
      <c r="DV51" s="25">
        <v>0</v>
      </c>
      <c r="DW51" s="25">
        <v>0</v>
      </c>
      <c r="DX51" s="25">
        <v>-1.5882942676544189</v>
      </c>
      <c r="EB51" s="25">
        <v>13</v>
      </c>
      <c r="EC51" s="25">
        <v>19.706117630004883</v>
      </c>
      <c r="ED51" s="25">
        <v>23.654167175292969</v>
      </c>
      <c r="EE51" s="25">
        <v>0</v>
      </c>
      <c r="EF51" s="25">
        <v>0</v>
      </c>
      <c r="EG51" s="25">
        <v>0</v>
      </c>
      <c r="EH51" s="25">
        <v>169.10111999511719</v>
      </c>
      <c r="EL51" s="25">
        <v>13</v>
      </c>
      <c r="EM51" s="25">
        <v>10.764162063598633</v>
      </c>
      <c r="EN51" s="25">
        <v>11.796228408813477</v>
      </c>
      <c r="EO51" s="25">
        <v>0</v>
      </c>
      <c r="EP51" s="25">
        <v>0</v>
      </c>
      <c r="EQ51" s="25">
        <v>0</v>
      </c>
      <c r="ER51" s="25">
        <v>92.382736206054687</v>
      </c>
      <c r="EV51" s="25">
        <v>13</v>
      </c>
      <c r="EW51" s="25">
        <v>153.75514221191406</v>
      </c>
      <c r="EX51" s="25">
        <v>116.16238403320312</v>
      </c>
      <c r="EY51" s="25">
        <v>0</v>
      </c>
      <c r="EZ51" s="25">
        <v>0</v>
      </c>
      <c r="FA51" s="25">
        <v>0</v>
      </c>
      <c r="FB51" s="25">
        <v>1321.44140625</v>
      </c>
      <c r="FF51" s="25">
        <v>13</v>
      </c>
      <c r="FG51" s="25">
        <v>307.537841796875</v>
      </c>
      <c r="FH51" s="25">
        <v>222.68508911132812</v>
      </c>
      <c r="FI51" s="25">
        <v>0</v>
      </c>
      <c r="FJ51" s="25">
        <v>0</v>
      </c>
      <c r="FK51" s="25">
        <v>0</v>
      </c>
      <c r="FL51" s="25">
        <v>2642.35107421875</v>
      </c>
    </row>
    <row r="52" spans="2:168">
      <c r="B52" s="25">
        <v>14</v>
      </c>
      <c r="C52" s="25">
        <v>32.820781707763672</v>
      </c>
      <c r="D52" s="25">
        <v>4507.81640625</v>
      </c>
      <c r="E52" s="25">
        <v>0</v>
      </c>
      <c r="F52" s="25">
        <v>0</v>
      </c>
      <c r="G52" s="25">
        <v>0</v>
      </c>
      <c r="H52" s="25">
        <v>199.67384338378906</v>
      </c>
      <c r="L52" s="25">
        <v>14</v>
      </c>
      <c r="M52" s="25">
        <v>25.364400863647461</v>
      </c>
      <c r="N52" s="25">
        <v>957.742431640625</v>
      </c>
      <c r="O52" s="25">
        <v>0</v>
      </c>
      <c r="P52" s="25">
        <v>0</v>
      </c>
      <c r="Q52" s="25">
        <v>0</v>
      </c>
      <c r="R52" s="25">
        <v>136.35453796386719</v>
      </c>
      <c r="V52" s="25">
        <v>14</v>
      </c>
      <c r="W52" s="25">
        <v>-63.775726318359375</v>
      </c>
      <c r="X52" s="25">
        <v>-73.078102111816406</v>
      </c>
      <c r="Y52" s="25">
        <v>0</v>
      </c>
      <c r="Z52" s="25">
        <v>0</v>
      </c>
      <c r="AA52" s="25">
        <v>0</v>
      </c>
      <c r="AB52" s="25">
        <v>-557.10491943359375</v>
      </c>
      <c r="AF52" s="25">
        <v>14</v>
      </c>
      <c r="AG52" s="25">
        <v>22.709587097167969</v>
      </c>
      <c r="AH52" s="25">
        <v>40.905372619628906</v>
      </c>
      <c r="AI52" s="25">
        <v>0</v>
      </c>
      <c r="AJ52" s="25">
        <v>0</v>
      </c>
      <c r="AK52" s="25">
        <v>0</v>
      </c>
      <c r="AL52" s="25">
        <v>198.25373840332031</v>
      </c>
      <c r="AP52" s="25">
        <v>14</v>
      </c>
      <c r="AQ52" s="25">
        <v>0.96139752864837646</v>
      </c>
      <c r="AR52" s="25">
        <v>70.210418701171875</v>
      </c>
      <c r="AS52" s="25">
        <v>0</v>
      </c>
      <c r="AT52" s="25">
        <v>0</v>
      </c>
      <c r="AU52" s="25">
        <v>0</v>
      </c>
      <c r="AV52" s="25">
        <v>5.7785501480102539</v>
      </c>
      <c r="AZ52" s="25">
        <v>14</v>
      </c>
      <c r="BA52" s="25">
        <v>2.2121334075927734</v>
      </c>
      <c r="BB52" s="25">
        <v>168.3817138671875</v>
      </c>
      <c r="BC52" s="25">
        <v>0</v>
      </c>
      <c r="BD52" s="25">
        <v>0</v>
      </c>
      <c r="BE52" s="25">
        <v>0</v>
      </c>
      <c r="BF52" s="25">
        <v>13.300972938537598</v>
      </c>
      <c r="BJ52" s="25">
        <v>14</v>
      </c>
      <c r="BK52" s="25">
        <v>4.1783995628356934</v>
      </c>
      <c r="BL52" s="25">
        <v>318.16241455078125</v>
      </c>
      <c r="BM52" s="25">
        <v>0</v>
      </c>
      <c r="BN52" s="25">
        <v>0</v>
      </c>
      <c r="BO52" s="25">
        <v>0</v>
      </c>
      <c r="BP52" s="25">
        <v>25.123603820800781</v>
      </c>
      <c r="BT52" s="25">
        <v>14</v>
      </c>
      <c r="BU52" s="25">
        <v>3.5144399851560593E-2</v>
      </c>
      <c r="BV52" s="25">
        <v>-27.482006072998047</v>
      </c>
      <c r="BW52" s="25">
        <v>0</v>
      </c>
      <c r="BX52" s="25">
        <v>0</v>
      </c>
      <c r="BY52" s="25">
        <v>0</v>
      </c>
      <c r="BZ52" s="25">
        <v>-5.2969632148742676</v>
      </c>
      <c r="CD52" s="25">
        <v>14</v>
      </c>
      <c r="CE52" s="25">
        <v>-0.79213005304336548</v>
      </c>
      <c r="CF52" s="25">
        <v>137.58993530273437</v>
      </c>
      <c r="CG52" s="25">
        <v>0</v>
      </c>
      <c r="CH52" s="25">
        <v>0</v>
      </c>
      <c r="CI52" s="25">
        <v>0</v>
      </c>
      <c r="CJ52" s="25">
        <v>-6.3768682479858398</v>
      </c>
      <c r="CN52" s="25">
        <v>14</v>
      </c>
      <c r="CO52" s="25">
        <v>1.765140175819397</v>
      </c>
      <c r="CP52" s="25">
        <v>441.6724853515625</v>
      </c>
      <c r="CQ52" s="25">
        <v>0</v>
      </c>
      <c r="CR52" s="25">
        <v>0</v>
      </c>
      <c r="CS52" s="25">
        <v>0</v>
      </c>
      <c r="CT52" s="25">
        <v>16.497802734375</v>
      </c>
      <c r="CX52" s="25">
        <v>14</v>
      </c>
      <c r="CY52" s="25">
        <v>3.5144399851560593E-2</v>
      </c>
      <c r="CZ52" s="25">
        <v>-27.482006072998047</v>
      </c>
      <c r="DA52" s="25">
        <v>0</v>
      </c>
      <c r="DB52" s="25">
        <v>0</v>
      </c>
      <c r="DC52" s="25">
        <v>0</v>
      </c>
      <c r="DD52" s="25">
        <v>-5.2969632148742676</v>
      </c>
      <c r="DH52" s="25">
        <v>14</v>
      </c>
      <c r="DI52" s="25">
        <v>-0.79213005304336548</v>
      </c>
      <c r="DJ52" s="25">
        <v>137.58993530273437</v>
      </c>
      <c r="DK52" s="25">
        <v>0</v>
      </c>
      <c r="DL52" s="25">
        <v>0</v>
      </c>
      <c r="DM52" s="25">
        <v>0</v>
      </c>
      <c r="DN52" s="25">
        <v>-6.3768682479858398</v>
      </c>
      <c r="DR52" s="25">
        <v>14</v>
      </c>
      <c r="DS52" s="25">
        <v>1.765140175819397</v>
      </c>
      <c r="DT52" s="25">
        <v>441.6724853515625</v>
      </c>
      <c r="DU52" s="25">
        <v>0</v>
      </c>
      <c r="DV52" s="25">
        <v>0</v>
      </c>
      <c r="DW52" s="25">
        <v>0</v>
      </c>
      <c r="DX52" s="25">
        <v>16.497802734375</v>
      </c>
      <c r="EB52" s="25">
        <v>14</v>
      </c>
      <c r="EC52" s="25">
        <v>19.225528717041016</v>
      </c>
      <c r="ED52" s="25">
        <v>44.3316650390625</v>
      </c>
      <c r="EE52" s="25">
        <v>0</v>
      </c>
      <c r="EF52" s="25">
        <v>0</v>
      </c>
      <c r="EG52" s="25">
        <v>0</v>
      </c>
      <c r="EH52" s="25">
        <v>166.15786743164062</v>
      </c>
      <c r="EL52" s="25">
        <v>14</v>
      </c>
      <c r="EM52" s="25">
        <v>10.490877151489258</v>
      </c>
      <c r="EN52" s="25">
        <v>23.887065887451172</v>
      </c>
      <c r="EO52" s="25">
        <v>0</v>
      </c>
      <c r="EP52" s="25">
        <v>0</v>
      </c>
      <c r="EQ52" s="25">
        <v>0</v>
      </c>
      <c r="ER52" s="25">
        <v>90.70928955078125</v>
      </c>
      <c r="EV52" s="25">
        <v>14</v>
      </c>
      <c r="EW52" s="25">
        <v>148.72294616699219</v>
      </c>
      <c r="EX52" s="25">
        <v>395.21490478515625</v>
      </c>
      <c r="EY52" s="25">
        <v>0</v>
      </c>
      <c r="EZ52" s="25">
        <v>0</v>
      </c>
      <c r="FA52" s="25">
        <v>0</v>
      </c>
      <c r="FB52" s="25">
        <v>1290.6417236328125</v>
      </c>
      <c r="FF52" s="25">
        <v>14</v>
      </c>
      <c r="FG52" s="25">
        <v>297.45794677734375</v>
      </c>
      <c r="FH52" s="25">
        <v>762.002197265625</v>
      </c>
      <c r="FI52" s="25">
        <v>0</v>
      </c>
      <c r="FJ52" s="25">
        <v>0</v>
      </c>
      <c r="FK52" s="25">
        <v>0</v>
      </c>
      <c r="FL52" s="25">
        <v>2580.65673828125</v>
      </c>
    </row>
    <row r="65" spans="2:170">
      <c r="B65" s="25" t="s">
        <v>132</v>
      </c>
      <c r="C65" s="25">
        <v>13</v>
      </c>
      <c r="L65" s="25" t="s">
        <v>132</v>
      </c>
      <c r="M65" s="25">
        <v>13</v>
      </c>
      <c r="V65" s="25" t="s">
        <v>132</v>
      </c>
      <c r="W65" s="25">
        <v>13</v>
      </c>
      <c r="AF65" s="25" t="s">
        <v>132</v>
      </c>
      <c r="AG65" s="25">
        <v>13</v>
      </c>
      <c r="AP65" s="25" t="s">
        <v>132</v>
      </c>
      <c r="AQ65" s="25">
        <v>13</v>
      </c>
      <c r="AZ65" s="25" t="s">
        <v>132</v>
      </c>
      <c r="BA65" s="25">
        <v>13</v>
      </c>
      <c r="BJ65" s="25" t="s">
        <v>132</v>
      </c>
      <c r="BK65" s="25">
        <v>13</v>
      </c>
      <c r="BT65" s="25" t="s">
        <v>132</v>
      </c>
      <c r="BU65" s="25">
        <v>13</v>
      </c>
      <c r="CD65" s="25" t="s">
        <v>132</v>
      </c>
      <c r="CE65" s="25">
        <v>13</v>
      </c>
      <c r="CN65" s="25" t="s">
        <v>132</v>
      </c>
      <c r="CO65" s="25">
        <v>13</v>
      </c>
      <c r="CX65" s="25" t="s">
        <v>132</v>
      </c>
      <c r="CY65" s="25">
        <v>13</v>
      </c>
      <c r="DH65" s="25" t="s">
        <v>132</v>
      </c>
      <c r="DI65" s="25">
        <v>13</v>
      </c>
      <c r="DR65" s="25" t="s">
        <v>132</v>
      </c>
      <c r="DS65" s="25">
        <v>13</v>
      </c>
      <c r="EB65" s="25" t="s">
        <v>132</v>
      </c>
      <c r="EC65" s="25">
        <v>13</v>
      </c>
      <c r="EL65" s="25" t="s">
        <v>132</v>
      </c>
      <c r="EM65" s="25">
        <v>13</v>
      </c>
      <c r="EV65" s="25" t="s">
        <v>132</v>
      </c>
      <c r="EW65" s="25">
        <v>13</v>
      </c>
      <c r="FF65" s="25" t="s">
        <v>132</v>
      </c>
      <c r="FG65" s="25">
        <v>13</v>
      </c>
    </row>
    <row r="67" spans="2:170">
      <c r="B67" s="25" t="s">
        <v>133</v>
      </c>
      <c r="L67" s="25" t="s">
        <v>133</v>
      </c>
      <c r="V67" s="25" t="s">
        <v>133</v>
      </c>
      <c r="AF67" s="25" t="s">
        <v>133</v>
      </c>
      <c r="AP67" s="25" t="s">
        <v>133</v>
      </c>
      <c r="AZ67" s="25" t="s">
        <v>133</v>
      </c>
      <c r="BJ67" s="25" t="s">
        <v>133</v>
      </c>
      <c r="BT67" s="25" t="s">
        <v>133</v>
      </c>
      <c r="CD67" s="25" t="s">
        <v>133</v>
      </c>
      <c r="CN67" s="25" t="s">
        <v>133</v>
      </c>
      <c r="CX67" s="25" t="s">
        <v>133</v>
      </c>
      <c r="DH67" s="25" t="s">
        <v>133</v>
      </c>
      <c r="DR67" s="25" t="s">
        <v>133</v>
      </c>
      <c r="EB67" s="25" t="s">
        <v>133</v>
      </c>
      <c r="EL67" s="25" t="s">
        <v>133</v>
      </c>
      <c r="EV67" s="25" t="s">
        <v>133</v>
      </c>
      <c r="FF67" s="25" t="s">
        <v>133</v>
      </c>
    </row>
    <row r="68" spans="2:170">
      <c r="C68" s="25" t="s">
        <v>134</v>
      </c>
      <c r="D68" s="25" t="s">
        <v>138</v>
      </c>
      <c r="E68" s="25" t="s">
        <v>135</v>
      </c>
      <c r="F68" s="25" t="s">
        <v>136</v>
      </c>
      <c r="G68" s="25" t="s">
        <v>137</v>
      </c>
      <c r="H68" s="25" t="s">
        <v>129</v>
      </c>
      <c r="I68" s="25" t="s">
        <v>130</v>
      </c>
      <c r="J68" s="25" t="s">
        <v>131</v>
      </c>
      <c r="M68" s="25" t="s">
        <v>134</v>
      </c>
      <c r="N68" s="25" t="s">
        <v>138</v>
      </c>
      <c r="O68" s="25" t="s">
        <v>135</v>
      </c>
      <c r="P68" s="25" t="s">
        <v>136</v>
      </c>
      <c r="Q68" s="25" t="s">
        <v>137</v>
      </c>
      <c r="R68" s="25" t="s">
        <v>129</v>
      </c>
      <c r="S68" s="25" t="s">
        <v>130</v>
      </c>
      <c r="T68" s="25" t="s">
        <v>131</v>
      </c>
      <c r="W68" s="25" t="s">
        <v>134</v>
      </c>
      <c r="X68" s="25" t="s">
        <v>138</v>
      </c>
      <c r="Y68" s="25" t="s">
        <v>135</v>
      </c>
      <c r="Z68" s="25" t="s">
        <v>136</v>
      </c>
      <c r="AA68" s="25" t="s">
        <v>137</v>
      </c>
      <c r="AB68" s="25" t="s">
        <v>129</v>
      </c>
      <c r="AC68" s="25" t="s">
        <v>130</v>
      </c>
      <c r="AD68" s="25" t="s">
        <v>131</v>
      </c>
      <c r="AG68" s="25" t="s">
        <v>134</v>
      </c>
      <c r="AH68" s="25" t="s">
        <v>138</v>
      </c>
      <c r="AI68" s="25" t="s">
        <v>135</v>
      </c>
      <c r="AJ68" s="25" t="s">
        <v>136</v>
      </c>
      <c r="AK68" s="25" t="s">
        <v>137</v>
      </c>
      <c r="AL68" s="25" t="s">
        <v>129</v>
      </c>
      <c r="AM68" s="25" t="s">
        <v>130</v>
      </c>
      <c r="AN68" s="25" t="s">
        <v>131</v>
      </c>
      <c r="AQ68" s="25" t="s">
        <v>134</v>
      </c>
      <c r="AR68" s="25" t="s">
        <v>138</v>
      </c>
      <c r="AS68" s="25" t="s">
        <v>135</v>
      </c>
      <c r="AT68" s="25" t="s">
        <v>136</v>
      </c>
      <c r="AU68" s="25" t="s">
        <v>137</v>
      </c>
      <c r="AV68" s="25" t="s">
        <v>129</v>
      </c>
      <c r="AW68" s="25" t="s">
        <v>130</v>
      </c>
      <c r="AX68" s="25" t="s">
        <v>131</v>
      </c>
      <c r="BA68" s="25" t="s">
        <v>134</v>
      </c>
      <c r="BB68" s="25" t="s">
        <v>138</v>
      </c>
      <c r="BC68" s="25" t="s">
        <v>135</v>
      </c>
      <c r="BD68" s="25" t="s">
        <v>136</v>
      </c>
      <c r="BE68" s="25" t="s">
        <v>137</v>
      </c>
      <c r="BF68" s="25" t="s">
        <v>129</v>
      </c>
      <c r="BG68" s="25" t="s">
        <v>130</v>
      </c>
      <c r="BH68" s="25" t="s">
        <v>131</v>
      </c>
      <c r="BK68" s="25" t="s">
        <v>134</v>
      </c>
      <c r="BL68" s="25" t="s">
        <v>138</v>
      </c>
      <c r="BM68" s="25" t="s">
        <v>135</v>
      </c>
      <c r="BN68" s="25" t="s">
        <v>136</v>
      </c>
      <c r="BO68" s="25" t="s">
        <v>137</v>
      </c>
      <c r="BP68" s="25" t="s">
        <v>129</v>
      </c>
      <c r="BQ68" s="25" t="s">
        <v>130</v>
      </c>
      <c r="BR68" s="25" t="s">
        <v>131</v>
      </c>
      <c r="BU68" s="25" t="s">
        <v>134</v>
      </c>
      <c r="BV68" s="25" t="s">
        <v>138</v>
      </c>
      <c r="BW68" s="25" t="s">
        <v>135</v>
      </c>
      <c r="BX68" s="25" t="s">
        <v>136</v>
      </c>
      <c r="BY68" s="25" t="s">
        <v>137</v>
      </c>
      <c r="BZ68" s="25" t="s">
        <v>129</v>
      </c>
      <c r="CA68" s="25" t="s">
        <v>130</v>
      </c>
      <c r="CB68" s="25" t="s">
        <v>131</v>
      </c>
      <c r="CE68" s="25" t="s">
        <v>134</v>
      </c>
      <c r="CF68" s="25" t="s">
        <v>138</v>
      </c>
      <c r="CG68" s="25" t="s">
        <v>135</v>
      </c>
      <c r="CH68" s="25" t="s">
        <v>136</v>
      </c>
      <c r="CI68" s="25" t="s">
        <v>137</v>
      </c>
      <c r="CJ68" s="25" t="s">
        <v>129</v>
      </c>
      <c r="CK68" s="25" t="s">
        <v>130</v>
      </c>
      <c r="CL68" s="25" t="s">
        <v>131</v>
      </c>
      <c r="CO68" s="25" t="s">
        <v>134</v>
      </c>
      <c r="CP68" s="25" t="s">
        <v>138</v>
      </c>
      <c r="CQ68" s="25" t="s">
        <v>135</v>
      </c>
      <c r="CR68" s="25" t="s">
        <v>136</v>
      </c>
      <c r="CS68" s="25" t="s">
        <v>137</v>
      </c>
      <c r="CT68" s="25" t="s">
        <v>129</v>
      </c>
      <c r="CU68" s="25" t="s">
        <v>130</v>
      </c>
      <c r="CV68" s="25" t="s">
        <v>131</v>
      </c>
      <c r="CY68" s="25" t="s">
        <v>134</v>
      </c>
      <c r="CZ68" s="25" t="s">
        <v>138</v>
      </c>
      <c r="DA68" s="25" t="s">
        <v>135</v>
      </c>
      <c r="DB68" s="25" t="s">
        <v>136</v>
      </c>
      <c r="DC68" s="25" t="s">
        <v>137</v>
      </c>
      <c r="DD68" s="25" t="s">
        <v>129</v>
      </c>
      <c r="DE68" s="25" t="s">
        <v>130</v>
      </c>
      <c r="DF68" s="25" t="s">
        <v>131</v>
      </c>
      <c r="DI68" s="25" t="s">
        <v>134</v>
      </c>
      <c r="DJ68" s="25" t="s">
        <v>138</v>
      </c>
      <c r="DK68" s="25" t="s">
        <v>135</v>
      </c>
      <c r="DL68" s="25" t="s">
        <v>136</v>
      </c>
      <c r="DM68" s="25" t="s">
        <v>137</v>
      </c>
      <c r="DN68" s="25" t="s">
        <v>129</v>
      </c>
      <c r="DO68" s="25" t="s">
        <v>130</v>
      </c>
      <c r="DP68" s="25" t="s">
        <v>131</v>
      </c>
      <c r="DS68" s="25" t="s">
        <v>134</v>
      </c>
      <c r="DT68" s="25" t="s">
        <v>138</v>
      </c>
      <c r="DU68" s="25" t="s">
        <v>135</v>
      </c>
      <c r="DV68" s="25" t="s">
        <v>136</v>
      </c>
      <c r="DW68" s="25" t="s">
        <v>137</v>
      </c>
      <c r="DX68" s="25" t="s">
        <v>129</v>
      </c>
      <c r="DY68" s="25" t="s">
        <v>130</v>
      </c>
      <c r="DZ68" s="25" t="s">
        <v>131</v>
      </c>
      <c r="EC68" s="25" t="s">
        <v>134</v>
      </c>
      <c r="ED68" s="25" t="s">
        <v>138</v>
      </c>
      <c r="EE68" s="25" t="s">
        <v>135</v>
      </c>
      <c r="EF68" s="25" t="s">
        <v>136</v>
      </c>
      <c r="EG68" s="25" t="s">
        <v>137</v>
      </c>
      <c r="EH68" s="25" t="s">
        <v>129</v>
      </c>
      <c r="EI68" s="25" t="s">
        <v>130</v>
      </c>
      <c r="EJ68" s="25" t="s">
        <v>131</v>
      </c>
      <c r="EM68" s="25" t="s">
        <v>134</v>
      </c>
      <c r="EN68" s="25" t="s">
        <v>138</v>
      </c>
      <c r="EO68" s="25" t="s">
        <v>135</v>
      </c>
      <c r="EP68" s="25" t="s">
        <v>136</v>
      </c>
      <c r="EQ68" s="25" t="s">
        <v>137</v>
      </c>
      <c r="ER68" s="25" t="s">
        <v>129</v>
      </c>
      <c r="ES68" s="25" t="s">
        <v>130</v>
      </c>
      <c r="ET68" s="25" t="s">
        <v>131</v>
      </c>
      <c r="EW68" s="25" t="s">
        <v>134</v>
      </c>
      <c r="EX68" s="25" t="s">
        <v>138</v>
      </c>
      <c r="EY68" s="25" t="s">
        <v>135</v>
      </c>
      <c r="EZ68" s="25" t="s">
        <v>136</v>
      </c>
      <c r="FA68" s="25" t="s">
        <v>137</v>
      </c>
      <c r="FB68" s="25" t="s">
        <v>129</v>
      </c>
      <c r="FC68" s="25" t="s">
        <v>130</v>
      </c>
      <c r="FD68" s="25" t="s">
        <v>131</v>
      </c>
      <c r="FG68" s="25" t="s">
        <v>134</v>
      </c>
      <c r="FH68" s="25" t="s">
        <v>138</v>
      </c>
      <c r="FI68" s="25" t="s">
        <v>135</v>
      </c>
      <c r="FJ68" s="25" t="s">
        <v>136</v>
      </c>
      <c r="FK68" s="25" t="s">
        <v>137</v>
      </c>
      <c r="FL68" s="25" t="s">
        <v>129</v>
      </c>
      <c r="FM68" s="25" t="s">
        <v>130</v>
      </c>
      <c r="FN68" s="25" t="s">
        <v>131</v>
      </c>
    </row>
    <row r="69" spans="2:170">
      <c r="B69" s="25">
        <v>1</v>
      </c>
      <c r="C69" s="25">
        <v>1</v>
      </c>
      <c r="D69" s="25">
        <v>0</v>
      </c>
      <c r="E69" s="25">
        <v>0</v>
      </c>
      <c r="F69" s="25">
        <v>-1.1920917586394353E-8</v>
      </c>
      <c r="G69" s="25">
        <v>0</v>
      </c>
      <c r="H69" s="25">
        <v>0</v>
      </c>
      <c r="I69" s="25">
        <v>0</v>
      </c>
      <c r="J69" s="25">
        <v>-1.152356787770259E-8</v>
      </c>
      <c r="L69" s="25">
        <v>1</v>
      </c>
      <c r="M69" s="25">
        <v>1</v>
      </c>
      <c r="N69" s="25">
        <v>0</v>
      </c>
      <c r="O69" s="25">
        <v>2.3283064365386963E-10</v>
      </c>
      <c r="P69" s="25">
        <v>0</v>
      </c>
      <c r="Q69" s="25">
        <v>0</v>
      </c>
      <c r="R69" s="25">
        <v>0</v>
      </c>
      <c r="S69" s="25">
        <v>0</v>
      </c>
      <c r="T69" s="25">
        <v>0</v>
      </c>
      <c r="V69" s="25">
        <v>1</v>
      </c>
      <c r="W69" s="25">
        <v>1</v>
      </c>
      <c r="X69" s="25">
        <v>0</v>
      </c>
      <c r="Y69" s="25">
        <v>-3.7252902984619141E-9</v>
      </c>
      <c r="Z69" s="25">
        <v>0</v>
      </c>
      <c r="AA69" s="25">
        <v>0</v>
      </c>
      <c r="AB69" s="25">
        <v>0</v>
      </c>
      <c r="AC69" s="25">
        <v>0</v>
      </c>
      <c r="AD69" s="25">
        <v>0</v>
      </c>
      <c r="AF69" s="25">
        <v>1</v>
      </c>
      <c r="AG69" s="25">
        <v>1</v>
      </c>
      <c r="AH69" s="25">
        <v>0</v>
      </c>
      <c r="AI69" s="25">
        <v>-1.862645149230957E-9</v>
      </c>
      <c r="AJ69" s="25">
        <v>4.6566128730773926E-10</v>
      </c>
      <c r="AK69" s="25">
        <v>0</v>
      </c>
      <c r="AL69" s="25">
        <v>0</v>
      </c>
      <c r="AM69" s="25">
        <v>0</v>
      </c>
      <c r="AN69" s="25">
        <v>-1.1641532182693481E-10</v>
      </c>
      <c r="AP69" s="25">
        <v>1</v>
      </c>
      <c r="AQ69" s="25">
        <v>1</v>
      </c>
      <c r="AR69" s="25">
        <v>0</v>
      </c>
      <c r="AS69" s="25">
        <v>0</v>
      </c>
      <c r="AT69" s="25">
        <v>4.6566128730773926E-10</v>
      </c>
      <c r="AU69" s="25">
        <v>0</v>
      </c>
      <c r="AV69" s="25">
        <v>0</v>
      </c>
      <c r="AW69" s="25">
        <v>0</v>
      </c>
      <c r="AX69" s="25">
        <v>-2.3283064365386963E-10</v>
      </c>
      <c r="AZ69" s="25">
        <v>1</v>
      </c>
      <c r="BA69" s="25">
        <v>1</v>
      </c>
      <c r="BB69" s="25">
        <v>0</v>
      </c>
      <c r="BC69" s="25">
        <v>0</v>
      </c>
      <c r="BD69" s="25">
        <v>0</v>
      </c>
      <c r="BE69" s="25">
        <v>0</v>
      </c>
      <c r="BF69" s="25">
        <v>0</v>
      </c>
      <c r="BG69" s="25">
        <v>0</v>
      </c>
      <c r="BH69" s="25">
        <v>0</v>
      </c>
      <c r="BJ69" s="25">
        <v>1</v>
      </c>
      <c r="BK69" s="25">
        <v>1</v>
      </c>
      <c r="BL69" s="25">
        <v>0</v>
      </c>
      <c r="BM69" s="25">
        <v>0</v>
      </c>
      <c r="BN69" s="25">
        <v>0</v>
      </c>
      <c r="BO69" s="25">
        <v>0</v>
      </c>
      <c r="BP69" s="25">
        <v>0</v>
      </c>
      <c r="BQ69" s="25">
        <v>0</v>
      </c>
      <c r="BR69" s="25">
        <v>0</v>
      </c>
      <c r="BT69" s="25">
        <v>1</v>
      </c>
      <c r="BU69" s="25">
        <v>1</v>
      </c>
      <c r="BV69" s="25">
        <v>0</v>
      </c>
      <c r="BW69" s="25">
        <v>0</v>
      </c>
      <c r="BX69" s="25">
        <v>0</v>
      </c>
      <c r="BY69" s="25">
        <v>0</v>
      </c>
      <c r="BZ69" s="25">
        <v>0</v>
      </c>
      <c r="CA69" s="25">
        <v>0</v>
      </c>
      <c r="CB69" s="25">
        <v>-9.3132257461547852E-10</v>
      </c>
      <c r="CD69" s="25">
        <v>1</v>
      </c>
      <c r="CE69" s="25">
        <v>1</v>
      </c>
      <c r="CF69" s="25">
        <v>0</v>
      </c>
      <c r="CG69" s="25">
        <v>0</v>
      </c>
      <c r="CH69" s="25">
        <v>-8.7899999618530273</v>
      </c>
      <c r="CI69" s="25">
        <v>0</v>
      </c>
      <c r="CJ69" s="25">
        <v>0</v>
      </c>
      <c r="CK69" s="25">
        <v>0</v>
      </c>
      <c r="CL69" s="25">
        <v>0</v>
      </c>
      <c r="CN69" s="25">
        <v>1</v>
      </c>
      <c r="CO69" s="25">
        <v>1</v>
      </c>
      <c r="CP69" s="25">
        <v>0</v>
      </c>
      <c r="CQ69" s="25">
        <v>0</v>
      </c>
      <c r="CR69" s="25">
        <v>0</v>
      </c>
      <c r="CS69" s="25">
        <v>0</v>
      </c>
      <c r="CT69" s="25">
        <v>0</v>
      </c>
      <c r="CU69" s="25">
        <v>0</v>
      </c>
      <c r="CV69" s="25">
        <v>-1.1641532182693481E-10</v>
      </c>
      <c r="CX69" s="25">
        <v>1</v>
      </c>
      <c r="CY69" s="25">
        <v>1</v>
      </c>
      <c r="CZ69" s="25">
        <v>0</v>
      </c>
      <c r="DA69" s="25">
        <v>0</v>
      </c>
      <c r="DB69" s="25">
        <v>0</v>
      </c>
      <c r="DC69" s="25">
        <v>0</v>
      </c>
      <c r="DD69" s="25">
        <v>0</v>
      </c>
      <c r="DE69" s="25">
        <v>0</v>
      </c>
      <c r="DF69" s="25">
        <v>-9.3132257461547852E-10</v>
      </c>
      <c r="DH69" s="25">
        <v>1</v>
      </c>
      <c r="DI69" s="25">
        <v>1</v>
      </c>
      <c r="DJ69" s="25">
        <v>0</v>
      </c>
      <c r="DK69" s="25">
        <v>0</v>
      </c>
      <c r="DL69" s="25">
        <v>-8.7899999618530273</v>
      </c>
      <c r="DM69" s="25">
        <v>0</v>
      </c>
      <c r="DN69" s="25">
        <v>0</v>
      </c>
      <c r="DO69" s="25">
        <v>0</v>
      </c>
      <c r="DP69" s="25">
        <v>0</v>
      </c>
      <c r="DR69" s="25">
        <v>1</v>
      </c>
      <c r="DS69" s="25">
        <v>1</v>
      </c>
      <c r="DT69" s="25">
        <v>0</v>
      </c>
      <c r="DU69" s="25">
        <v>0</v>
      </c>
      <c r="DV69" s="25">
        <v>0</v>
      </c>
      <c r="DW69" s="25">
        <v>0</v>
      </c>
      <c r="DX69" s="25">
        <v>0</v>
      </c>
      <c r="DY69" s="25">
        <v>0</v>
      </c>
      <c r="DZ69" s="25">
        <v>-1.1641532182693481E-10</v>
      </c>
      <c r="EB69" s="25">
        <v>1</v>
      </c>
      <c r="EC69" s="25">
        <v>1</v>
      </c>
      <c r="ED69" s="25">
        <v>0</v>
      </c>
      <c r="EE69" s="25">
        <v>0</v>
      </c>
      <c r="EF69" s="25">
        <v>0</v>
      </c>
      <c r="EG69" s="25">
        <v>0</v>
      </c>
      <c r="EH69" s="25">
        <v>0</v>
      </c>
      <c r="EI69" s="25">
        <v>0</v>
      </c>
      <c r="EJ69" s="25">
        <v>-2.3283064365386963E-10</v>
      </c>
      <c r="EL69" s="25">
        <v>1</v>
      </c>
      <c r="EM69" s="25">
        <v>1</v>
      </c>
      <c r="EN69" s="25">
        <v>0</v>
      </c>
      <c r="EO69" s="25">
        <v>0</v>
      </c>
      <c r="EP69" s="25">
        <v>0</v>
      </c>
      <c r="EQ69" s="25">
        <v>0</v>
      </c>
      <c r="ER69" s="25">
        <v>0</v>
      </c>
      <c r="ES69" s="25">
        <v>0</v>
      </c>
      <c r="ET69" s="25">
        <v>0</v>
      </c>
      <c r="EV69" s="25">
        <v>1</v>
      </c>
      <c r="EW69" s="25">
        <v>1</v>
      </c>
      <c r="EX69" s="25">
        <v>0</v>
      </c>
      <c r="EY69" s="25">
        <v>0</v>
      </c>
      <c r="EZ69" s="25">
        <v>0</v>
      </c>
      <c r="FA69" s="25">
        <v>0</v>
      </c>
      <c r="FB69" s="25">
        <v>0</v>
      </c>
      <c r="FC69" s="25">
        <v>0</v>
      </c>
      <c r="FD69" s="25">
        <v>0</v>
      </c>
      <c r="FF69" s="25">
        <v>1</v>
      </c>
      <c r="FG69" s="25">
        <v>1</v>
      </c>
      <c r="FH69" s="25">
        <v>0</v>
      </c>
      <c r="FI69" s="25">
        <v>0</v>
      </c>
      <c r="FJ69" s="25">
        <v>3.7252902984619141E-9</v>
      </c>
      <c r="FK69" s="25">
        <v>0</v>
      </c>
      <c r="FL69" s="25">
        <v>0</v>
      </c>
      <c r="FM69" s="25">
        <v>0</v>
      </c>
      <c r="FN69" s="25">
        <v>-1.862645149230957E-9</v>
      </c>
    </row>
    <row r="70" spans="2:170">
      <c r="C70" s="25">
        <v>2</v>
      </c>
      <c r="D70" s="25">
        <v>0.94999998807907104</v>
      </c>
      <c r="E70" s="25">
        <v>0</v>
      </c>
      <c r="F70" s="25">
        <v>-454.10000610351562</v>
      </c>
      <c r="G70" s="25">
        <v>0</v>
      </c>
      <c r="H70" s="25">
        <v>0</v>
      </c>
      <c r="I70" s="25">
        <v>0</v>
      </c>
      <c r="J70" s="25">
        <v>-215.69749450683594</v>
      </c>
      <c r="M70" s="25">
        <v>2</v>
      </c>
      <c r="N70" s="25">
        <v>0.94999998807907104</v>
      </c>
      <c r="O70" s="25">
        <v>2.3283064365386963E-10</v>
      </c>
      <c r="P70" s="25">
        <v>0</v>
      </c>
      <c r="Q70" s="25">
        <v>0</v>
      </c>
      <c r="R70" s="25">
        <v>0</v>
      </c>
      <c r="S70" s="25">
        <v>0</v>
      </c>
      <c r="T70" s="25">
        <v>0</v>
      </c>
      <c r="W70" s="25">
        <v>2</v>
      </c>
      <c r="X70" s="25">
        <v>0.94999998807907104</v>
      </c>
      <c r="Y70" s="25">
        <v>-3.7252902984619141E-9</v>
      </c>
      <c r="Z70" s="25">
        <v>0</v>
      </c>
      <c r="AA70" s="25">
        <v>0</v>
      </c>
      <c r="AB70" s="25">
        <v>0</v>
      </c>
      <c r="AC70" s="25">
        <v>0</v>
      </c>
      <c r="AD70" s="25">
        <v>-1.1641532182693481E-10</v>
      </c>
      <c r="AG70" s="25">
        <v>2</v>
      </c>
      <c r="AH70" s="25">
        <v>0.94999998807907104</v>
      </c>
      <c r="AI70" s="25">
        <v>-1.862645149230957E-9</v>
      </c>
      <c r="AJ70" s="25">
        <v>4.6566128730773926E-10</v>
      </c>
      <c r="AK70" s="25">
        <v>0</v>
      </c>
      <c r="AL70" s="25">
        <v>0</v>
      </c>
      <c r="AM70" s="25">
        <v>0</v>
      </c>
      <c r="AN70" s="25">
        <v>2.3283064365386963E-10</v>
      </c>
      <c r="AQ70" s="25">
        <v>2</v>
      </c>
      <c r="AR70" s="25">
        <v>0.94999998807907104</v>
      </c>
      <c r="AS70" s="25">
        <v>0</v>
      </c>
      <c r="AT70" s="25">
        <v>4.6566128730773926E-10</v>
      </c>
      <c r="AU70" s="25">
        <v>0</v>
      </c>
      <c r="AV70" s="25">
        <v>0</v>
      </c>
      <c r="AW70" s="25">
        <v>0</v>
      </c>
      <c r="AX70" s="25">
        <v>2.3283064365386963E-10</v>
      </c>
      <c r="BA70" s="25">
        <v>2</v>
      </c>
      <c r="BB70" s="25">
        <v>0.94999998807907104</v>
      </c>
      <c r="BC70" s="25">
        <v>0</v>
      </c>
      <c r="BD70" s="25">
        <v>0</v>
      </c>
      <c r="BE70" s="25">
        <v>0</v>
      </c>
      <c r="BF70" s="25">
        <v>0</v>
      </c>
      <c r="BG70" s="25">
        <v>0</v>
      </c>
      <c r="BH70" s="25">
        <v>0</v>
      </c>
      <c r="BK70" s="25">
        <v>2</v>
      </c>
      <c r="BL70" s="25">
        <v>0.94999998807907104</v>
      </c>
      <c r="BM70" s="25">
        <v>0</v>
      </c>
      <c r="BN70" s="25">
        <v>0</v>
      </c>
      <c r="BO70" s="25">
        <v>0</v>
      </c>
      <c r="BP70" s="25">
        <v>0</v>
      </c>
      <c r="BQ70" s="25">
        <v>0</v>
      </c>
      <c r="BR70" s="25">
        <v>0</v>
      </c>
      <c r="BU70" s="25">
        <v>2</v>
      </c>
      <c r="BV70" s="25">
        <v>0.94999998807907104</v>
      </c>
      <c r="BW70" s="25">
        <v>0</v>
      </c>
      <c r="BX70" s="25">
        <v>0</v>
      </c>
      <c r="BY70" s="25">
        <v>0</v>
      </c>
      <c r="BZ70" s="25">
        <v>0</v>
      </c>
      <c r="CA70" s="25">
        <v>0</v>
      </c>
      <c r="CB70" s="25">
        <v>9.3132257461547852E-10</v>
      </c>
      <c r="CE70" s="25">
        <v>2</v>
      </c>
      <c r="CF70" s="25">
        <v>0.94999998807907104</v>
      </c>
      <c r="CG70" s="25">
        <v>0</v>
      </c>
      <c r="CH70" s="25">
        <v>-8.7899999618530273</v>
      </c>
      <c r="CI70" s="25">
        <v>0</v>
      </c>
      <c r="CJ70" s="25">
        <v>0</v>
      </c>
      <c r="CK70" s="25">
        <v>0</v>
      </c>
      <c r="CL70" s="25">
        <v>-8.3505001068115234</v>
      </c>
      <c r="CO70" s="25">
        <v>2</v>
      </c>
      <c r="CP70" s="25">
        <v>0.94999998807907104</v>
      </c>
      <c r="CQ70" s="25">
        <v>0</v>
      </c>
      <c r="CR70" s="25">
        <v>0</v>
      </c>
      <c r="CS70" s="25">
        <v>0</v>
      </c>
      <c r="CT70" s="25">
        <v>0</v>
      </c>
      <c r="CU70" s="25">
        <v>0</v>
      </c>
      <c r="CV70" s="25">
        <v>0</v>
      </c>
      <c r="CY70" s="25">
        <v>2</v>
      </c>
      <c r="CZ70" s="25">
        <v>0.94999998807907104</v>
      </c>
      <c r="DA70" s="25">
        <v>0</v>
      </c>
      <c r="DB70" s="25">
        <v>0</v>
      </c>
      <c r="DC70" s="25">
        <v>0</v>
      </c>
      <c r="DD70" s="25">
        <v>0</v>
      </c>
      <c r="DE70" s="25">
        <v>0</v>
      </c>
      <c r="DF70" s="25">
        <v>9.3132257461547852E-10</v>
      </c>
      <c r="DI70" s="25">
        <v>2</v>
      </c>
      <c r="DJ70" s="25">
        <v>0.94999998807907104</v>
      </c>
      <c r="DK70" s="25">
        <v>0</v>
      </c>
      <c r="DL70" s="25">
        <v>-8.7899999618530273</v>
      </c>
      <c r="DM70" s="25">
        <v>0</v>
      </c>
      <c r="DN70" s="25">
        <v>0</v>
      </c>
      <c r="DO70" s="25">
        <v>0</v>
      </c>
      <c r="DP70" s="25">
        <v>-8.3505001068115234</v>
      </c>
      <c r="DS70" s="25">
        <v>2</v>
      </c>
      <c r="DT70" s="25">
        <v>0.94999998807907104</v>
      </c>
      <c r="DU70" s="25">
        <v>0</v>
      </c>
      <c r="DV70" s="25">
        <v>0</v>
      </c>
      <c r="DW70" s="25">
        <v>0</v>
      </c>
      <c r="DX70" s="25">
        <v>0</v>
      </c>
      <c r="DY70" s="25">
        <v>0</v>
      </c>
      <c r="DZ70" s="25">
        <v>0</v>
      </c>
      <c r="EC70" s="25">
        <v>2</v>
      </c>
      <c r="ED70" s="25">
        <v>0.94999998807907104</v>
      </c>
      <c r="EE70" s="25">
        <v>0</v>
      </c>
      <c r="EF70" s="25">
        <v>0</v>
      </c>
      <c r="EG70" s="25">
        <v>0</v>
      </c>
      <c r="EH70" s="25">
        <v>0</v>
      </c>
      <c r="EI70" s="25">
        <v>0</v>
      </c>
      <c r="EJ70" s="25">
        <v>0</v>
      </c>
      <c r="EM70" s="25">
        <v>2</v>
      </c>
      <c r="EN70" s="25">
        <v>0.94999998807907104</v>
      </c>
      <c r="EO70" s="25">
        <v>0</v>
      </c>
      <c r="EP70" s="25">
        <v>0</v>
      </c>
      <c r="EQ70" s="25">
        <v>0</v>
      </c>
      <c r="ER70" s="25">
        <v>0</v>
      </c>
      <c r="ES70" s="25">
        <v>0</v>
      </c>
      <c r="ET70" s="25">
        <v>0</v>
      </c>
      <c r="EW70" s="25">
        <v>2</v>
      </c>
      <c r="EX70" s="25">
        <v>0.94999998807907104</v>
      </c>
      <c r="EY70" s="25">
        <v>0</v>
      </c>
      <c r="EZ70" s="25">
        <v>0</v>
      </c>
      <c r="FA70" s="25">
        <v>0</v>
      </c>
      <c r="FB70" s="25">
        <v>0</v>
      </c>
      <c r="FC70" s="25">
        <v>0</v>
      </c>
      <c r="FD70" s="25">
        <v>0</v>
      </c>
      <c r="FG70" s="25">
        <v>2</v>
      </c>
      <c r="FH70" s="25">
        <v>0.94999998807907104</v>
      </c>
      <c r="FI70" s="25">
        <v>0</v>
      </c>
      <c r="FJ70" s="25">
        <v>3.7252902984619141E-9</v>
      </c>
      <c r="FK70" s="25">
        <v>0</v>
      </c>
      <c r="FL70" s="25">
        <v>0</v>
      </c>
      <c r="FM70" s="25">
        <v>0</v>
      </c>
      <c r="FN70" s="25">
        <v>1.862645149230957E-9</v>
      </c>
    </row>
    <row r="71" spans="2:170">
      <c r="B71" s="25">
        <v>2</v>
      </c>
      <c r="C71" s="25">
        <v>2</v>
      </c>
      <c r="D71" s="25">
        <v>0</v>
      </c>
      <c r="E71" s="25">
        <v>-33.370525360107422</v>
      </c>
      <c r="F71" s="25">
        <v>4110.96142578125</v>
      </c>
      <c r="G71" s="25">
        <v>0</v>
      </c>
      <c r="H71" s="25">
        <v>0</v>
      </c>
      <c r="I71" s="25">
        <v>0</v>
      </c>
      <c r="J71" s="25">
        <v>-631.69268798828125</v>
      </c>
      <c r="L71" s="25">
        <v>2</v>
      </c>
      <c r="M71" s="25">
        <v>2</v>
      </c>
      <c r="N71" s="25">
        <v>0</v>
      </c>
      <c r="O71" s="25">
        <v>-36.456501007080078</v>
      </c>
      <c r="P71" s="25">
        <v>2704.9423828125</v>
      </c>
      <c r="Q71" s="25">
        <v>0</v>
      </c>
      <c r="R71" s="25">
        <v>0</v>
      </c>
      <c r="S71" s="25">
        <v>0</v>
      </c>
      <c r="T71" s="25">
        <v>-436.8221435546875</v>
      </c>
      <c r="V71" s="25">
        <v>2</v>
      </c>
      <c r="W71" s="25">
        <v>2</v>
      </c>
      <c r="X71" s="25">
        <v>0</v>
      </c>
      <c r="Y71" s="25">
        <v>62.533592224121094</v>
      </c>
      <c r="Z71" s="25">
        <v>-34.640914916992188</v>
      </c>
      <c r="AA71" s="25">
        <v>0</v>
      </c>
      <c r="AB71" s="25">
        <v>0</v>
      </c>
      <c r="AC71" s="25">
        <v>0</v>
      </c>
      <c r="AD71" s="25">
        <v>616.93426513671875</v>
      </c>
      <c r="AF71" s="25">
        <v>2</v>
      </c>
      <c r="AG71" s="25">
        <v>2</v>
      </c>
      <c r="AH71" s="25">
        <v>0</v>
      </c>
      <c r="AI71" s="25">
        <v>-69.797004699707031</v>
      </c>
      <c r="AJ71" s="25">
        <v>52.043552398681641</v>
      </c>
      <c r="AK71" s="25">
        <v>0</v>
      </c>
      <c r="AL71" s="25">
        <v>0</v>
      </c>
      <c r="AM71" s="25">
        <v>0</v>
      </c>
      <c r="AN71" s="25">
        <v>-690.7613525390625</v>
      </c>
      <c r="AP71" s="25">
        <v>2</v>
      </c>
      <c r="AQ71" s="25">
        <v>2</v>
      </c>
      <c r="AR71" s="25">
        <v>0</v>
      </c>
      <c r="AS71" s="25">
        <v>-0.9002068042755127</v>
      </c>
      <c r="AT71" s="25">
        <v>75.985488891601563</v>
      </c>
      <c r="AU71" s="25">
        <v>0</v>
      </c>
      <c r="AV71" s="25">
        <v>0</v>
      </c>
      <c r="AW71" s="25">
        <v>0</v>
      </c>
      <c r="AX71" s="25">
        <v>-11.1500244140625</v>
      </c>
      <c r="AZ71" s="25">
        <v>2</v>
      </c>
      <c r="BA71" s="25">
        <v>2</v>
      </c>
      <c r="BB71" s="25">
        <v>0</v>
      </c>
      <c r="BC71" s="25">
        <v>-2.0744540691375732</v>
      </c>
      <c r="BD71" s="25">
        <v>181.37562561035156</v>
      </c>
      <c r="BE71" s="25">
        <v>0</v>
      </c>
      <c r="BF71" s="25">
        <v>0</v>
      </c>
      <c r="BG71" s="25">
        <v>0</v>
      </c>
      <c r="BH71" s="25">
        <v>-25.699514389038086</v>
      </c>
      <c r="BJ71" s="25">
        <v>2</v>
      </c>
      <c r="BK71" s="25">
        <v>2</v>
      </c>
      <c r="BL71" s="25">
        <v>0</v>
      </c>
      <c r="BM71" s="25">
        <v>-3.9183387756347656</v>
      </c>
      <c r="BN71" s="25">
        <v>342.70645141601562</v>
      </c>
      <c r="BO71" s="25">
        <v>0</v>
      </c>
      <c r="BP71" s="25">
        <v>0</v>
      </c>
      <c r="BQ71" s="25">
        <v>0</v>
      </c>
      <c r="BR71" s="25">
        <v>-48.542591094970703</v>
      </c>
      <c r="BT71" s="25">
        <v>2</v>
      </c>
      <c r="BU71" s="25">
        <v>2</v>
      </c>
      <c r="BV71" s="25">
        <v>0</v>
      </c>
      <c r="BW71" s="25">
        <v>-1.2357428073883057</v>
      </c>
      <c r="BX71" s="25">
        <v>427.11962890625</v>
      </c>
      <c r="BY71" s="25">
        <v>0</v>
      </c>
      <c r="BZ71" s="25">
        <v>0</v>
      </c>
      <c r="CA71" s="25">
        <v>0</v>
      </c>
      <c r="CB71" s="25">
        <v>-9.9220094680786133</v>
      </c>
      <c r="CD71" s="25">
        <v>2</v>
      </c>
      <c r="CE71" s="25">
        <v>2</v>
      </c>
      <c r="CF71" s="25">
        <v>0</v>
      </c>
      <c r="CG71" s="25">
        <v>-0.61387449502944946</v>
      </c>
      <c r="CH71" s="25">
        <v>288.37741088867187</v>
      </c>
      <c r="CI71" s="25">
        <v>0</v>
      </c>
      <c r="CJ71" s="25">
        <v>0</v>
      </c>
      <c r="CK71" s="25">
        <v>0</v>
      </c>
      <c r="CL71" s="25">
        <v>-14.476885795593262</v>
      </c>
      <c r="CN71" s="25">
        <v>2</v>
      </c>
      <c r="CO71" s="25">
        <v>2</v>
      </c>
      <c r="CP71" s="25">
        <v>0</v>
      </c>
      <c r="CQ71" s="25">
        <v>5.0293333828449249E-2</v>
      </c>
      <c r="CR71" s="25">
        <v>-42.119068145751953</v>
      </c>
      <c r="CS71" s="25">
        <v>0</v>
      </c>
      <c r="CT71" s="25">
        <v>0</v>
      </c>
      <c r="CU71" s="25">
        <v>0</v>
      </c>
      <c r="CV71" s="25">
        <v>-5.0816330909729004</v>
      </c>
      <c r="CX71" s="25">
        <v>2</v>
      </c>
      <c r="CY71" s="25">
        <v>2</v>
      </c>
      <c r="CZ71" s="25">
        <v>0</v>
      </c>
      <c r="DA71" s="25">
        <v>-1.2357428073883057</v>
      </c>
      <c r="DB71" s="25">
        <v>427.11962890625</v>
      </c>
      <c r="DC71" s="25">
        <v>0</v>
      </c>
      <c r="DD71" s="25">
        <v>0</v>
      </c>
      <c r="DE71" s="25">
        <v>0</v>
      </c>
      <c r="DF71" s="25">
        <v>-9.9220094680786133</v>
      </c>
      <c r="DH71" s="25">
        <v>2</v>
      </c>
      <c r="DI71" s="25">
        <v>2</v>
      </c>
      <c r="DJ71" s="25">
        <v>0</v>
      </c>
      <c r="DK71" s="25">
        <v>-0.61387449502944946</v>
      </c>
      <c r="DL71" s="25">
        <v>288.37741088867187</v>
      </c>
      <c r="DM71" s="25">
        <v>0</v>
      </c>
      <c r="DN71" s="25">
        <v>0</v>
      </c>
      <c r="DO71" s="25">
        <v>0</v>
      </c>
      <c r="DP71" s="25">
        <v>-14.476885795593262</v>
      </c>
      <c r="DR71" s="25">
        <v>2</v>
      </c>
      <c r="DS71" s="25">
        <v>2</v>
      </c>
      <c r="DT71" s="25">
        <v>0</v>
      </c>
      <c r="DU71" s="25">
        <v>5.0293333828449249E-2</v>
      </c>
      <c r="DV71" s="25">
        <v>-42.119068145751953</v>
      </c>
      <c r="DW71" s="25">
        <v>0</v>
      </c>
      <c r="DX71" s="25">
        <v>0</v>
      </c>
      <c r="DY71" s="25">
        <v>0</v>
      </c>
      <c r="DZ71" s="25">
        <v>-5.0816330909729004</v>
      </c>
      <c r="EB71" s="25">
        <v>2</v>
      </c>
      <c r="EC71" s="25">
        <v>2</v>
      </c>
      <c r="ED71" s="25">
        <v>0</v>
      </c>
      <c r="EE71" s="25">
        <v>-0.54349839687347412</v>
      </c>
      <c r="EF71" s="25">
        <v>-58.921539306640625</v>
      </c>
      <c r="EG71" s="25">
        <v>0</v>
      </c>
      <c r="EH71" s="25">
        <v>0</v>
      </c>
      <c r="EI71" s="25">
        <v>0</v>
      </c>
      <c r="EJ71" s="25">
        <v>183.82780456542969</v>
      </c>
      <c r="EL71" s="25">
        <v>2</v>
      </c>
      <c r="EM71" s="25">
        <v>2</v>
      </c>
      <c r="EN71" s="25">
        <v>0</v>
      </c>
      <c r="EO71" s="25">
        <v>-0.28289884328842163</v>
      </c>
      <c r="EP71" s="25">
        <v>-30.531713485717773</v>
      </c>
      <c r="EQ71" s="25">
        <v>0</v>
      </c>
      <c r="ER71" s="25">
        <v>0</v>
      </c>
      <c r="ES71" s="25">
        <v>0</v>
      </c>
      <c r="ET71" s="25">
        <v>100.75060272216797</v>
      </c>
      <c r="EV71" s="25">
        <v>2</v>
      </c>
      <c r="EW71" s="25">
        <v>2</v>
      </c>
      <c r="EX71" s="25">
        <v>0</v>
      </c>
      <c r="EY71" s="25">
        <v>-3.0649828910827637</v>
      </c>
      <c r="EZ71" s="25">
        <v>-414.26522827148437</v>
      </c>
      <c r="FA71" s="25">
        <v>0</v>
      </c>
      <c r="FB71" s="25">
        <v>0</v>
      </c>
      <c r="FC71" s="25">
        <v>0</v>
      </c>
      <c r="FD71" s="25">
        <v>1456.5115966796875</v>
      </c>
      <c r="FF71" s="25">
        <v>2</v>
      </c>
      <c r="FG71" s="25">
        <v>2</v>
      </c>
      <c r="FH71" s="25">
        <v>0</v>
      </c>
      <c r="FI71" s="25">
        <v>-6.137519359588623</v>
      </c>
      <c r="FJ71" s="25">
        <v>-800.0897216796875</v>
      </c>
      <c r="FK71" s="25">
        <v>0</v>
      </c>
      <c r="FL71" s="25">
        <v>0</v>
      </c>
      <c r="FM71" s="25">
        <v>0</v>
      </c>
      <c r="FN71" s="25">
        <v>2913.87890625</v>
      </c>
    </row>
    <row r="72" spans="2:170">
      <c r="D72" s="25">
        <v>0.94999998807907104</v>
      </c>
      <c r="E72" s="25">
        <v>-33.370525360107422</v>
      </c>
      <c r="F72" s="25">
        <v>1670.8616943359375</v>
      </c>
      <c r="G72" s="25">
        <v>0</v>
      </c>
      <c r="H72" s="25">
        <v>0</v>
      </c>
      <c r="I72" s="25">
        <v>0</v>
      </c>
      <c r="J72" s="25">
        <v>1138.6334228515625</v>
      </c>
      <c r="N72" s="25">
        <v>0.94999998807907104</v>
      </c>
      <c r="O72" s="25">
        <v>-36.456501007080078</v>
      </c>
      <c r="P72" s="25">
        <v>2174.4423828125</v>
      </c>
      <c r="Q72" s="25">
        <v>0</v>
      </c>
      <c r="R72" s="25">
        <v>0</v>
      </c>
      <c r="S72" s="25">
        <v>0</v>
      </c>
      <c r="T72" s="25">
        <v>1668.685546875</v>
      </c>
      <c r="X72" s="25">
        <v>0.94999998807907104</v>
      </c>
      <c r="Y72" s="25">
        <v>62.533592224121094</v>
      </c>
      <c r="Z72" s="25">
        <v>-34.640914916992188</v>
      </c>
      <c r="AA72" s="25">
        <v>0</v>
      </c>
      <c r="AB72" s="25">
        <v>0</v>
      </c>
      <c r="AC72" s="25">
        <v>0</v>
      </c>
      <c r="AD72" s="25">
        <v>584.025390625</v>
      </c>
      <c r="AH72" s="25">
        <v>0.94999998807907104</v>
      </c>
      <c r="AI72" s="25">
        <v>-69.797004699707031</v>
      </c>
      <c r="AJ72" s="25">
        <v>53.043552398681641</v>
      </c>
      <c r="AK72" s="25">
        <v>0</v>
      </c>
      <c r="AL72" s="25">
        <v>0</v>
      </c>
      <c r="AM72" s="25">
        <v>0</v>
      </c>
      <c r="AN72" s="25">
        <v>-640.4449462890625</v>
      </c>
      <c r="AR72" s="25">
        <v>0.94999998807907104</v>
      </c>
      <c r="AS72" s="25">
        <v>-0.9002068042755127</v>
      </c>
      <c r="AT72" s="25">
        <v>48.68548583984375</v>
      </c>
      <c r="AU72" s="25">
        <v>0</v>
      </c>
      <c r="AV72" s="25">
        <v>0</v>
      </c>
      <c r="AW72" s="25">
        <v>0</v>
      </c>
      <c r="AX72" s="25">
        <v>37.148689270019531</v>
      </c>
      <c r="BB72" s="25">
        <v>0.94999998807907104</v>
      </c>
      <c r="BC72" s="25">
        <v>-2.0744540691375732</v>
      </c>
      <c r="BD72" s="25">
        <v>110.17562103271484</v>
      </c>
      <c r="BE72" s="25">
        <v>0</v>
      </c>
      <c r="BF72" s="25">
        <v>0</v>
      </c>
      <c r="BG72" s="25">
        <v>0</v>
      </c>
      <c r="BH72" s="25">
        <v>84.307327270507813</v>
      </c>
      <c r="BL72" s="25">
        <v>0.94999998807907104</v>
      </c>
      <c r="BM72" s="25">
        <v>-3.9183387756347656</v>
      </c>
      <c r="BN72" s="25">
        <v>208.1064453125</v>
      </c>
      <c r="BO72" s="25">
        <v>0</v>
      </c>
      <c r="BP72" s="25">
        <v>0</v>
      </c>
      <c r="BQ72" s="25">
        <v>0</v>
      </c>
      <c r="BR72" s="25">
        <v>159.25352478027344</v>
      </c>
      <c r="BV72" s="25">
        <v>0.94999998807907104</v>
      </c>
      <c r="BW72" s="25">
        <v>-1.2357428073883057</v>
      </c>
      <c r="BX72" s="25">
        <v>167.19963073730469</v>
      </c>
      <c r="BY72" s="25">
        <v>0</v>
      </c>
      <c r="BZ72" s="25">
        <v>0</v>
      </c>
      <c r="CA72" s="25">
        <v>0</v>
      </c>
      <c r="CB72" s="25">
        <v>168.41165161132812</v>
      </c>
      <c r="CF72" s="25">
        <v>0.94999998807907104</v>
      </c>
      <c r="CG72" s="25">
        <v>-0.61387449502944946</v>
      </c>
      <c r="CH72" s="25">
        <v>142.99742126464844</v>
      </c>
      <c r="CI72" s="25">
        <v>0</v>
      </c>
      <c r="CJ72" s="25">
        <v>0</v>
      </c>
      <c r="CK72" s="25">
        <v>0</v>
      </c>
      <c r="CL72" s="25">
        <v>132.27415466308594</v>
      </c>
      <c r="CP72" s="25">
        <v>0.94999998807907104</v>
      </c>
      <c r="CQ72" s="25">
        <v>5.0293333828449249E-2</v>
      </c>
      <c r="CR72" s="25">
        <v>-16.179065704345703</v>
      </c>
      <c r="CS72" s="25">
        <v>0</v>
      </c>
      <c r="CT72" s="25">
        <v>0</v>
      </c>
      <c r="CU72" s="25">
        <v>0</v>
      </c>
      <c r="CV72" s="25">
        <v>-22.397245407104492</v>
      </c>
      <c r="CZ72" s="25">
        <v>0.94999998807907104</v>
      </c>
      <c r="DA72" s="25">
        <v>-1.2357428073883057</v>
      </c>
      <c r="DB72" s="25">
        <v>167.19963073730469</v>
      </c>
      <c r="DC72" s="25">
        <v>0</v>
      </c>
      <c r="DD72" s="25">
        <v>0</v>
      </c>
      <c r="DE72" s="25">
        <v>0</v>
      </c>
      <c r="DF72" s="25">
        <v>168.41165161132812</v>
      </c>
      <c r="DJ72" s="25">
        <v>0.94999998807907104</v>
      </c>
      <c r="DK72" s="25">
        <v>-0.61387449502944946</v>
      </c>
      <c r="DL72" s="25">
        <v>142.99742126464844</v>
      </c>
      <c r="DM72" s="25">
        <v>0</v>
      </c>
      <c r="DN72" s="25">
        <v>0</v>
      </c>
      <c r="DO72" s="25">
        <v>0</v>
      </c>
      <c r="DP72" s="25">
        <v>132.27415466308594</v>
      </c>
      <c r="DT72" s="25">
        <v>0.94999998807907104</v>
      </c>
      <c r="DU72" s="25">
        <v>5.0293333828449249E-2</v>
      </c>
      <c r="DV72" s="25">
        <v>-16.179065704345703</v>
      </c>
      <c r="DW72" s="25">
        <v>0</v>
      </c>
      <c r="DX72" s="25">
        <v>0</v>
      </c>
      <c r="DY72" s="25">
        <v>0</v>
      </c>
      <c r="DZ72" s="25">
        <v>-22.397245407104492</v>
      </c>
      <c r="ED72" s="25">
        <v>0.94999998807907104</v>
      </c>
      <c r="EE72" s="25">
        <v>-0.54349839687347412</v>
      </c>
      <c r="EF72" s="25">
        <v>-58.921539306640625</v>
      </c>
      <c r="EG72" s="25">
        <v>0</v>
      </c>
      <c r="EH72" s="25">
        <v>0</v>
      </c>
      <c r="EI72" s="25">
        <v>0</v>
      </c>
      <c r="EJ72" s="25">
        <v>127.85234832763672</v>
      </c>
      <c r="EN72" s="25">
        <v>0.94999998807907104</v>
      </c>
      <c r="EO72" s="25">
        <v>-0.28289884328842163</v>
      </c>
      <c r="EP72" s="25">
        <v>-30.531713485717773</v>
      </c>
      <c r="EQ72" s="25">
        <v>0</v>
      </c>
      <c r="ER72" s="25">
        <v>0</v>
      </c>
      <c r="ES72" s="25">
        <v>0</v>
      </c>
      <c r="ET72" s="25">
        <v>71.745475769042969</v>
      </c>
      <c r="EX72" s="25">
        <v>0.94999998807907104</v>
      </c>
      <c r="EY72" s="25">
        <v>-3.0649828910827637</v>
      </c>
      <c r="EZ72" s="25">
        <v>-395.54522705078125</v>
      </c>
      <c r="FA72" s="25">
        <v>0</v>
      </c>
      <c r="FB72" s="25">
        <v>0</v>
      </c>
      <c r="FC72" s="25">
        <v>0</v>
      </c>
      <c r="FD72" s="25">
        <v>1079.339599609375</v>
      </c>
      <c r="FH72" s="25">
        <v>0.94999998807907104</v>
      </c>
      <c r="FI72" s="25">
        <v>-6.137519359588623</v>
      </c>
      <c r="FJ72" s="25">
        <v>-791.4697265625</v>
      </c>
      <c r="FK72" s="25">
        <v>0</v>
      </c>
      <c r="FL72" s="25">
        <v>0</v>
      </c>
      <c r="FM72" s="25">
        <v>0</v>
      </c>
      <c r="FN72" s="25">
        <v>2161.336181640625</v>
      </c>
    </row>
    <row r="73" spans="2:170">
      <c r="D73" s="25">
        <v>3.750999927520752</v>
      </c>
      <c r="E73" s="25">
        <v>-33.370525360107422</v>
      </c>
      <c r="F73" s="25">
        <v>580.86163330078125</v>
      </c>
      <c r="G73" s="25">
        <v>0</v>
      </c>
      <c r="H73" s="25">
        <v>0</v>
      </c>
      <c r="I73" s="25">
        <v>0</v>
      </c>
      <c r="J73" s="25">
        <v>3256.126953125</v>
      </c>
      <c r="N73" s="25">
        <v>3.750999927520752</v>
      </c>
      <c r="O73" s="25">
        <v>-36.456501007080078</v>
      </c>
      <c r="P73" s="25">
        <v>474.44232177734375</v>
      </c>
      <c r="Q73" s="25">
        <v>0</v>
      </c>
      <c r="R73" s="25">
        <v>0</v>
      </c>
      <c r="S73" s="25">
        <v>0</v>
      </c>
      <c r="T73" s="25">
        <v>3762.5986328125</v>
      </c>
      <c r="X73" s="25">
        <v>3.750999927520752</v>
      </c>
      <c r="Y73" s="25">
        <v>62.533592224121094</v>
      </c>
      <c r="Z73" s="25">
        <v>-64.640914916992187</v>
      </c>
      <c r="AA73" s="25">
        <v>0</v>
      </c>
      <c r="AB73" s="25">
        <v>0</v>
      </c>
      <c r="AC73" s="25">
        <v>0</v>
      </c>
      <c r="AD73" s="25">
        <v>416.46621704101562</v>
      </c>
      <c r="AH73" s="25">
        <v>3.75</v>
      </c>
      <c r="AI73" s="25">
        <v>-69.797004699707031</v>
      </c>
      <c r="AJ73" s="25">
        <v>53.043552398681641</v>
      </c>
      <c r="AK73" s="25">
        <v>0</v>
      </c>
      <c r="AL73" s="25">
        <v>0</v>
      </c>
      <c r="AM73" s="25">
        <v>0</v>
      </c>
      <c r="AN73" s="25">
        <v>-491.92300415039062</v>
      </c>
      <c r="AR73" s="25">
        <v>3.750999927520752</v>
      </c>
      <c r="AS73" s="25">
        <v>-0.9002068042755127</v>
      </c>
      <c r="AT73" s="25">
        <v>8.6854867935180664</v>
      </c>
      <c r="AU73" s="25">
        <v>0</v>
      </c>
      <c r="AV73" s="25">
        <v>0</v>
      </c>
      <c r="AW73" s="25">
        <v>0</v>
      </c>
      <c r="AX73" s="25">
        <v>79.476737976074219</v>
      </c>
      <c r="BB73" s="25">
        <v>3.750999927520752</v>
      </c>
      <c r="BC73" s="25">
        <v>-2.0744540691375732</v>
      </c>
      <c r="BD73" s="25">
        <v>20.175619125366211</v>
      </c>
      <c r="BE73" s="25">
        <v>0</v>
      </c>
      <c r="BF73" s="25">
        <v>0</v>
      </c>
      <c r="BG73" s="25">
        <v>0</v>
      </c>
      <c r="BH73" s="25">
        <v>181.31922912597656</v>
      </c>
      <c r="BL73" s="25">
        <v>3.750999927520752</v>
      </c>
      <c r="BM73" s="25">
        <v>-3.9183387756347656</v>
      </c>
      <c r="BN73" s="25">
        <v>38.106441497802734</v>
      </c>
      <c r="BO73" s="25">
        <v>0</v>
      </c>
      <c r="BP73" s="25">
        <v>0</v>
      </c>
      <c r="BQ73" s="25">
        <v>0</v>
      </c>
      <c r="BR73" s="25">
        <v>342.48965454101562</v>
      </c>
      <c r="BV73" s="25">
        <v>3.750999927520752</v>
      </c>
      <c r="BW73" s="25">
        <v>-1.2357428073883057</v>
      </c>
      <c r="BX73" s="25">
        <v>6.9896354675292969</v>
      </c>
      <c r="BY73" s="25">
        <v>0</v>
      </c>
      <c r="BZ73" s="25">
        <v>0</v>
      </c>
      <c r="CA73" s="25">
        <v>0</v>
      </c>
      <c r="CB73" s="25">
        <v>260.0841064453125</v>
      </c>
      <c r="CF73" s="25">
        <v>3.750999927520752</v>
      </c>
      <c r="CG73" s="25">
        <v>-0.61387449502944946</v>
      </c>
      <c r="CH73" s="25">
        <v>29.767416000366211</v>
      </c>
      <c r="CI73" s="25">
        <v>0</v>
      </c>
      <c r="CJ73" s="25">
        <v>0</v>
      </c>
      <c r="CK73" s="25">
        <v>0</v>
      </c>
      <c r="CL73" s="25">
        <v>266.606201171875</v>
      </c>
      <c r="CP73" s="25">
        <v>3.75</v>
      </c>
      <c r="CQ73" s="25">
        <v>5.0293333828449249E-2</v>
      </c>
      <c r="CR73" s="25">
        <v>-16.179065704345703</v>
      </c>
      <c r="CS73" s="25">
        <v>0</v>
      </c>
      <c r="CT73" s="25">
        <v>0</v>
      </c>
      <c r="CU73" s="25">
        <v>0</v>
      </c>
      <c r="CV73" s="25">
        <v>-67.698631286621094</v>
      </c>
      <c r="CZ73" s="25">
        <v>3.750999927520752</v>
      </c>
      <c r="DA73" s="25">
        <v>-1.2357428073883057</v>
      </c>
      <c r="DB73" s="25">
        <v>6.9896354675292969</v>
      </c>
      <c r="DC73" s="25">
        <v>0</v>
      </c>
      <c r="DD73" s="25">
        <v>0</v>
      </c>
      <c r="DE73" s="25">
        <v>0</v>
      </c>
      <c r="DF73" s="25">
        <v>260.0841064453125</v>
      </c>
      <c r="DJ73" s="25">
        <v>3.750999927520752</v>
      </c>
      <c r="DK73" s="25">
        <v>-0.61387449502944946</v>
      </c>
      <c r="DL73" s="25">
        <v>29.767416000366211</v>
      </c>
      <c r="DM73" s="25">
        <v>0</v>
      </c>
      <c r="DN73" s="25">
        <v>0</v>
      </c>
      <c r="DO73" s="25">
        <v>0</v>
      </c>
      <c r="DP73" s="25">
        <v>266.606201171875</v>
      </c>
      <c r="DT73" s="25">
        <v>3.75</v>
      </c>
      <c r="DU73" s="25">
        <v>5.0293333828449249E-2</v>
      </c>
      <c r="DV73" s="25">
        <v>-16.179065704345703</v>
      </c>
      <c r="DW73" s="25">
        <v>0</v>
      </c>
      <c r="DX73" s="25">
        <v>0</v>
      </c>
      <c r="DY73" s="25">
        <v>0</v>
      </c>
      <c r="DZ73" s="25">
        <v>-67.698631286621094</v>
      </c>
      <c r="ED73" s="25">
        <v>3.750999927520752</v>
      </c>
      <c r="EE73" s="25">
        <v>-0.54349839687347412</v>
      </c>
      <c r="EF73" s="25">
        <v>-26.871540069580078</v>
      </c>
      <c r="EG73" s="25">
        <v>0</v>
      </c>
      <c r="EH73" s="25">
        <v>0</v>
      </c>
      <c r="EI73" s="25">
        <v>0</v>
      </c>
      <c r="EJ73" s="25">
        <v>38.162666320800781</v>
      </c>
      <c r="EN73" s="25">
        <v>3.750999927520752</v>
      </c>
      <c r="EO73" s="25">
        <v>-0.28289884328842163</v>
      </c>
      <c r="EP73" s="25">
        <v>-15.071713447570801</v>
      </c>
      <c r="EQ73" s="25">
        <v>0</v>
      </c>
      <c r="ER73" s="25">
        <v>0</v>
      </c>
      <c r="ES73" s="25">
        <v>0</v>
      </c>
      <c r="ET73" s="25">
        <v>22.572607040405273</v>
      </c>
      <c r="EX73" s="25">
        <v>3.750999927520752</v>
      </c>
      <c r="EY73" s="25">
        <v>-3.0649828910827637</v>
      </c>
      <c r="EZ73" s="25">
        <v>-226.73521423339844</v>
      </c>
      <c r="FA73" s="25">
        <v>0</v>
      </c>
      <c r="FB73" s="25">
        <v>0</v>
      </c>
      <c r="FC73" s="25">
        <v>0</v>
      </c>
      <c r="FD73" s="25">
        <v>368.289794921875</v>
      </c>
      <c r="FH73" s="25">
        <v>3.750999927520752</v>
      </c>
      <c r="FI73" s="25">
        <v>-6.137519359588623</v>
      </c>
      <c r="FJ73" s="25">
        <v>-453.85971069335938</v>
      </c>
      <c r="FK73" s="25">
        <v>0</v>
      </c>
      <c r="FL73" s="25">
        <v>0</v>
      </c>
      <c r="FM73" s="25">
        <v>0</v>
      </c>
      <c r="FN73" s="25">
        <v>738.150634765625</v>
      </c>
    </row>
    <row r="74" spans="2:170">
      <c r="D74" s="25">
        <v>6.5510001182556152</v>
      </c>
      <c r="E74" s="25">
        <v>-33.370525360107422</v>
      </c>
      <c r="F74" s="25">
        <v>-1298.31640625</v>
      </c>
      <c r="G74" s="25">
        <v>0</v>
      </c>
      <c r="H74" s="25">
        <v>0</v>
      </c>
      <c r="I74" s="25">
        <v>0</v>
      </c>
      <c r="J74" s="25">
        <v>2431.483154296875</v>
      </c>
      <c r="N74" s="25">
        <v>6.5510001182556152</v>
      </c>
      <c r="O74" s="25">
        <v>-36.456501007080078</v>
      </c>
      <c r="P74" s="25">
        <v>-1225.5576171875</v>
      </c>
      <c r="Q74" s="25">
        <v>0</v>
      </c>
      <c r="R74" s="25">
        <v>0</v>
      </c>
      <c r="S74" s="25">
        <v>0</v>
      </c>
      <c r="T74" s="25">
        <v>2284.337158203125</v>
      </c>
      <c r="X74" s="25">
        <v>6.5510001182556152</v>
      </c>
      <c r="Y74" s="25">
        <v>62.533592224121094</v>
      </c>
      <c r="Z74" s="25">
        <v>-94.640914916992188</v>
      </c>
      <c r="AA74" s="25">
        <v>0</v>
      </c>
      <c r="AB74" s="25">
        <v>0</v>
      </c>
      <c r="AC74" s="25">
        <v>0</v>
      </c>
      <c r="AD74" s="25">
        <v>185.941650390625</v>
      </c>
      <c r="AH74" s="25">
        <v>6.5500001907348633</v>
      </c>
      <c r="AI74" s="25">
        <v>-69.797004699707031</v>
      </c>
      <c r="AJ74" s="25">
        <v>53.043552398681641</v>
      </c>
      <c r="AK74" s="25">
        <v>0</v>
      </c>
      <c r="AL74" s="25">
        <v>0</v>
      </c>
      <c r="AM74" s="25">
        <v>0</v>
      </c>
      <c r="AN74" s="25">
        <v>-343.40106201171875</v>
      </c>
      <c r="AR74" s="25">
        <v>6.5510001182556152</v>
      </c>
      <c r="AS74" s="25">
        <v>-0.9002068042755127</v>
      </c>
      <c r="AT74" s="25">
        <v>-31.314512252807617</v>
      </c>
      <c r="AU74" s="25">
        <v>0</v>
      </c>
      <c r="AV74" s="25">
        <v>0</v>
      </c>
      <c r="AW74" s="25">
        <v>0</v>
      </c>
      <c r="AX74" s="25">
        <v>37.756099700927734</v>
      </c>
      <c r="BB74" s="25">
        <v>6.5510001182556152</v>
      </c>
      <c r="BC74" s="25">
        <v>-2.0744540691375732</v>
      </c>
      <c r="BD74" s="25">
        <v>-69.824378967285156</v>
      </c>
      <c r="BE74" s="25">
        <v>0</v>
      </c>
      <c r="BF74" s="25">
        <v>0</v>
      </c>
      <c r="BG74" s="25">
        <v>0</v>
      </c>
      <c r="BH74" s="25">
        <v>89.220970153808594</v>
      </c>
      <c r="BL74" s="25">
        <v>6.5510001182556152</v>
      </c>
      <c r="BM74" s="25">
        <v>-3.9183387756347656</v>
      </c>
      <c r="BN74" s="25">
        <v>-131.8935546875</v>
      </c>
      <c r="BO74" s="25">
        <v>0</v>
      </c>
      <c r="BP74" s="25">
        <v>0</v>
      </c>
      <c r="BQ74" s="25">
        <v>0</v>
      </c>
      <c r="BR74" s="25">
        <v>168.5177001953125</v>
      </c>
      <c r="BV74" s="25">
        <v>6.5510001182556152</v>
      </c>
      <c r="BW74" s="25">
        <v>-1.2357428073883057</v>
      </c>
      <c r="BX74" s="25">
        <v>-106.24036407470703</v>
      </c>
      <c r="BY74" s="25">
        <v>0</v>
      </c>
      <c r="BZ74" s="25">
        <v>0</v>
      </c>
      <c r="CA74" s="25">
        <v>0</v>
      </c>
      <c r="CB74" s="25">
        <v>92.712364196777344</v>
      </c>
      <c r="CF74" s="25">
        <v>6.5510001182556152</v>
      </c>
      <c r="CG74" s="25">
        <v>-0.61387449502944946</v>
      </c>
      <c r="CH74" s="25">
        <v>-130.44258117675781</v>
      </c>
      <c r="CI74" s="25">
        <v>0</v>
      </c>
      <c r="CJ74" s="25">
        <v>0</v>
      </c>
      <c r="CK74" s="25">
        <v>0</v>
      </c>
      <c r="CL74" s="25">
        <v>85.4482421875</v>
      </c>
      <c r="CP74" s="25">
        <v>6.5500001907348633</v>
      </c>
      <c r="CQ74" s="25">
        <v>5.0293333828449249E-2</v>
      </c>
      <c r="CR74" s="25">
        <v>-16.179065704345703</v>
      </c>
      <c r="CS74" s="25">
        <v>0</v>
      </c>
      <c r="CT74" s="25">
        <v>0</v>
      </c>
      <c r="CU74" s="25">
        <v>0</v>
      </c>
      <c r="CV74" s="25">
        <v>-113.00002288818359</v>
      </c>
      <c r="CZ74" s="25">
        <v>6.5510001182556152</v>
      </c>
      <c r="DA74" s="25">
        <v>-1.2357428073883057</v>
      </c>
      <c r="DB74" s="25">
        <v>-106.24036407470703</v>
      </c>
      <c r="DC74" s="25">
        <v>0</v>
      </c>
      <c r="DD74" s="25">
        <v>0</v>
      </c>
      <c r="DE74" s="25">
        <v>0</v>
      </c>
      <c r="DF74" s="25">
        <v>92.712364196777344</v>
      </c>
      <c r="DJ74" s="25">
        <v>6.5510001182556152</v>
      </c>
      <c r="DK74" s="25">
        <v>-0.61387449502944946</v>
      </c>
      <c r="DL74" s="25">
        <v>-130.44258117675781</v>
      </c>
      <c r="DM74" s="25">
        <v>0</v>
      </c>
      <c r="DN74" s="25">
        <v>0</v>
      </c>
      <c r="DO74" s="25">
        <v>0</v>
      </c>
      <c r="DP74" s="25">
        <v>85.4482421875</v>
      </c>
      <c r="DT74" s="25">
        <v>6.5500001907348633</v>
      </c>
      <c r="DU74" s="25">
        <v>5.0293333828449249E-2</v>
      </c>
      <c r="DV74" s="25">
        <v>-16.179065704345703</v>
      </c>
      <c r="DW74" s="25">
        <v>0</v>
      </c>
      <c r="DX74" s="25">
        <v>0</v>
      </c>
      <c r="DY74" s="25">
        <v>0</v>
      </c>
      <c r="DZ74" s="25">
        <v>-113.00002288818359</v>
      </c>
      <c r="ED74" s="25">
        <v>6.5510001182556152</v>
      </c>
      <c r="EE74" s="25">
        <v>-0.54349839687347412</v>
      </c>
      <c r="EF74" s="25">
        <v>-14.681539535522461</v>
      </c>
      <c r="EG74" s="25">
        <v>0</v>
      </c>
      <c r="EH74" s="25">
        <v>0</v>
      </c>
      <c r="EI74" s="25">
        <v>0</v>
      </c>
      <c r="EJ74" s="25">
        <v>-16.951953887939453</v>
      </c>
      <c r="EN74" s="25">
        <v>6.5510001182556152</v>
      </c>
      <c r="EO74" s="25">
        <v>-0.28289884328842163</v>
      </c>
      <c r="EP74" s="25">
        <v>-9.1917133331298828</v>
      </c>
      <c r="EQ74" s="25">
        <v>0</v>
      </c>
      <c r="ER74" s="25">
        <v>0</v>
      </c>
      <c r="ES74" s="25">
        <v>0</v>
      </c>
      <c r="ET74" s="25">
        <v>-9.9203109741210937</v>
      </c>
      <c r="EX74" s="25">
        <v>6.5510001182556152</v>
      </c>
      <c r="EY74" s="25">
        <v>-3.0649828910827637</v>
      </c>
      <c r="EZ74" s="25">
        <v>-162.49522399902344</v>
      </c>
      <c r="FA74" s="25">
        <v>0</v>
      </c>
      <c r="FB74" s="25">
        <v>0</v>
      </c>
      <c r="FC74" s="25">
        <v>0</v>
      </c>
      <c r="FD74" s="25">
        <v>-160.50857543945312</v>
      </c>
      <c r="FH74" s="25">
        <v>6.5510001182556152</v>
      </c>
      <c r="FI74" s="25">
        <v>-6.137519359588623</v>
      </c>
      <c r="FJ74" s="25">
        <v>-325.38970947265625</v>
      </c>
      <c r="FK74" s="25">
        <v>0</v>
      </c>
      <c r="FL74" s="25">
        <v>0</v>
      </c>
      <c r="FM74" s="25">
        <v>0</v>
      </c>
      <c r="FN74" s="25">
        <v>-320.55255126953125</v>
      </c>
    </row>
    <row r="75" spans="2:170">
      <c r="C75" s="25">
        <v>3</v>
      </c>
      <c r="D75" s="25">
        <v>7.5</v>
      </c>
      <c r="E75" s="25">
        <v>-33.370525360107422</v>
      </c>
      <c r="F75" s="25">
        <v>-1751.9383544921875</v>
      </c>
      <c r="G75" s="25">
        <v>0</v>
      </c>
      <c r="H75" s="25">
        <v>0</v>
      </c>
      <c r="I75" s="25">
        <v>0</v>
      </c>
      <c r="J75" s="25">
        <v>984.13720703125</v>
      </c>
      <c r="M75" s="25">
        <v>3</v>
      </c>
      <c r="N75" s="25">
        <v>7.5</v>
      </c>
      <c r="O75" s="25">
        <v>-36.456501007080078</v>
      </c>
      <c r="P75" s="25">
        <v>-1225.5576171875</v>
      </c>
      <c r="Q75" s="25">
        <v>0</v>
      </c>
      <c r="R75" s="25">
        <v>0</v>
      </c>
      <c r="S75" s="25">
        <v>0</v>
      </c>
      <c r="T75" s="25">
        <v>1121.2828369140625</v>
      </c>
      <c r="W75" s="25">
        <v>3</v>
      </c>
      <c r="X75" s="25">
        <v>7.5</v>
      </c>
      <c r="Y75" s="25">
        <v>62.533592224121094</v>
      </c>
      <c r="Z75" s="25">
        <v>-94.640914916992188</v>
      </c>
      <c r="AA75" s="25">
        <v>0</v>
      </c>
      <c r="AB75" s="25">
        <v>0</v>
      </c>
      <c r="AC75" s="25">
        <v>0</v>
      </c>
      <c r="AD75" s="25">
        <v>96.127426147460938</v>
      </c>
      <c r="AG75" s="25">
        <v>3</v>
      </c>
      <c r="AH75" s="25">
        <v>7.5</v>
      </c>
      <c r="AI75" s="25">
        <v>-69.797004699707031</v>
      </c>
      <c r="AJ75" s="25">
        <v>53.043552398681641</v>
      </c>
      <c r="AK75" s="25">
        <v>0</v>
      </c>
      <c r="AL75" s="25">
        <v>0</v>
      </c>
      <c r="AM75" s="25">
        <v>0</v>
      </c>
      <c r="AN75" s="25">
        <v>-293.00967407226562</v>
      </c>
      <c r="AQ75" s="25">
        <v>3</v>
      </c>
      <c r="AR75" s="25">
        <v>7.5</v>
      </c>
      <c r="AS75" s="25">
        <v>-0.9002068042755127</v>
      </c>
      <c r="AT75" s="25">
        <v>-31.314512252807617</v>
      </c>
      <c r="AU75" s="25">
        <v>0</v>
      </c>
      <c r="AV75" s="25">
        <v>0</v>
      </c>
      <c r="AW75" s="25">
        <v>0</v>
      </c>
      <c r="AX75" s="25">
        <v>8.0386276245117187</v>
      </c>
      <c r="BA75" s="25">
        <v>3</v>
      </c>
      <c r="BB75" s="25">
        <v>7.5</v>
      </c>
      <c r="BC75" s="25">
        <v>-2.0744540691375732</v>
      </c>
      <c r="BD75" s="25">
        <v>-69.824378967285156</v>
      </c>
      <c r="BE75" s="25">
        <v>0</v>
      </c>
      <c r="BF75" s="25">
        <v>0</v>
      </c>
      <c r="BG75" s="25">
        <v>0</v>
      </c>
      <c r="BH75" s="25">
        <v>22.957633972167969</v>
      </c>
      <c r="BK75" s="25">
        <v>3</v>
      </c>
      <c r="BL75" s="25">
        <v>7.5</v>
      </c>
      <c r="BM75" s="25">
        <v>-3.9183387756347656</v>
      </c>
      <c r="BN75" s="25">
        <v>-131.8935546875</v>
      </c>
      <c r="BO75" s="25">
        <v>0</v>
      </c>
      <c r="BP75" s="25">
        <v>0</v>
      </c>
      <c r="BQ75" s="25">
        <v>0</v>
      </c>
      <c r="BR75" s="25">
        <v>43.350711822509766</v>
      </c>
      <c r="BU75" s="25">
        <v>3</v>
      </c>
      <c r="BV75" s="25">
        <v>7.5</v>
      </c>
      <c r="BW75" s="25">
        <v>-1.2357428073883057</v>
      </c>
      <c r="BX75" s="25">
        <v>-106.24036407470703</v>
      </c>
      <c r="BY75" s="25">
        <v>0</v>
      </c>
      <c r="BZ75" s="25">
        <v>0</v>
      </c>
      <c r="CA75" s="25">
        <v>0</v>
      </c>
      <c r="CB75" s="25">
        <v>-8.1097421646118164</v>
      </c>
      <c r="CE75" s="25">
        <v>3</v>
      </c>
      <c r="CF75" s="25">
        <v>7.5</v>
      </c>
      <c r="CG75" s="25">
        <v>-0.61387449502944946</v>
      </c>
      <c r="CH75" s="25">
        <v>-130.44258117675781</v>
      </c>
      <c r="CI75" s="25">
        <v>0</v>
      </c>
      <c r="CJ75" s="25">
        <v>0</v>
      </c>
      <c r="CK75" s="25">
        <v>0</v>
      </c>
      <c r="CL75" s="25">
        <v>-38.341766357421875</v>
      </c>
      <c r="CO75" s="25">
        <v>3</v>
      </c>
      <c r="CP75" s="25">
        <v>7.5</v>
      </c>
      <c r="CQ75" s="25">
        <v>5.0293333828449249E-2</v>
      </c>
      <c r="CR75" s="25">
        <v>-16.179065704345703</v>
      </c>
      <c r="CS75" s="25">
        <v>0</v>
      </c>
      <c r="CT75" s="25">
        <v>0</v>
      </c>
      <c r="CU75" s="25">
        <v>0</v>
      </c>
      <c r="CV75" s="25">
        <v>-128.37013244628906</v>
      </c>
      <c r="CY75" s="25">
        <v>3</v>
      </c>
      <c r="CZ75" s="25">
        <v>7.5</v>
      </c>
      <c r="DA75" s="25">
        <v>-1.2357428073883057</v>
      </c>
      <c r="DB75" s="25">
        <v>-106.24036407470703</v>
      </c>
      <c r="DC75" s="25">
        <v>0</v>
      </c>
      <c r="DD75" s="25">
        <v>0</v>
      </c>
      <c r="DE75" s="25">
        <v>0</v>
      </c>
      <c r="DF75" s="25">
        <v>-8.1097421646118164</v>
      </c>
      <c r="DI75" s="25">
        <v>3</v>
      </c>
      <c r="DJ75" s="25">
        <v>7.5</v>
      </c>
      <c r="DK75" s="25">
        <v>-0.61387449502944946</v>
      </c>
      <c r="DL75" s="25">
        <v>-130.44258117675781</v>
      </c>
      <c r="DM75" s="25">
        <v>0</v>
      </c>
      <c r="DN75" s="25">
        <v>0</v>
      </c>
      <c r="DO75" s="25">
        <v>0</v>
      </c>
      <c r="DP75" s="25">
        <v>-38.341766357421875</v>
      </c>
      <c r="DS75" s="25">
        <v>3</v>
      </c>
      <c r="DT75" s="25">
        <v>7.5</v>
      </c>
      <c r="DU75" s="25">
        <v>5.0293333828449249E-2</v>
      </c>
      <c r="DV75" s="25">
        <v>-16.179065704345703</v>
      </c>
      <c r="DW75" s="25">
        <v>0</v>
      </c>
      <c r="DX75" s="25">
        <v>0</v>
      </c>
      <c r="DY75" s="25">
        <v>0</v>
      </c>
      <c r="DZ75" s="25">
        <v>-128.37013244628906</v>
      </c>
      <c r="EC75" s="25">
        <v>3</v>
      </c>
      <c r="ED75" s="25">
        <v>7.5</v>
      </c>
      <c r="EE75" s="25">
        <v>-0.54349839687347412</v>
      </c>
      <c r="EF75" s="25">
        <v>-14.681539535522461</v>
      </c>
      <c r="EG75" s="25">
        <v>0</v>
      </c>
      <c r="EH75" s="25">
        <v>0</v>
      </c>
      <c r="EI75" s="25">
        <v>0</v>
      </c>
      <c r="EJ75" s="25">
        <v>-30.884735107421875</v>
      </c>
      <c r="EM75" s="25">
        <v>3</v>
      </c>
      <c r="EN75" s="25">
        <v>7.5</v>
      </c>
      <c r="EO75" s="25">
        <v>-0.28289884328842163</v>
      </c>
      <c r="EP75" s="25">
        <v>-9.1917133331298828</v>
      </c>
      <c r="EQ75" s="25">
        <v>0</v>
      </c>
      <c r="ER75" s="25">
        <v>0</v>
      </c>
      <c r="ES75" s="25">
        <v>0</v>
      </c>
      <c r="ET75" s="25">
        <v>-18.643247604370117</v>
      </c>
      <c r="EW75" s="25">
        <v>3</v>
      </c>
      <c r="EX75" s="25">
        <v>7.5</v>
      </c>
      <c r="EY75" s="25">
        <v>-3.0649828910827637</v>
      </c>
      <c r="EZ75" s="25">
        <v>-162.49522399902344</v>
      </c>
      <c r="FA75" s="25">
        <v>0</v>
      </c>
      <c r="FB75" s="25">
        <v>0</v>
      </c>
      <c r="FC75" s="25">
        <v>0</v>
      </c>
      <c r="FD75" s="25">
        <v>-314.716552734375</v>
      </c>
      <c r="FG75" s="25">
        <v>3</v>
      </c>
      <c r="FH75" s="25">
        <v>7.5</v>
      </c>
      <c r="FI75" s="25">
        <v>-6.137519359588623</v>
      </c>
      <c r="FJ75" s="25">
        <v>-325.38970947265625</v>
      </c>
      <c r="FK75" s="25">
        <v>0</v>
      </c>
      <c r="FL75" s="25">
        <v>0</v>
      </c>
      <c r="FM75" s="25">
        <v>0</v>
      </c>
      <c r="FN75" s="25">
        <v>-629.34735107421875</v>
      </c>
    </row>
    <row r="76" spans="2:170">
      <c r="B76" s="25">
        <v>3</v>
      </c>
      <c r="C76" s="25">
        <v>3</v>
      </c>
      <c r="D76" s="25">
        <v>0</v>
      </c>
      <c r="E76" s="25">
        <v>-42.589241027832031</v>
      </c>
      <c r="F76" s="25">
        <v>4178.580078125</v>
      </c>
      <c r="G76" s="25">
        <v>0</v>
      </c>
      <c r="H76" s="25">
        <v>0</v>
      </c>
      <c r="I76" s="25">
        <v>0</v>
      </c>
      <c r="J76" s="25">
        <v>869.76556396484375</v>
      </c>
      <c r="L76" s="25">
        <v>3</v>
      </c>
      <c r="M76" s="25">
        <v>3</v>
      </c>
      <c r="N76" s="25">
        <v>0</v>
      </c>
      <c r="O76" s="25">
        <v>-45.388515472412109</v>
      </c>
      <c r="P76" s="25">
        <v>2451.988525390625</v>
      </c>
      <c r="Q76" s="25">
        <v>0</v>
      </c>
      <c r="R76" s="25">
        <v>0</v>
      </c>
      <c r="S76" s="25">
        <v>0</v>
      </c>
      <c r="T76" s="25">
        <v>1028.19091796875</v>
      </c>
      <c r="V76" s="25">
        <v>3</v>
      </c>
      <c r="W76" s="25">
        <v>3</v>
      </c>
      <c r="X76" s="25">
        <v>0</v>
      </c>
      <c r="Y76" s="25">
        <v>77.299957275390625</v>
      </c>
      <c r="Z76" s="25">
        <v>28.539464950561523</v>
      </c>
      <c r="AA76" s="25">
        <v>0</v>
      </c>
      <c r="AB76" s="25">
        <v>0</v>
      </c>
      <c r="AC76" s="25">
        <v>0</v>
      </c>
      <c r="AD76" s="25">
        <v>242.10386657714844</v>
      </c>
      <c r="AF76" s="25">
        <v>3</v>
      </c>
      <c r="AG76" s="25">
        <v>3</v>
      </c>
      <c r="AH76" s="25">
        <v>0</v>
      </c>
      <c r="AI76" s="25">
        <v>-45.80792236328125</v>
      </c>
      <c r="AJ76" s="25">
        <v>-12.571066856384277</v>
      </c>
      <c r="AK76" s="25">
        <v>0</v>
      </c>
      <c r="AL76" s="25">
        <v>0</v>
      </c>
      <c r="AM76" s="25">
        <v>0</v>
      </c>
      <c r="AN76" s="25">
        <v>-52.067661285400391</v>
      </c>
      <c r="AP76" s="25">
        <v>3</v>
      </c>
      <c r="AQ76" s="25">
        <v>3</v>
      </c>
      <c r="AR76" s="25">
        <v>0</v>
      </c>
      <c r="AS76" s="25">
        <v>-1.2432364225387573</v>
      </c>
      <c r="AT76" s="25">
        <v>80.441009521484375</v>
      </c>
      <c r="AU76" s="25">
        <v>0</v>
      </c>
      <c r="AV76" s="25">
        <v>0</v>
      </c>
      <c r="AW76" s="25">
        <v>0</v>
      </c>
      <c r="AX76" s="25">
        <v>3.8481054306030273</v>
      </c>
      <c r="AZ76" s="25">
        <v>3</v>
      </c>
      <c r="BA76" s="25">
        <v>3</v>
      </c>
      <c r="BB76" s="25">
        <v>0</v>
      </c>
      <c r="BC76" s="25">
        <v>-2.8705849647521973</v>
      </c>
      <c r="BD76" s="25">
        <v>194.49227905273437</v>
      </c>
      <c r="BE76" s="25">
        <v>0</v>
      </c>
      <c r="BF76" s="25">
        <v>0</v>
      </c>
      <c r="BG76" s="25">
        <v>0</v>
      </c>
      <c r="BH76" s="25">
        <v>13.225281715393066</v>
      </c>
      <c r="BJ76" s="25">
        <v>3</v>
      </c>
      <c r="BK76" s="25">
        <v>3</v>
      </c>
      <c r="BL76" s="25">
        <v>0</v>
      </c>
      <c r="BM76" s="25">
        <v>-5.4220890998840332</v>
      </c>
      <c r="BN76" s="25">
        <v>367.47430419921875</v>
      </c>
      <c r="BO76" s="25">
        <v>0</v>
      </c>
      <c r="BP76" s="25">
        <v>0</v>
      </c>
      <c r="BQ76" s="25">
        <v>0</v>
      </c>
      <c r="BR76" s="25">
        <v>24.968036651611328</v>
      </c>
      <c r="BT76" s="25">
        <v>3</v>
      </c>
      <c r="BU76" s="25">
        <v>3</v>
      </c>
      <c r="BV76" s="25">
        <v>0</v>
      </c>
      <c r="BW76" s="25">
        <v>-0.60133785009384155</v>
      </c>
      <c r="BX76" s="25">
        <v>198.26536560058594</v>
      </c>
      <c r="BY76" s="25">
        <v>0</v>
      </c>
      <c r="BZ76" s="25">
        <v>0</v>
      </c>
      <c r="CA76" s="25">
        <v>0</v>
      </c>
      <c r="CB76" s="25">
        <v>5.3123764991760254</v>
      </c>
      <c r="CD76" s="25">
        <v>3</v>
      </c>
      <c r="CE76" s="25">
        <v>3</v>
      </c>
      <c r="CF76" s="25">
        <v>0</v>
      </c>
      <c r="CG76" s="25">
        <v>0.55993521213531494</v>
      </c>
      <c r="CH76" s="25">
        <v>110.01515197753906</v>
      </c>
      <c r="CI76" s="25">
        <v>0</v>
      </c>
      <c r="CJ76" s="25">
        <v>0</v>
      </c>
      <c r="CK76" s="25">
        <v>0</v>
      </c>
      <c r="CL76" s="25">
        <v>-22.158214569091797</v>
      </c>
      <c r="CN76" s="25">
        <v>3</v>
      </c>
      <c r="CO76" s="25">
        <v>3</v>
      </c>
      <c r="CP76" s="25">
        <v>0</v>
      </c>
      <c r="CQ76" s="25">
        <v>-0.57408821582794189</v>
      </c>
      <c r="CR76" s="25">
        <v>95.185829162597656</v>
      </c>
      <c r="CS76" s="25">
        <v>0</v>
      </c>
      <c r="CT76" s="25">
        <v>0</v>
      </c>
      <c r="CU76" s="25">
        <v>0</v>
      </c>
      <c r="CV76" s="25">
        <v>-141.87002563476562</v>
      </c>
      <c r="CX76" s="25">
        <v>3</v>
      </c>
      <c r="CY76" s="25">
        <v>3</v>
      </c>
      <c r="CZ76" s="25">
        <v>0</v>
      </c>
      <c r="DA76" s="25">
        <v>-0.60133785009384155</v>
      </c>
      <c r="DB76" s="25">
        <v>198.26536560058594</v>
      </c>
      <c r="DC76" s="25">
        <v>0</v>
      </c>
      <c r="DD76" s="25">
        <v>0</v>
      </c>
      <c r="DE76" s="25">
        <v>0</v>
      </c>
      <c r="DF76" s="25">
        <v>5.3123764991760254</v>
      </c>
      <c r="DH76" s="25">
        <v>3</v>
      </c>
      <c r="DI76" s="25">
        <v>3</v>
      </c>
      <c r="DJ76" s="25">
        <v>0</v>
      </c>
      <c r="DK76" s="25">
        <v>0.55993521213531494</v>
      </c>
      <c r="DL76" s="25">
        <v>110.01515197753906</v>
      </c>
      <c r="DM76" s="25">
        <v>0</v>
      </c>
      <c r="DN76" s="25">
        <v>0</v>
      </c>
      <c r="DO76" s="25">
        <v>0</v>
      </c>
      <c r="DP76" s="25">
        <v>-22.158214569091797</v>
      </c>
      <c r="DR76" s="25">
        <v>3</v>
      </c>
      <c r="DS76" s="25">
        <v>3</v>
      </c>
      <c r="DT76" s="25">
        <v>0</v>
      </c>
      <c r="DU76" s="25">
        <v>-0.57408821582794189</v>
      </c>
      <c r="DV76" s="25">
        <v>95.185829162597656</v>
      </c>
      <c r="DW76" s="25">
        <v>0</v>
      </c>
      <c r="DX76" s="25">
        <v>0</v>
      </c>
      <c r="DY76" s="25">
        <v>0</v>
      </c>
      <c r="DZ76" s="25">
        <v>-141.87002563476562</v>
      </c>
      <c r="EB76" s="25">
        <v>3</v>
      </c>
      <c r="EC76" s="25">
        <v>3</v>
      </c>
      <c r="ED76" s="25">
        <v>0</v>
      </c>
      <c r="EE76" s="25">
        <v>-0.61164474487304688</v>
      </c>
      <c r="EF76" s="25">
        <v>-15.575831413269043</v>
      </c>
      <c r="EG76" s="25">
        <v>0</v>
      </c>
      <c r="EH76" s="25">
        <v>0</v>
      </c>
      <c r="EI76" s="25">
        <v>0</v>
      </c>
      <c r="EJ76" s="25">
        <v>158.87861633300781</v>
      </c>
      <c r="EL76" s="25">
        <v>3</v>
      </c>
      <c r="EM76" s="25">
        <v>3</v>
      </c>
      <c r="EN76" s="25">
        <v>0</v>
      </c>
      <c r="EO76" s="25">
        <v>-0.29503905773162842</v>
      </c>
      <c r="EP76" s="25">
        <v>-9.8732938766479492</v>
      </c>
      <c r="EQ76" s="25">
        <v>0</v>
      </c>
      <c r="ER76" s="25">
        <v>0</v>
      </c>
      <c r="ES76" s="25">
        <v>0</v>
      </c>
      <c r="ET76" s="25">
        <v>85.487991333007813</v>
      </c>
      <c r="EV76" s="25">
        <v>3</v>
      </c>
      <c r="EW76" s="25">
        <v>3</v>
      </c>
      <c r="EX76" s="25">
        <v>0</v>
      </c>
      <c r="EY76" s="25">
        <v>-1.9580825567245483</v>
      </c>
      <c r="EZ76" s="25">
        <v>-206.20729064941406</v>
      </c>
      <c r="FA76" s="25">
        <v>0</v>
      </c>
      <c r="FB76" s="25">
        <v>0</v>
      </c>
      <c r="FC76" s="25">
        <v>0</v>
      </c>
      <c r="FD76" s="25">
        <v>1193.8731689453125</v>
      </c>
      <c r="FF76" s="25">
        <v>3</v>
      </c>
      <c r="FG76" s="25">
        <v>3</v>
      </c>
      <c r="FH76" s="25">
        <v>0</v>
      </c>
      <c r="FI76" s="25">
        <v>-3.9157969951629639</v>
      </c>
      <c r="FJ76" s="25">
        <v>-403.18728637695312</v>
      </c>
      <c r="FK76" s="25">
        <v>0</v>
      </c>
      <c r="FL76" s="25">
        <v>0</v>
      </c>
      <c r="FM76" s="25">
        <v>0</v>
      </c>
      <c r="FN76" s="25">
        <v>2388.881103515625</v>
      </c>
    </row>
    <row r="77" spans="2:170">
      <c r="D77" s="25">
        <v>0.94999998807907104</v>
      </c>
      <c r="E77" s="25">
        <v>-42.589241027832031</v>
      </c>
      <c r="F77" s="25">
        <v>1013.2801513671875</v>
      </c>
      <c r="G77" s="25">
        <v>0</v>
      </c>
      <c r="H77" s="25">
        <v>0</v>
      </c>
      <c r="I77" s="25">
        <v>0</v>
      </c>
      <c r="J77" s="25">
        <v>1911.5142822265625</v>
      </c>
      <c r="N77" s="25">
        <v>0.94999998807907104</v>
      </c>
      <c r="O77" s="25">
        <v>-45.388515472412109</v>
      </c>
      <c r="P77" s="25">
        <v>1675.988525390625</v>
      </c>
      <c r="Q77" s="25">
        <v>0</v>
      </c>
      <c r="R77" s="25">
        <v>0</v>
      </c>
      <c r="S77" s="25">
        <v>0</v>
      </c>
      <c r="T77" s="25">
        <v>2639.780029296875</v>
      </c>
      <c r="X77" s="25">
        <v>0.94999998807907104</v>
      </c>
      <c r="Y77" s="25">
        <v>77.299957275390625</v>
      </c>
      <c r="Z77" s="25">
        <v>28.539464950561523</v>
      </c>
      <c r="AA77" s="25">
        <v>0</v>
      </c>
      <c r="AB77" s="25">
        <v>0</v>
      </c>
      <c r="AC77" s="25">
        <v>0</v>
      </c>
      <c r="AD77" s="25">
        <v>269.21633911132812</v>
      </c>
      <c r="AH77" s="25">
        <v>0.94999998807907104</v>
      </c>
      <c r="AI77" s="25">
        <v>-45.80792236328125</v>
      </c>
      <c r="AJ77" s="25">
        <v>-11.67106819152832</v>
      </c>
      <c r="AK77" s="25">
        <v>0</v>
      </c>
      <c r="AL77" s="25">
        <v>0</v>
      </c>
      <c r="AM77" s="25">
        <v>0</v>
      </c>
      <c r="AN77" s="25">
        <v>-63.177677154541016</v>
      </c>
      <c r="AR77" s="25">
        <v>0.94999998807907104</v>
      </c>
      <c r="AS77" s="25">
        <v>-1.2432364225387573</v>
      </c>
      <c r="AT77" s="25">
        <v>43.241016387939453</v>
      </c>
      <c r="AU77" s="25">
        <v>0</v>
      </c>
      <c r="AV77" s="25">
        <v>0</v>
      </c>
      <c r="AW77" s="25">
        <v>0</v>
      </c>
      <c r="AX77" s="25">
        <v>45.857070922851563</v>
      </c>
      <c r="BB77" s="25">
        <v>0.94999998807907104</v>
      </c>
      <c r="BC77" s="25">
        <v>-2.8705849647521973</v>
      </c>
      <c r="BD77" s="25">
        <v>97.292282104492188</v>
      </c>
      <c r="BE77" s="25">
        <v>0</v>
      </c>
      <c r="BF77" s="25">
        <v>0</v>
      </c>
      <c r="BG77" s="25">
        <v>0</v>
      </c>
      <c r="BH77" s="25">
        <v>108.08294677734375</v>
      </c>
      <c r="BL77" s="25">
        <v>0.94999998807907104</v>
      </c>
      <c r="BM77" s="25">
        <v>-5.4220890998840332</v>
      </c>
      <c r="BN77" s="25">
        <v>183.77430725097656</v>
      </c>
      <c r="BO77" s="25">
        <v>0</v>
      </c>
      <c r="BP77" s="25">
        <v>0</v>
      </c>
      <c r="BQ77" s="25">
        <v>0</v>
      </c>
      <c r="BR77" s="25">
        <v>204.14613342285156</v>
      </c>
      <c r="BV77" s="25">
        <v>0.94999998807907104</v>
      </c>
      <c r="BW77" s="25">
        <v>-0.60133785009384155</v>
      </c>
      <c r="BX77" s="25">
        <v>29.8753662109375</v>
      </c>
      <c r="BY77" s="25">
        <v>0</v>
      </c>
      <c r="BZ77" s="25">
        <v>0</v>
      </c>
      <c r="CA77" s="25">
        <v>0</v>
      </c>
      <c r="CB77" s="25">
        <v>37.903724670410156</v>
      </c>
      <c r="CF77" s="25">
        <v>0.94999998807907104</v>
      </c>
      <c r="CG77" s="25">
        <v>0.55993521213531494</v>
      </c>
      <c r="CH77" s="25">
        <v>-20.194849014282227</v>
      </c>
      <c r="CI77" s="25">
        <v>0</v>
      </c>
      <c r="CJ77" s="25">
        <v>0</v>
      </c>
      <c r="CK77" s="25">
        <v>0</v>
      </c>
      <c r="CL77" s="25">
        <v>-38.088069915771484</v>
      </c>
      <c r="CP77" s="25">
        <v>0.94999998807907104</v>
      </c>
      <c r="CQ77" s="25">
        <v>-0.57408821582794189</v>
      </c>
      <c r="CR77" s="25">
        <v>22.245828628540039</v>
      </c>
      <c r="CS77" s="25">
        <v>0</v>
      </c>
      <c r="CT77" s="25">
        <v>0</v>
      </c>
      <c r="CU77" s="25">
        <v>0</v>
      </c>
      <c r="CV77" s="25">
        <v>-118.91298675537109</v>
      </c>
      <c r="CZ77" s="25">
        <v>0.94999998807907104</v>
      </c>
      <c r="DA77" s="25">
        <v>-0.60133785009384155</v>
      </c>
      <c r="DB77" s="25">
        <v>29.8753662109375</v>
      </c>
      <c r="DC77" s="25">
        <v>0</v>
      </c>
      <c r="DD77" s="25">
        <v>0</v>
      </c>
      <c r="DE77" s="25">
        <v>0</v>
      </c>
      <c r="DF77" s="25">
        <v>37.903724670410156</v>
      </c>
      <c r="DJ77" s="25">
        <v>0.94999998807907104</v>
      </c>
      <c r="DK77" s="25">
        <v>0.55993521213531494</v>
      </c>
      <c r="DL77" s="25">
        <v>-20.194849014282227</v>
      </c>
      <c r="DM77" s="25">
        <v>0</v>
      </c>
      <c r="DN77" s="25">
        <v>0</v>
      </c>
      <c r="DO77" s="25">
        <v>0</v>
      </c>
      <c r="DP77" s="25">
        <v>-38.088069915771484</v>
      </c>
      <c r="DT77" s="25">
        <v>0.94999998807907104</v>
      </c>
      <c r="DU77" s="25">
        <v>-0.57408821582794189</v>
      </c>
      <c r="DV77" s="25">
        <v>22.245828628540039</v>
      </c>
      <c r="DW77" s="25">
        <v>0</v>
      </c>
      <c r="DX77" s="25">
        <v>0</v>
      </c>
      <c r="DY77" s="25">
        <v>0</v>
      </c>
      <c r="DZ77" s="25">
        <v>-118.91298675537109</v>
      </c>
      <c r="ED77" s="25">
        <v>0.94999998807907104</v>
      </c>
      <c r="EE77" s="25">
        <v>-0.61164474487304688</v>
      </c>
      <c r="EF77" s="25">
        <v>-15.575831413269043</v>
      </c>
      <c r="EG77" s="25">
        <v>0</v>
      </c>
      <c r="EH77" s="25">
        <v>0</v>
      </c>
      <c r="EI77" s="25">
        <v>0</v>
      </c>
      <c r="EJ77" s="25">
        <v>144.08157348632812</v>
      </c>
      <c r="EN77" s="25">
        <v>0.94999998807907104</v>
      </c>
      <c r="EO77" s="25">
        <v>-0.29503905773162842</v>
      </c>
      <c r="EP77" s="25">
        <v>-9.8732938766479492</v>
      </c>
      <c r="EQ77" s="25">
        <v>0</v>
      </c>
      <c r="ER77" s="25">
        <v>0</v>
      </c>
      <c r="ES77" s="25">
        <v>0</v>
      </c>
      <c r="ET77" s="25">
        <v>76.108360290527344</v>
      </c>
      <c r="EX77" s="25">
        <v>0.94999998807907104</v>
      </c>
      <c r="EY77" s="25">
        <v>-1.9580825567245483</v>
      </c>
      <c r="EZ77" s="25">
        <v>-199.96728515625</v>
      </c>
      <c r="FA77" s="25">
        <v>0</v>
      </c>
      <c r="FB77" s="25">
        <v>0</v>
      </c>
      <c r="FC77" s="25">
        <v>0</v>
      </c>
      <c r="FD77" s="25">
        <v>1003.748291015625</v>
      </c>
      <c r="FH77" s="25">
        <v>0.94999998807907104</v>
      </c>
      <c r="FI77" s="25">
        <v>-3.9157969951629639</v>
      </c>
      <c r="FJ77" s="25">
        <v>-400.3172607421875</v>
      </c>
      <c r="FK77" s="25">
        <v>0</v>
      </c>
      <c r="FL77" s="25">
        <v>0</v>
      </c>
      <c r="FM77" s="25">
        <v>0</v>
      </c>
      <c r="FN77" s="25">
        <v>2008.5079345703125</v>
      </c>
    </row>
    <row r="78" spans="2:170">
      <c r="D78" s="25">
        <v>3.75</v>
      </c>
      <c r="E78" s="25">
        <v>-42.589241027832031</v>
      </c>
      <c r="F78" s="25">
        <v>-76.7198486328125</v>
      </c>
      <c r="G78" s="25">
        <v>0</v>
      </c>
      <c r="H78" s="25">
        <v>0</v>
      </c>
      <c r="I78" s="25">
        <v>0</v>
      </c>
      <c r="J78" s="25">
        <v>2514.19873046875</v>
      </c>
      <c r="N78" s="25">
        <v>3.75</v>
      </c>
      <c r="O78" s="25">
        <v>-45.388515472412109</v>
      </c>
      <c r="P78" s="25">
        <v>-24.011421203613281</v>
      </c>
      <c r="Q78" s="25">
        <v>0</v>
      </c>
      <c r="R78" s="25">
        <v>0</v>
      </c>
      <c r="S78" s="25">
        <v>0</v>
      </c>
      <c r="T78" s="25">
        <v>3847.548095703125</v>
      </c>
      <c r="X78" s="25">
        <v>3.75</v>
      </c>
      <c r="Y78" s="25">
        <v>77.299957275390625</v>
      </c>
      <c r="Z78" s="25">
        <v>-1.4605344533920288</v>
      </c>
      <c r="AA78" s="25">
        <v>0</v>
      </c>
      <c r="AB78" s="25">
        <v>0</v>
      </c>
      <c r="AC78" s="25">
        <v>0</v>
      </c>
      <c r="AD78" s="25">
        <v>287.62686157226562</v>
      </c>
      <c r="AH78" s="25">
        <v>3.75</v>
      </c>
      <c r="AI78" s="25">
        <v>-45.80792236328125</v>
      </c>
      <c r="AJ78" s="25">
        <v>-11.67106819152832</v>
      </c>
      <c r="AK78" s="25">
        <v>0</v>
      </c>
      <c r="AL78" s="25">
        <v>0</v>
      </c>
      <c r="AM78" s="25">
        <v>0</v>
      </c>
      <c r="AN78" s="25">
        <v>-95.856666564941406</v>
      </c>
      <c r="AR78" s="25">
        <v>3.75</v>
      </c>
      <c r="AS78" s="25">
        <v>-1.2432364225387573</v>
      </c>
      <c r="AT78" s="25">
        <v>3.2410147190093994</v>
      </c>
      <c r="AU78" s="25">
        <v>0</v>
      </c>
      <c r="AV78" s="25">
        <v>0</v>
      </c>
      <c r="AW78" s="25">
        <v>0</v>
      </c>
      <c r="AX78" s="25">
        <v>84.931907653808594</v>
      </c>
      <c r="BB78" s="25">
        <v>3.75</v>
      </c>
      <c r="BC78" s="25">
        <v>-2.8705849647521973</v>
      </c>
      <c r="BD78" s="25">
        <v>7.2922830581665039</v>
      </c>
      <c r="BE78" s="25">
        <v>0</v>
      </c>
      <c r="BF78" s="25">
        <v>0</v>
      </c>
      <c r="BG78" s="25">
        <v>0</v>
      </c>
      <c r="BH78" s="25">
        <v>196.0013427734375</v>
      </c>
      <c r="BL78" s="25">
        <v>3.75</v>
      </c>
      <c r="BM78" s="25">
        <v>-5.4220890998840332</v>
      </c>
      <c r="BN78" s="25">
        <v>13.774312019348145</v>
      </c>
      <c r="BO78" s="25">
        <v>0</v>
      </c>
      <c r="BP78" s="25">
        <v>0</v>
      </c>
      <c r="BQ78" s="25">
        <v>0</v>
      </c>
      <c r="BR78" s="25">
        <v>370.21420288085937</v>
      </c>
      <c r="BV78" s="25">
        <v>3.75</v>
      </c>
      <c r="BW78" s="25">
        <v>-0.60133785009384155</v>
      </c>
      <c r="BX78" s="25">
        <v>-25.894632339477539</v>
      </c>
      <c r="BY78" s="25">
        <v>0</v>
      </c>
      <c r="BZ78" s="25">
        <v>0</v>
      </c>
      <c r="CA78" s="25">
        <v>0</v>
      </c>
      <c r="CB78" s="25">
        <v>7.2262520790100098</v>
      </c>
      <c r="CF78" s="25">
        <v>3.75</v>
      </c>
      <c r="CG78" s="25">
        <v>0.55993521213531494</v>
      </c>
      <c r="CH78" s="25">
        <v>-20.194849014282227</v>
      </c>
      <c r="CI78" s="25">
        <v>0</v>
      </c>
      <c r="CJ78" s="25">
        <v>0</v>
      </c>
      <c r="CK78" s="25">
        <v>0</v>
      </c>
      <c r="CL78" s="25">
        <v>-94.633644104003906</v>
      </c>
      <c r="CP78" s="25">
        <v>3.75</v>
      </c>
      <c r="CQ78" s="25">
        <v>-0.57408821582794189</v>
      </c>
      <c r="CR78" s="25">
        <v>22.245828628540039</v>
      </c>
      <c r="CS78" s="25">
        <v>0</v>
      </c>
      <c r="CT78" s="25">
        <v>0</v>
      </c>
      <c r="CU78" s="25">
        <v>0</v>
      </c>
      <c r="CV78" s="25">
        <v>-56.624668121337891</v>
      </c>
      <c r="CZ78" s="25">
        <v>3.75</v>
      </c>
      <c r="DA78" s="25">
        <v>-0.60133785009384155</v>
      </c>
      <c r="DB78" s="25">
        <v>-25.894632339477539</v>
      </c>
      <c r="DC78" s="25">
        <v>0</v>
      </c>
      <c r="DD78" s="25">
        <v>0</v>
      </c>
      <c r="DE78" s="25">
        <v>0</v>
      </c>
      <c r="DF78" s="25">
        <v>7.2262520790100098</v>
      </c>
      <c r="DJ78" s="25">
        <v>3.75</v>
      </c>
      <c r="DK78" s="25">
        <v>0.55993521213531494</v>
      </c>
      <c r="DL78" s="25">
        <v>-20.194849014282227</v>
      </c>
      <c r="DM78" s="25">
        <v>0</v>
      </c>
      <c r="DN78" s="25">
        <v>0</v>
      </c>
      <c r="DO78" s="25">
        <v>0</v>
      </c>
      <c r="DP78" s="25">
        <v>-94.633644104003906</v>
      </c>
      <c r="DT78" s="25">
        <v>3.75</v>
      </c>
      <c r="DU78" s="25">
        <v>-0.57408821582794189</v>
      </c>
      <c r="DV78" s="25">
        <v>22.245828628540039</v>
      </c>
      <c r="DW78" s="25">
        <v>0</v>
      </c>
      <c r="DX78" s="25">
        <v>0</v>
      </c>
      <c r="DY78" s="25">
        <v>0</v>
      </c>
      <c r="DZ78" s="25">
        <v>-56.624668121337891</v>
      </c>
      <c r="ED78" s="25">
        <v>3.75</v>
      </c>
      <c r="EE78" s="25">
        <v>-0.61164474487304688</v>
      </c>
      <c r="EF78" s="25">
        <v>-27.765830993652344</v>
      </c>
      <c r="EG78" s="25">
        <v>0</v>
      </c>
      <c r="EH78" s="25">
        <v>0</v>
      </c>
      <c r="EI78" s="25">
        <v>0</v>
      </c>
      <c r="EJ78" s="25">
        <v>75.479743957519531</v>
      </c>
      <c r="EN78" s="25">
        <v>3.75</v>
      </c>
      <c r="EO78" s="25">
        <v>-0.29503905773162842</v>
      </c>
      <c r="EP78" s="25">
        <v>-15.753293991088867</v>
      </c>
      <c r="EQ78" s="25">
        <v>0</v>
      </c>
      <c r="ER78" s="25">
        <v>0</v>
      </c>
      <c r="ES78" s="25">
        <v>0</v>
      </c>
      <c r="ET78" s="25">
        <v>36.409137725830078</v>
      </c>
      <c r="EX78" s="25">
        <v>3.75</v>
      </c>
      <c r="EY78" s="25">
        <v>-1.9580825567245483</v>
      </c>
      <c r="EZ78" s="25">
        <v>-264.207275390625</v>
      </c>
      <c r="FA78" s="25">
        <v>0</v>
      </c>
      <c r="FB78" s="25">
        <v>0</v>
      </c>
      <c r="FC78" s="25">
        <v>0</v>
      </c>
      <c r="FD78" s="25">
        <v>312.14788818359375</v>
      </c>
      <c r="FH78" s="25">
        <v>3.75</v>
      </c>
      <c r="FI78" s="25">
        <v>-3.9157969951629639</v>
      </c>
      <c r="FJ78" s="25">
        <v>-528.78729248046875</v>
      </c>
      <c r="FK78" s="25">
        <v>0</v>
      </c>
      <c r="FL78" s="25">
        <v>0</v>
      </c>
      <c r="FM78" s="25">
        <v>0</v>
      </c>
      <c r="FN78" s="25">
        <v>624.25604248046875</v>
      </c>
    </row>
    <row r="79" spans="2:170">
      <c r="D79" s="25">
        <v>6.5500001907348633</v>
      </c>
      <c r="E79" s="25">
        <v>-42.589241027832031</v>
      </c>
      <c r="F79" s="25">
        <v>-1166.7198486328125</v>
      </c>
      <c r="G79" s="25">
        <v>0</v>
      </c>
      <c r="H79" s="25">
        <v>0</v>
      </c>
      <c r="I79" s="25">
        <v>0</v>
      </c>
      <c r="J79" s="25">
        <v>827.883056640625</v>
      </c>
      <c r="N79" s="25">
        <v>6.5500001907348633</v>
      </c>
      <c r="O79" s="25">
        <v>-45.388515472412109</v>
      </c>
      <c r="P79" s="25">
        <v>-1724.011474609375</v>
      </c>
      <c r="Q79" s="25">
        <v>0</v>
      </c>
      <c r="R79" s="25">
        <v>0</v>
      </c>
      <c r="S79" s="25">
        <v>0</v>
      </c>
      <c r="T79" s="25">
        <v>1485.3160400390625</v>
      </c>
      <c r="X79" s="25">
        <v>6.5500001907348633</v>
      </c>
      <c r="Y79" s="25">
        <v>77.299957275390625</v>
      </c>
      <c r="Z79" s="25">
        <v>-31.460535049438477</v>
      </c>
      <c r="AA79" s="25">
        <v>0</v>
      </c>
      <c r="AB79" s="25">
        <v>0</v>
      </c>
      <c r="AC79" s="25">
        <v>0</v>
      </c>
      <c r="AD79" s="25">
        <v>243.037353515625</v>
      </c>
      <c r="AH79" s="25">
        <v>6.5500001907348633</v>
      </c>
      <c r="AI79" s="25">
        <v>-45.80792236328125</v>
      </c>
      <c r="AJ79" s="25">
        <v>-11.67106819152832</v>
      </c>
      <c r="AK79" s="25">
        <v>0</v>
      </c>
      <c r="AL79" s="25">
        <v>0</v>
      </c>
      <c r="AM79" s="25">
        <v>0</v>
      </c>
      <c r="AN79" s="25">
        <v>-128.53565979003906</v>
      </c>
      <c r="AR79" s="25">
        <v>6.5500001907348633</v>
      </c>
      <c r="AS79" s="25">
        <v>-1.2432364225387573</v>
      </c>
      <c r="AT79" s="25">
        <v>-36.758983612060547</v>
      </c>
      <c r="AU79" s="25">
        <v>0</v>
      </c>
      <c r="AV79" s="25">
        <v>0</v>
      </c>
      <c r="AW79" s="25">
        <v>0</v>
      </c>
      <c r="AX79" s="25">
        <v>40.006752014160156</v>
      </c>
      <c r="BB79" s="25">
        <v>6.5500001907348633</v>
      </c>
      <c r="BC79" s="25">
        <v>-2.8705849647521973</v>
      </c>
      <c r="BD79" s="25">
        <v>-82.707717895507813</v>
      </c>
      <c r="BE79" s="25">
        <v>0</v>
      </c>
      <c r="BF79" s="25">
        <v>0</v>
      </c>
      <c r="BG79" s="25">
        <v>0</v>
      </c>
      <c r="BH79" s="25">
        <v>94.919731140136719</v>
      </c>
      <c r="BL79" s="25">
        <v>6.5500001907348633</v>
      </c>
      <c r="BM79" s="25">
        <v>-5.4220890998840332</v>
      </c>
      <c r="BN79" s="25">
        <v>-156.22569274902344</v>
      </c>
      <c r="BO79" s="25">
        <v>0</v>
      </c>
      <c r="BP79" s="25">
        <v>0</v>
      </c>
      <c r="BQ79" s="25">
        <v>0</v>
      </c>
      <c r="BR79" s="25">
        <v>179.28228759765625</v>
      </c>
      <c r="BV79" s="25">
        <v>6.5500001907348633</v>
      </c>
      <c r="BW79" s="25">
        <v>-0.60133785009384155</v>
      </c>
      <c r="BX79" s="25">
        <v>-34.68463134765625</v>
      </c>
      <c r="BY79" s="25">
        <v>0</v>
      </c>
      <c r="BZ79" s="25">
        <v>0</v>
      </c>
      <c r="CA79" s="25">
        <v>0</v>
      </c>
      <c r="CB79" s="25">
        <v>-77.145217895507813</v>
      </c>
      <c r="CF79" s="25">
        <v>6.5500001907348633</v>
      </c>
      <c r="CG79" s="25">
        <v>0.55993521213531494</v>
      </c>
      <c r="CH79" s="25">
        <v>-20.194849014282227</v>
      </c>
      <c r="CI79" s="25">
        <v>0</v>
      </c>
      <c r="CJ79" s="25">
        <v>0</v>
      </c>
      <c r="CK79" s="25">
        <v>0</v>
      </c>
      <c r="CL79" s="25">
        <v>-151.17922973632812</v>
      </c>
      <c r="CP79" s="25">
        <v>6.5500001907348633</v>
      </c>
      <c r="CQ79" s="25">
        <v>-0.57408821582794189</v>
      </c>
      <c r="CR79" s="25">
        <v>22.245828628540039</v>
      </c>
      <c r="CS79" s="25">
        <v>0</v>
      </c>
      <c r="CT79" s="25">
        <v>0</v>
      </c>
      <c r="CU79" s="25">
        <v>0</v>
      </c>
      <c r="CV79" s="25">
        <v>5.6636538505554199</v>
      </c>
      <c r="CZ79" s="25">
        <v>6.5500001907348633</v>
      </c>
      <c r="DA79" s="25">
        <v>-0.60133785009384155</v>
      </c>
      <c r="DB79" s="25">
        <v>-34.68463134765625</v>
      </c>
      <c r="DC79" s="25">
        <v>0</v>
      </c>
      <c r="DD79" s="25">
        <v>0</v>
      </c>
      <c r="DE79" s="25">
        <v>0</v>
      </c>
      <c r="DF79" s="25">
        <v>-77.145217895507813</v>
      </c>
      <c r="DJ79" s="25">
        <v>6.5500001907348633</v>
      </c>
      <c r="DK79" s="25">
        <v>0.55993521213531494</v>
      </c>
      <c r="DL79" s="25">
        <v>-20.194849014282227</v>
      </c>
      <c r="DM79" s="25">
        <v>0</v>
      </c>
      <c r="DN79" s="25">
        <v>0</v>
      </c>
      <c r="DO79" s="25">
        <v>0</v>
      </c>
      <c r="DP79" s="25">
        <v>-151.17922973632812</v>
      </c>
      <c r="DT79" s="25">
        <v>6.5500001907348633</v>
      </c>
      <c r="DU79" s="25">
        <v>-0.57408821582794189</v>
      </c>
      <c r="DV79" s="25">
        <v>22.245828628540039</v>
      </c>
      <c r="DW79" s="25">
        <v>0</v>
      </c>
      <c r="DX79" s="25">
        <v>0</v>
      </c>
      <c r="DY79" s="25">
        <v>0</v>
      </c>
      <c r="DZ79" s="25">
        <v>5.6636538505554199</v>
      </c>
      <c r="ED79" s="25">
        <v>6.5500001907348633</v>
      </c>
      <c r="EE79" s="25">
        <v>-0.61164474487304688</v>
      </c>
      <c r="EF79" s="25">
        <v>-59.815830230712891</v>
      </c>
      <c r="EG79" s="25">
        <v>0</v>
      </c>
      <c r="EH79" s="25">
        <v>0</v>
      </c>
      <c r="EI79" s="25">
        <v>0</v>
      </c>
      <c r="EJ79" s="25">
        <v>-45.532085418701172</v>
      </c>
      <c r="EN79" s="25">
        <v>6.5500001907348633</v>
      </c>
      <c r="EO79" s="25">
        <v>-0.29503905773162842</v>
      </c>
      <c r="EP79" s="25">
        <v>-31.213293075561523</v>
      </c>
      <c r="EQ79" s="25">
        <v>0</v>
      </c>
      <c r="ER79" s="25">
        <v>0</v>
      </c>
      <c r="ES79" s="25">
        <v>0</v>
      </c>
      <c r="ET79" s="25">
        <v>-28.571084976196289</v>
      </c>
      <c r="EX79" s="25">
        <v>6.5500001907348633</v>
      </c>
      <c r="EY79" s="25">
        <v>-1.9580825567245483</v>
      </c>
      <c r="EZ79" s="25">
        <v>-433.01730346679687</v>
      </c>
      <c r="FA79" s="25">
        <v>0</v>
      </c>
      <c r="FB79" s="25">
        <v>0</v>
      </c>
      <c r="FC79" s="25">
        <v>0</v>
      </c>
      <c r="FD79" s="25">
        <v>-655.5260009765625</v>
      </c>
      <c r="FH79" s="25">
        <v>6.5500001907348633</v>
      </c>
      <c r="FI79" s="25">
        <v>-3.9157969951629639</v>
      </c>
      <c r="FJ79" s="25">
        <v>-866.39727783203125</v>
      </c>
      <c r="FK79" s="25">
        <v>0</v>
      </c>
      <c r="FL79" s="25">
        <v>0</v>
      </c>
      <c r="FM79" s="25">
        <v>0</v>
      </c>
      <c r="FN79" s="25">
        <v>-1312.121826171875</v>
      </c>
    </row>
    <row r="80" spans="2:170">
      <c r="C80" s="25">
        <v>4</v>
      </c>
      <c r="D80" s="25">
        <v>7.5</v>
      </c>
      <c r="E80" s="25">
        <v>-42.589241027832031</v>
      </c>
      <c r="F80" s="25">
        <v>-4343.97021484375</v>
      </c>
      <c r="G80" s="25">
        <v>0</v>
      </c>
      <c r="H80" s="25">
        <v>0</v>
      </c>
      <c r="I80" s="25">
        <v>0</v>
      </c>
      <c r="J80" s="25">
        <v>-359.78268432617187</v>
      </c>
      <c r="M80" s="25">
        <v>4</v>
      </c>
      <c r="N80" s="25">
        <v>7.5</v>
      </c>
      <c r="O80" s="25">
        <v>-45.388515472412109</v>
      </c>
      <c r="P80" s="25">
        <v>-2500.011474609375</v>
      </c>
      <c r="Q80" s="25">
        <v>0</v>
      </c>
      <c r="R80" s="25">
        <v>0</v>
      </c>
      <c r="S80" s="25">
        <v>0</v>
      </c>
      <c r="T80" s="25">
        <v>-171.89474487304687</v>
      </c>
      <c r="W80" s="25">
        <v>4</v>
      </c>
      <c r="X80" s="25">
        <v>7.5</v>
      </c>
      <c r="Y80" s="25">
        <v>77.299957275390625</v>
      </c>
      <c r="Z80" s="25">
        <v>-31.460535049438477</v>
      </c>
      <c r="AA80" s="25">
        <v>0</v>
      </c>
      <c r="AB80" s="25">
        <v>0</v>
      </c>
      <c r="AC80" s="25">
        <v>0</v>
      </c>
      <c r="AD80" s="25">
        <v>213.14985656738281</v>
      </c>
      <c r="AG80" s="25">
        <v>4</v>
      </c>
      <c r="AH80" s="25">
        <v>7.5</v>
      </c>
      <c r="AI80" s="25">
        <v>-45.80792236328125</v>
      </c>
      <c r="AJ80" s="25">
        <v>-10.77106761932373</v>
      </c>
      <c r="AK80" s="25">
        <v>0</v>
      </c>
      <c r="AL80" s="25">
        <v>0</v>
      </c>
      <c r="AM80" s="25">
        <v>0</v>
      </c>
      <c r="AN80" s="25">
        <v>-139.60067749023437</v>
      </c>
      <c r="AQ80" s="25">
        <v>4</v>
      </c>
      <c r="AR80" s="25">
        <v>7.5</v>
      </c>
      <c r="AS80" s="25">
        <v>-1.2432364225387573</v>
      </c>
      <c r="AT80" s="25">
        <v>-73.958984375</v>
      </c>
      <c r="AU80" s="25">
        <v>0</v>
      </c>
      <c r="AV80" s="25">
        <v>0</v>
      </c>
      <c r="AW80" s="25">
        <v>0</v>
      </c>
      <c r="AX80" s="25">
        <v>4.1557149887084961</v>
      </c>
      <c r="BA80" s="25">
        <v>4</v>
      </c>
      <c r="BB80" s="25">
        <v>7.5</v>
      </c>
      <c r="BC80" s="25">
        <v>-2.8705849647521973</v>
      </c>
      <c r="BD80" s="25">
        <v>-179.90771484375</v>
      </c>
      <c r="BE80" s="25">
        <v>0</v>
      </c>
      <c r="BF80" s="25">
        <v>0</v>
      </c>
      <c r="BG80" s="25">
        <v>0</v>
      </c>
      <c r="BH80" s="25">
        <v>13.917403221130371</v>
      </c>
      <c r="BK80" s="25">
        <v>4</v>
      </c>
      <c r="BL80" s="25">
        <v>7.5</v>
      </c>
      <c r="BM80" s="25">
        <v>-5.4220890998840332</v>
      </c>
      <c r="BN80" s="25">
        <v>-339.92568969726562</v>
      </c>
      <c r="BO80" s="25">
        <v>0</v>
      </c>
      <c r="BP80" s="25">
        <v>0</v>
      </c>
      <c r="BQ80" s="25">
        <v>0</v>
      </c>
      <c r="BR80" s="25">
        <v>26.27537727355957</v>
      </c>
      <c r="BU80" s="25">
        <v>4</v>
      </c>
      <c r="BV80" s="25">
        <v>7.5</v>
      </c>
      <c r="BW80" s="25">
        <v>-0.60133785009384155</v>
      </c>
      <c r="BX80" s="25">
        <v>-111.04463195800781</v>
      </c>
      <c r="BY80" s="25">
        <v>0</v>
      </c>
      <c r="BZ80" s="25">
        <v>0</v>
      </c>
      <c r="CA80" s="25">
        <v>0</v>
      </c>
      <c r="CB80" s="25">
        <v>-112.00462341308594</v>
      </c>
      <c r="CE80" s="25">
        <v>4</v>
      </c>
      <c r="CF80" s="25">
        <v>7.5</v>
      </c>
      <c r="CG80" s="25">
        <v>0.55993521213531494</v>
      </c>
      <c r="CH80" s="25">
        <v>-134.73484802246094</v>
      </c>
      <c r="CI80" s="25">
        <v>0</v>
      </c>
      <c r="CJ80" s="25">
        <v>0</v>
      </c>
      <c r="CK80" s="25">
        <v>0</v>
      </c>
      <c r="CL80" s="25">
        <v>-173.22782897949219</v>
      </c>
      <c r="CO80" s="25">
        <v>4</v>
      </c>
      <c r="CP80" s="25">
        <v>7.5</v>
      </c>
      <c r="CQ80" s="25">
        <v>-0.57408821582794189</v>
      </c>
      <c r="CR80" s="25">
        <v>-149.56417846679687</v>
      </c>
      <c r="CS80" s="25">
        <v>0</v>
      </c>
      <c r="CT80" s="25">
        <v>0</v>
      </c>
      <c r="CU80" s="25">
        <v>0</v>
      </c>
      <c r="CV80" s="25">
        <v>22.501941680908203</v>
      </c>
      <c r="CY80" s="25">
        <v>4</v>
      </c>
      <c r="CZ80" s="25">
        <v>7.5</v>
      </c>
      <c r="DA80" s="25">
        <v>-0.60133785009384155</v>
      </c>
      <c r="DB80" s="25">
        <v>-111.04463195800781</v>
      </c>
      <c r="DC80" s="25">
        <v>0</v>
      </c>
      <c r="DD80" s="25">
        <v>0</v>
      </c>
      <c r="DE80" s="25">
        <v>0</v>
      </c>
      <c r="DF80" s="25">
        <v>-112.00462341308594</v>
      </c>
      <c r="DI80" s="25">
        <v>4</v>
      </c>
      <c r="DJ80" s="25">
        <v>7.5</v>
      </c>
      <c r="DK80" s="25">
        <v>0.55993521213531494</v>
      </c>
      <c r="DL80" s="25">
        <v>-134.73484802246094</v>
      </c>
      <c r="DM80" s="25">
        <v>0</v>
      </c>
      <c r="DN80" s="25">
        <v>0</v>
      </c>
      <c r="DO80" s="25">
        <v>0</v>
      </c>
      <c r="DP80" s="25">
        <v>-173.22782897949219</v>
      </c>
      <c r="DS80" s="25">
        <v>4</v>
      </c>
      <c r="DT80" s="25">
        <v>7.5</v>
      </c>
      <c r="DU80" s="25">
        <v>-0.57408821582794189</v>
      </c>
      <c r="DV80" s="25">
        <v>-149.56417846679687</v>
      </c>
      <c r="DW80" s="25">
        <v>0</v>
      </c>
      <c r="DX80" s="25">
        <v>0</v>
      </c>
      <c r="DY80" s="25">
        <v>0</v>
      </c>
      <c r="DZ80" s="25">
        <v>22.501941680908203</v>
      </c>
      <c r="EC80" s="25">
        <v>4</v>
      </c>
      <c r="ED80" s="25">
        <v>7.5</v>
      </c>
      <c r="EE80" s="25">
        <v>-0.61164474487304688</v>
      </c>
      <c r="EF80" s="25">
        <v>-59.815830230712891</v>
      </c>
      <c r="EG80" s="25">
        <v>0</v>
      </c>
      <c r="EH80" s="25">
        <v>0</v>
      </c>
      <c r="EI80" s="25">
        <v>0</v>
      </c>
      <c r="EJ80" s="25">
        <v>-102.35712432861328</v>
      </c>
      <c r="EM80" s="25">
        <v>4</v>
      </c>
      <c r="EN80" s="25">
        <v>7.5</v>
      </c>
      <c r="EO80" s="25">
        <v>-0.29503905773162842</v>
      </c>
      <c r="EP80" s="25">
        <v>-31.213293075561523</v>
      </c>
      <c r="EQ80" s="25">
        <v>0</v>
      </c>
      <c r="ER80" s="25">
        <v>0</v>
      </c>
      <c r="ES80" s="25">
        <v>0</v>
      </c>
      <c r="ET80" s="25">
        <v>-58.223712921142578</v>
      </c>
      <c r="EW80" s="25">
        <v>4</v>
      </c>
      <c r="EX80" s="25">
        <v>7.5</v>
      </c>
      <c r="EY80" s="25">
        <v>-1.9580825567245483</v>
      </c>
      <c r="EZ80" s="25">
        <v>-439.25729370117187</v>
      </c>
      <c r="FA80" s="25">
        <v>0</v>
      </c>
      <c r="FB80" s="25">
        <v>0</v>
      </c>
      <c r="FC80" s="25">
        <v>0</v>
      </c>
      <c r="FD80" s="25">
        <v>-1067.0484619140625</v>
      </c>
      <c r="FG80" s="25">
        <v>4</v>
      </c>
      <c r="FH80" s="25">
        <v>7.5</v>
      </c>
      <c r="FI80" s="25">
        <v>-3.9157969951629639</v>
      </c>
      <c r="FJ80" s="25">
        <v>-869.26727294921875</v>
      </c>
      <c r="FK80" s="25">
        <v>0</v>
      </c>
      <c r="FL80" s="25">
        <v>0</v>
      </c>
      <c r="FM80" s="25">
        <v>0</v>
      </c>
      <c r="FN80" s="25">
        <v>-2135.27099609375</v>
      </c>
    </row>
    <row r="81" spans="2:170">
      <c r="B81" s="25">
        <v>4</v>
      </c>
      <c r="C81" s="25">
        <v>4</v>
      </c>
      <c r="D81" s="25">
        <v>0</v>
      </c>
      <c r="E81" s="25">
        <v>-32.820781707763672</v>
      </c>
      <c r="F81" s="25">
        <v>1482.233642578125</v>
      </c>
      <c r="G81" s="25">
        <v>0</v>
      </c>
      <c r="H81" s="25">
        <v>0</v>
      </c>
      <c r="I81" s="25">
        <v>0</v>
      </c>
      <c r="J81" s="25">
        <v>-236.89067077636719</v>
      </c>
      <c r="L81" s="25">
        <v>4</v>
      </c>
      <c r="M81" s="25">
        <v>4</v>
      </c>
      <c r="N81" s="25">
        <v>0</v>
      </c>
      <c r="O81" s="25">
        <v>-25.364400863647461</v>
      </c>
      <c r="P81" s="25">
        <v>312.75759887695312</v>
      </c>
      <c r="Q81" s="25">
        <v>0</v>
      </c>
      <c r="R81" s="25">
        <v>0</v>
      </c>
      <c r="S81" s="25">
        <v>0</v>
      </c>
      <c r="T81" s="25">
        <v>96.682243347167969</v>
      </c>
      <c r="V81" s="25">
        <v>4</v>
      </c>
      <c r="W81" s="25">
        <v>4</v>
      </c>
      <c r="X81" s="25">
        <v>0</v>
      </c>
      <c r="Y81" s="25">
        <v>63.775726318359375</v>
      </c>
      <c r="Z81" s="25">
        <v>73.078102111816406</v>
      </c>
      <c r="AA81" s="25">
        <v>0</v>
      </c>
      <c r="AB81" s="25">
        <v>0</v>
      </c>
      <c r="AC81" s="25">
        <v>0</v>
      </c>
      <c r="AD81" s="25">
        <v>81.03778076171875</v>
      </c>
      <c r="AF81" s="25">
        <v>4</v>
      </c>
      <c r="AG81" s="25">
        <v>4</v>
      </c>
      <c r="AH81" s="25">
        <v>0</v>
      </c>
      <c r="AI81" s="25">
        <v>-22.709587097167969</v>
      </c>
      <c r="AJ81" s="25">
        <v>-41.905372619628906</v>
      </c>
      <c r="AK81" s="25">
        <v>0</v>
      </c>
      <c r="AL81" s="25">
        <v>0</v>
      </c>
      <c r="AM81" s="25">
        <v>0</v>
      </c>
      <c r="AN81" s="25">
        <v>90.070724487304688</v>
      </c>
      <c r="AP81" s="25">
        <v>4</v>
      </c>
      <c r="AQ81" s="25">
        <v>4</v>
      </c>
      <c r="AR81" s="25">
        <v>0</v>
      </c>
      <c r="AS81" s="25">
        <v>-0.96139752864837646</v>
      </c>
      <c r="AT81" s="25">
        <v>37.089580535888672</v>
      </c>
      <c r="AU81" s="25">
        <v>0</v>
      </c>
      <c r="AV81" s="25">
        <v>0</v>
      </c>
      <c r="AW81" s="25">
        <v>0</v>
      </c>
      <c r="AX81" s="25">
        <v>7.7721972465515137</v>
      </c>
      <c r="AZ81" s="25">
        <v>4</v>
      </c>
      <c r="BA81" s="25">
        <v>4</v>
      </c>
      <c r="BB81" s="25">
        <v>0</v>
      </c>
      <c r="BC81" s="25">
        <v>-2.2121334075927734</v>
      </c>
      <c r="BD81" s="25">
        <v>82.818283081054688</v>
      </c>
      <c r="BE81" s="25">
        <v>0</v>
      </c>
      <c r="BF81" s="25">
        <v>0</v>
      </c>
      <c r="BG81" s="25">
        <v>0</v>
      </c>
      <c r="BH81" s="25">
        <v>22.358163833618164</v>
      </c>
      <c r="BJ81" s="25">
        <v>4</v>
      </c>
      <c r="BK81" s="25">
        <v>4</v>
      </c>
      <c r="BL81" s="25">
        <v>0</v>
      </c>
      <c r="BM81" s="25">
        <v>-4.1783995628356934</v>
      </c>
      <c r="BN81" s="25">
        <v>156.43759155273437</v>
      </c>
      <c r="BO81" s="25">
        <v>0</v>
      </c>
      <c r="BP81" s="25">
        <v>0</v>
      </c>
      <c r="BQ81" s="25">
        <v>0</v>
      </c>
      <c r="BR81" s="25">
        <v>42.218379974365234</v>
      </c>
      <c r="BT81" s="25">
        <v>4</v>
      </c>
      <c r="BU81" s="25">
        <v>4</v>
      </c>
      <c r="BV81" s="25">
        <v>0</v>
      </c>
      <c r="BW81" s="25">
        <v>-3.5144399851560593E-2</v>
      </c>
      <c r="BX81" s="25">
        <v>12.312005996704102</v>
      </c>
      <c r="BY81" s="25">
        <v>0</v>
      </c>
      <c r="BZ81" s="25">
        <v>0</v>
      </c>
      <c r="CA81" s="25">
        <v>0</v>
      </c>
      <c r="CB81" s="25">
        <v>-99.428443908691406</v>
      </c>
      <c r="CD81" s="25">
        <v>4</v>
      </c>
      <c r="CE81" s="25">
        <v>4</v>
      </c>
      <c r="CF81" s="25">
        <v>0</v>
      </c>
      <c r="CG81" s="25">
        <v>0.79213005304336548</v>
      </c>
      <c r="CH81" s="25">
        <v>17.550060272216797</v>
      </c>
      <c r="CI81" s="25">
        <v>0</v>
      </c>
      <c r="CJ81" s="25">
        <v>0</v>
      </c>
      <c r="CK81" s="25">
        <v>0</v>
      </c>
      <c r="CL81" s="25">
        <v>-168.79745483398438</v>
      </c>
      <c r="CN81" s="25">
        <v>4</v>
      </c>
      <c r="CO81" s="25">
        <v>4</v>
      </c>
      <c r="CP81" s="25">
        <v>0</v>
      </c>
      <c r="CQ81" s="25">
        <v>-1.765140175819397</v>
      </c>
      <c r="CR81" s="25">
        <v>167.01750183105469</v>
      </c>
      <c r="CS81" s="25">
        <v>0</v>
      </c>
      <c r="CT81" s="25">
        <v>0</v>
      </c>
      <c r="CU81" s="25">
        <v>0</v>
      </c>
      <c r="CV81" s="25">
        <v>1.9366693496704102</v>
      </c>
      <c r="CX81" s="25">
        <v>4</v>
      </c>
      <c r="CY81" s="25">
        <v>4</v>
      </c>
      <c r="CZ81" s="25">
        <v>0</v>
      </c>
      <c r="DA81" s="25">
        <v>-3.5144399851560593E-2</v>
      </c>
      <c r="DB81" s="25">
        <v>12.312005996704102</v>
      </c>
      <c r="DC81" s="25">
        <v>0</v>
      </c>
      <c r="DD81" s="25">
        <v>0</v>
      </c>
      <c r="DE81" s="25">
        <v>0</v>
      </c>
      <c r="DF81" s="25">
        <v>-99.428443908691406</v>
      </c>
      <c r="DH81" s="25">
        <v>4</v>
      </c>
      <c r="DI81" s="25">
        <v>4</v>
      </c>
      <c r="DJ81" s="25">
        <v>0</v>
      </c>
      <c r="DK81" s="25">
        <v>0.79213005304336548</v>
      </c>
      <c r="DL81" s="25">
        <v>17.550060272216797</v>
      </c>
      <c r="DM81" s="25">
        <v>0</v>
      </c>
      <c r="DN81" s="25">
        <v>0</v>
      </c>
      <c r="DO81" s="25">
        <v>0</v>
      </c>
      <c r="DP81" s="25">
        <v>-168.79745483398438</v>
      </c>
      <c r="DR81" s="25">
        <v>4</v>
      </c>
      <c r="DS81" s="25">
        <v>4</v>
      </c>
      <c r="DT81" s="25">
        <v>0</v>
      </c>
      <c r="DU81" s="25">
        <v>-1.765140175819397</v>
      </c>
      <c r="DV81" s="25">
        <v>167.01750183105469</v>
      </c>
      <c r="DW81" s="25">
        <v>0</v>
      </c>
      <c r="DX81" s="25">
        <v>0</v>
      </c>
      <c r="DY81" s="25">
        <v>0</v>
      </c>
      <c r="DZ81" s="25">
        <v>1.9366693496704102</v>
      </c>
      <c r="EB81" s="25">
        <v>4</v>
      </c>
      <c r="EC81" s="25">
        <v>4</v>
      </c>
      <c r="ED81" s="25">
        <v>0</v>
      </c>
      <c r="EE81" s="25">
        <v>-6.552799791097641E-2</v>
      </c>
      <c r="EF81" s="25">
        <v>-38.201663970947266</v>
      </c>
      <c r="EG81" s="25">
        <v>0</v>
      </c>
      <c r="EH81" s="25">
        <v>0</v>
      </c>
      <c r="EI81" s="25">
        <v>0</v>
      </c>
      <c r="EJ81" s="25">
        <v>95.075523376464844</v>
      </c>
      <c r="EL81" s="25">
        <v>4</v>
      </c>
      <c r="EM81" s="25">
        <v>4</v>
      </c>
      <c r="EN81" s="25">
        <v>0</v>
      </c>
      <c r="EO81" s="25">
        <v>-1.0877474211156368E-2</v>
      </c>
      <c r="EP81" s="25">
        <v>-20.537065505981445</v>
      </c>
      <c r="EQ81" s="25">
        <v>0</v>
      </c>
      <c r="ER81" s="25">
        <v>0</v>
      </c>
      <c r="ES81" s="25">
        <v>0</v>
      </c>
      <c r="ET81" s="25">
        <v>49.606956481933594</v>
      </c>
      <c r="EV81" s="25">
        <v>4</v>
      </c>
      <c r="EW81" s="25">
        <v>4</v>
      </c>
      <c r="EX81" s="25">
        <v>0</v>
      </c>
      <c r="EY81" s="25">
        <v>1.5370529890060425</v>
      </c>
      <c r="EZ81" s="25">
        <v>-336.44491577148437</v>
      </c>
      <c r="FA81" s="25">
        <v>0</v>
      </c>
      <c r="FB81" s="25">
        <v>0</v>
      </c>
      <c r="FC81" s="25">
        <v>0</v>
      </c>
      <c r="FD81" s="25">
        <v>471.355712890625</v>
      </c>
      <c r="FF81" s="25">
        <v>4</v>
      </c>
      <c r="FG81" s="25">
        <v>4</v>
      </c>
      <c r="FH81" s="25">
        <v>0</v>
      </c>
      <c r="FI81" s="25">
        <v>3.0820548534393311</v>
      </c>
      <c r="FJ81" s="25">
        <v>-673.28216552734375</v>
      </c>
      <c r="FK81" s="25">
        <v>0</v>
      </c>
      <c r="FL81" s="25">
        <v>0</v>
      </c>
      <c r="FM81" s="25">
        <v>0</v>
      </c>
      <c r="FN81" s="25">
        <v>942.58197021484375</v>
      </c>
    </row>
    <row r="82" spans="2:170">
      <c r="D82" s="25">
        <v>0.94999998807907104</v>
      </c>
      <c r="E82" s="25">
        <v>-32.820781707763672</v>
      </c>
      <c r="F82" s="25">
        <v>1482.233642578125</v>
      </c>
      <c r="G82" s="25">
        <v>0</v>
      </c>
      <c r="H82" s="25">
        <v>0</v>
      </c>
      <c r="I82" s="25">
        <v>0</v>
      </c>
      <c r="J82" s="25">
        <v>1171.2313232421875</v>
      </c>
      <c r="N82" s="25">
        <v>0.94999998807907104</v>
      </c>
      <c r="O82" s="25">
        <v>-25.364400863647461</v>
      </c>
      <c r="P82" s="25">
        <v>312.75759887695312</v>
      </c>
      <c r="Q82" s="25">
        <v>0</v>
      </c>
      <c r="R82" s="25">
        <v>0</v>
      </c>
      <c r="S82" s="25">
        <v>0</v>
      </c>
      <c r="T82" s="25">
        <v>393.80197143554687</v>
      </c>
      <c r="X82" s="25">
        <v>0.94999998807907104</v>
      </c>
      <c r="Y82" s="25">
        <v>63.775726318359375</v>
      </c>
      <c r="Z82" s="25">
        <v>73.078102111816406</v>
      </c>
      <c r="AA82" s="25">
        <v>0</v>
      </c>
      <c r="AB82" s="25">
        <v>0</v>
      </c>
      <c r="AC82" s="25">
        <v>0</v>
      </c>
      <c r="AD82" s="25">
        <v>150.46197509765625</v>
      </c>
      <c r="AH82" s="25">
        <v>0.94999998807907104</v>
      </c>
      <c r="AI82" s="25">
        <v>-22.709587097167969</v>
      </c>
      <c r="AJ82" s="25">
        <v>-41.905372619628906</v>
      </c>
      <c r="AK82" s="25">
        <v>0</v>
      </c>
      <c r="AL82" s="25">
        <v>0</v>
      </c>
      <c r="AM82" s="25">
        <v>0</v>
      </c>
      <c r="AN82" s="25">
        <v>50.260616302490234</v>
      </c>
      <c r="AR82" s="25">
        <v>0.94999998807907104</v>
      </c>
      <c r="AS82" s="25">
        <v>-0.96139752864837646</v>
      </c>
      <c r="AT82" s="25">
        <v>37.089580535888672</v>
      </c>
      <c r="AU82" s="25">
        <v>0</v>
      </c>
      <c r="AV82" s="25">
        <v>0</v>
      </c>
      <c r="AW82" s="25">
        <v>0</v>
      </c>
      <c r="AX82" s="25">
        <v>43.007297515869141</v>
      </c>
      <c r="BB82" s="25">
        <v>0.94999998807907104</v>
      </c>
      <c r="BC82" s="25">
        <v>-2.2121334075927734</v>
      </c>
      <c r="BD82" s="25">
        <v>82.818283081054688</v>
      </c>
      <c r="BE82" s="25">
        <v>0</v>
      </c>
      <c r="BF82" s="25">
        <v>0</v>
      </c>
      <c r="BG82" s="25">
        <v>0</v>
      </c>
      <c r="BH82" s="25">
        <v>101.03553009033203</v>
      </c>
      <c r="BL82" s="25">
        <v>0.94999998807907104</v>
      </c>
      <c r="BM82" s="25">
        <v>-4.1783995628356934</v>
      </c>
      <c r="BN82" s="25">
        <v>156.43759155273437</v>
      </c>
      <c r="BO82" s="25">
        <v>0</v>
      </c>
      <c r="BP82" s="25">
        <v>0</v>
      </c>
      <c r="BQ82" s="25">
        <v>0</v>
      </c>
      <c r="BR82" s="25">
        <v>190.8341064453125</v>
      </c>
      <c r="BV82" s="25">
        <v>0.94999998807907104</v>
      </c>
      <c r="BW82" s="25">
        <v>-3.5144399851560593E-2</v>
      </c>
      <c r="BX82" s="25">
        <v>12.312005996704102</v>
      </c>
      <c r="BY82" s="25">
        <v>0</v>
      </c>
      <c r="BZ82" s="25">
        <v>0</v>
      </c>
      <c r="CA82" s="25">
        <v>0</v>
      </c>
      <c r="CB82" s="25">
        <v>-87.732040405273437</v>
      </c>
      <c r="CF82" s="25">
        <v>0.94999998807907104</v>
      </c>
      <c r="CG82" s="25">
        <v>0.79213005304336548</v>
      </c>
      <c r="CH82" s="25">
        <v>17.550060272216797</v>
      </c>
      <c r="CI82" s="25">
        <v>0</v>
      </c>
      <c r="CJ82" s="25">
        <v>0</v>
      </c>
      <c r="CK82" s="25">
        <v>0</v>
      </c>
      <c r="CL82" s="25">
        <v>-152.12489318847656</v>
      </c>
      <c r="CP82" s="25">
        <v>0.94999998807907104</v>
      </c>
      <c r="CQ82" s="25">
        <v>-1.765140175819397</v>
      </c>
      <c r="CR82" s="25">
        <v>167.01750183105469</v>
      </c>
      <c r="CS82" s="25">
        <v>0</v>
      </c>
      <c r="CT82" s="25">
        <v>0</v>
      </c>
      <c r="CU82" s="25">
        <v>0</v>
      </c>
      <c r="CV82" s="25">
        <v>160.60330200195312</v>
      </c>
      <c r="CZ82" s="25">
        <v>0.94999998807907104</v>
      </c>
      <c r="DA82" s="25">
        <v>-3.5144399851560593E-2</v>
      </c>
      <c r="DB82" s="25">
        <v>12.312005996704102</v>
      </c>
      <c r="DC82" s="25">
        <v>0</v>
      </c>
      <c r="DD82" s="25">
        <v>0</v>
      </c>
      <c r="DE82" s="25">
        <v>0</v>
      </c>
      <c r="DF82" s="25">
        <v>-87.732040405273437</v>
      </c>
      <c r="DJ82" s="25">
        <v>0.94999998807907104</v>
      </c>
      <c r="DK82" s="25">
        <v>0.79213005304336548</v>
      </c>
      <c r="DL82" s="25">
        <v>17.550060272216797</v>
      </c>
      <c r="DM82" s="25">
        <v>0</v>
      </c>
      <c r="DN82" s="25">
        <v>0</v>
      </c>
      <c r="DO82" s="25">
        <v>0</v>
      </c>
      <c r="DP82" s="25">
        <v>-152.12489318847656</v>
      </c>
      <c r="DT82" s="25">
        <v>0.94999998807907104</v>
      </c>
      <c r="DU82" s="25">
        <v>-1.765140175819397</v>
      </c>
      <c r="DV82" s="25">
        <v>167.01750183105469</v>
      </c>
      <c r="DW82" s="25">
        <v>0</v>
      </c>
      <c r="DX82" s="25">
        <v>0</v>
      </c>
      <c r="DY82" s="25">
        <v>0</v>
      </c>
      <c r="DZ82" s="25">
        <v>160.60330200195312</v>
      </c>
      <c r="ED82" s="25">
        <v>0.94999998807907104</v>
      </c>
      <c r="EE82" s="25">
        <v>-6.552799791097641E-2</v>
      </c>
      <c r="EF82" s="25">
        <v>-38.201663970947266</v>
      </c>
      <c r="EG82" s="25">
        <v>0</v>
      </c>
      <c r="EH82" s="25">
        <v>0</v>
      </c>
      <c r="EI82" s="25">
        <v>0</v>
      </c>
      <c r="EJ82" s="25">
        <v>58.783939361572266</v>
      </c>
      <c r="EN82" s="25">
        <v>0.94999998807907104</v>
      </c>
      <c r="EO82" s="25">
        <v>-1.0877474211156368E-2</v>
      </c>
      <c r="EP82" s="25">
        <v>-20.537065505981445</v>
      </c>
      <c r="EQ82" s="25">
        <v>0</v>
      </c>
      <c r="ER82" s="25">
        <v>0</v>
      </c>
      <c r="ES82" s="25">
        <v>0</v>
      </c>
      <c r="ET82" s="25">
        <v>30.096744537353516</v>
      </c>
      <c r="EX82" s="25">
        <v>0.94999998807907104</v>
      </c>
      <c r="EY82" s="25">
        <v>1.5370529890060425</v>
      </c>
      <c r="EZ82" s="25">
        <v>-336.44491577148437</v>
      </c>
      <c r="FA82" s="25">
        <v>0</v>
      </c>
      <c r="FB82" s="25">
        <v>0</v>
      </c>
      <c r="FC82" s="25">
        <v>0</v>
      </c>
      <c r="FD82" s="25">
        <v>151.73306274414062</v>
      </c>
      <c r="FH82" s="25">
        <v>0.94999998807907104</v>
      </c>
      <c r="FI82" s="25">
        <v>3.0820548534393311</v>
      </c>
      <c r="FJ82" s="25">
        <v>-673.28216552734375</v>
      </c>
      <c r="FK82" s="25">
        <v>0</v>
      </c>
      <c r="FL82" s="25">
        <v>0</v>
      </c>
      <c r="FM82" s="25">
        <v>0</v>
      </c>
      <c r="FN82" s="25">
        <v>302.9638671875</v>
      </c>
    </row>
    <row r="83" spans="2:170">
      <c r="D83" s="25">
        <v>3.750999927520752</v>
      </c>
      <c r="E83" s="25">
        <v>-32.820781707763672</v>
      </c>
      <c r="F83" s="25">
        <v>-47.766353607177734</v>
      </c>
      <c r="G83" s="25">
        <v>0</v>
      </c>
      <c r="H83" s="25">
        <v>0</v>
      </c>
      <c r="I83" s="25">
        <v>0</v>
      </c>
      <c r="J83" s="25">
        <v>3867.937744140625</v>
      </c>
      <c r="N83" s="25">
        <v>3.750999927520752</v>
      </c>
      <c r="O83" s="25">
        <v>-25.364400863647461</v>
      </c>
      <c r="P83" s="25">
        <v>-57.242404937744141</v>
      </c>
      <c r="Q83" s="25">
        <v>0</v>
      </c>
      <c r="R83" s="25">
        <v>0</v>
      </c>
      <c r="S83" s="25">
        <v>0</v>
      </c>
      <c r="T83" s="25">
        <v>917.96600341796875</v>
      </c>
      <c r="X83" s="25">
        <v>3.75</v>
      </c>
      <c r="Y83" s="25">
        <v>63.775726318359375</v>
      </c>
      <c r="Z83" s="25">
        <v>73.078102111816406</v>
      </c>
      <c r="AA83" s="25">
        <v>0</v>
      </c>
      <c r="AB83" s="25">
        <v>0</v>
      </c>
      <c r="AC83" s="25">
        <v>0</v>
      </c>
      <c r="AD83" s="25">
        <v>355.08065795898437</v>
      </c>
      <c r="AH83" s="25">
        <v>3.75</v>
      </c>
      <c r="AI83" s="25">
        <v>-22.709587097167969</v>
      </c>
      <c r="AJ83" s="25">
        <v>-41.905372619628906</v>
      </c>
      <c r="AK83" s="25">
        <v>0</v>
      </c>
      <c r="AL83" s="25">
        <v>0</v>
      </c>
      <c r="AM83" s="25">
        <v>0</v>
      </c>
      <c r="AN83" s="25">
        <v>-67.074424743652344</v>
      </c>
      <c r="AR83" s="25">
        <v>3.750999927520752</v>
      </c>
      <c r="AS83" s="25">
        <v>-0.96139752864837646</v>
      </c>
      <c r="AT83" s="25">
        <v>-2.9104187488555908</v>
      </c>
      <c r="AU83" s="25">
        <v>0</v>
      </c>
      <c r="AV83" s="25">
        <v>0</v>
      </c>
      <c r="AW83" s="25">
        <v>0</v>
      </c>
      <c r="AX83" s="25">
        <v>108.85521697998047</v>
      </c>
      <c r="BB83" s="25">
        <v>3.750999927520752</v>
      </c>
      <c r="BC83" s="25">
        <v>-2.2121334075927734</v>
      </c>
      <c r="BD83" s="25">
        <v>-7.1817164421081543</v>
      </c>
      <c r="BE83" s="25">
        <v>0</v>
      </c>
      <c r="BF83" s="25">
        <v>0</v>
      </c>
      <c r="BG83" s="25">
        <v>0</v>
      </c>
      <c r="BH83" s="25">
        <v>247.41954040527344</v>
      </c>
      <c r="BL83" s="25">
        <v>3.750999927520752</v>
      </c>
      <c r="BM83" s="25">
        <v>-4.1783995628356934</v>
      </c>
      <c r="BN83" s="25">
        <v>-13.562400817871094</v>
      </c>
      <c r="BO83" s="25">
        <v>0</v>
      </c>
      <c r="BP83" s="25">
        <v>0</v>
      </c>
      <c r="BQ83" s="25">
        <v>0</v>
      </c>
      <c r="BR83" s="25">
        <v>467.3458251953125</v>
      </c>
      <c r="BV83" s="25">
        <v>3.75</v>
      </c>
      <c r="BW83" s="25">
        <v>-3.5144399851560593E-2</v>
      </c>
      <c r="BX83" s="25">
        <v>12.312005996704102</v>
      </c>
      <c r="BY83" s="25">
        <v>0</v>
      </c>
      <c r="BZ83" s="25">
        <v>0</v>
      </c>
      <c r="CA83" s="25">
        <v>0</v>
      </c>
      <c r="CB83" s="25">
        <v>-53.258419036865234</v>
      </c>
      <c r="CF83" s="25">
        <v>3.75</v>
      </c>
      <c r="CG83" s="25">
        <v>0.79213005304336548</v>
      </c>
      <c r="CH83" s="25">
        <v>17.550060272216797</v>
      </c>
      <c r="CI83" s="25">
        <v>0</v>
      </c>
      <c r="CJ83" s="25">
        <v>0</v>
      </c>
      <c r="CK83" s="25">
        <v>0</v>
      </c>
      <c r="CL83" s="25">
        <v>-102.98472595214844</v>
      </c>
      <c r="CP83" s="25">
        <v>3.750999927520752</v>
      </c>
      <c r="CQ83" s="25">
        <v>-1.765140175819397</v>
      </c>
      <c r="CR83" s="25">
        <v>-1.9824966192245483</v>
      </c>
      <c r="CS83" s="25">
        <v>0</v>
      </c>
      <c r="CT83" s="25">
        <v>0</v>
      </c>
      <c r="CU83" s="25">
        <v>0</v>
      </c>
      <c r="CV83" s="25">
        <v>467.7003173828125</v>
      </c>
      <c r="CZ83" s="25">
        <v>3.75</v>
      </c>
      <c r="DA83" s="25">
        <v>-3.5144399851560593E-2</v>
      </c>
      <c r="DB83" s="25">
        <v>12.312005996704102</v>
      </c>
      <c r="DC83" s="25">
        <v>0</v>
      </c>
      <c r="DD83" s="25">
        <v>0</v>
      </c>
      <c r="DE83" s="25">
        <v>0</v>
      </c>
      <c r="DF83" s="25">
        <v>-53.258419036865234</v>
      </c>
      <c r="DJ83" s="25">
        <v>3.75</v>
      </c>
      <c r="DK83" s="25">
        <v>0.79213005304336548</v>
      </c>
      <c r="DL83" s="25">
        <v>17.550060272216797</v>
      </c>
      <c r="DM83" s="25">
        <v>0</v>
      </c>
      <c r="DN83" s="25">
        <v>0</v>
      </c>
      <c r="DO83" s="25">
        <v>0</v>
      </c>
      <c r="DP83" s="25">
        <v>-102.98472595214844</v>
      </c>
      <c r="DT83" s="25">
        <v>3.750999927520752</v>
      </c>
      <c r="DU83" s="25">
        <v>-1.765140175819397</v>
      </c>
      <c r="DV83" s="25">
        <v>-1.9824966192245483</v>
      </c>
      <c r="DW83" s="25">
        <v>0</v>
      </c>
      <c r="DX83" s="25">
        <v>0</v>
      </c>
      <c r="DY83" s="25">
        <v>0</v>
      </c>
      <c r="DZ83" s="25">
        <v>467.7003173828125</v>
      </c>
      <c r="ED83" s="25">
        <v>3.75</v>
      </c>
      <c r="EE83" s="25">
        <v>-6.552799791097641E-2</v>
      </c>
      <c r="EF83" s="25">
        <v>-38.201663970947266</v>
      </c>
      <c r="EG83" s="25">
        <v>0</v>
      </c>
      <c r="EH83" s="25">
        <v>0</v>
      </c>
      <c r="EI83" s="25">
        <v>0</v>
      </c>
      <c r="EJ83" s="25">
        <v>-48.180721282958984</v>
      </c>
      <c r="EN83" s="25">
        <v>3.75</v>
      </c>
      <c r="EO83" s="25">
        <v>-1.0877474211156368E-2</v>
      </c>
      <c r="EP83" s="25">
        <v>-20.537065505981445</v>
      </c>
      <c r="EQ83" s="25">
        <v>0</v>
      </c>
      <c r="ER83" s="25">
        <v>0</v>
      </c>
      <c r="ES83" s="25">
        <v>0</v>
      </c>
      <c r="ET83" s="25">
        <v>-27.407037734985352</v>
      </c>
      <c r="EX83" s="25">
        <v>3.750999927520752</v>
      </c>
      <c r="EY83" s="25">
        <v>1.5370529890060425</v>
      </c>
      <c r="EZ83" s="25">
        <v>-47.554908752441406</v>
      </c>
      <c r="FA83" s="25">
        <v>0</v>
      </c>
      <c r="FB83" s="25">
        <v>0</v>
      </c>
      <c r="FC83" s="25">
        <v>0</v>
      </c>
      <c r="FD83" s="25">
        <v>-515.91473388671875</v>
      </c>
      <c r="FH83" s="25">
        <v>3.750999927520752</v>
      </c>
      <c r="FI83" s="25">
        <v>3.0820548534393311</v>
      </c>
      <c r="FJ83" s="25">
        <v>-95.472190856933594</v>
      </c>
      <c r="FK83" s="25">
        <v>0</v>
      </c>
      <c r="FL83" s="25">
        <v>0</v>
      </c>
      <c r="FM83" s="25">
        <v>0</v>
      </c>
      <c r="FN83" s="25">
        <v>-1033.4022216796875</v>
      </c>
    </row>
    <row r="84" spans="2:170">
      <c r="D84" s="25">
        <v>6.5510001182556152</v>
      </c>
      <c r="E84" s="25">
        <v>-32.820781707763672</v>
      </c>
      <c r="F84" s="25">
        <v>-1577.766357421875</v>
      </c>
      <c r="G84" s="25">
        <v>0</v>
      </c>
      <c r="H84" s="25">
        <v>0</v>
      </c>
      <c r="I84" s="25">
        <v>0</v>
      </c>
      <c r="J84" s="25">
        <v>1055.1619873046875</v>
      </c>
      <c r="N84" s="25">
        <v>6.5510001182556152</v>
      </c>
      <c r="O84" s="25">
        <v>-25.364400863647461</v>
      </c>
      <c r="P84" s="25">
        <v>-427.24240112304688</v>
      </c>
      <c r="Q84" s="25">
        <v>0</v>
      </c>
      <c r="R84" s="25">
        <v>0</v>
      </c>
      <c r="S84" s="25">
        <v>0</v>
      </c>
      <c r="T84" s="25">
        <v>109.81724548339844</v>
      </c>
      <c r="X84" s="25">
        <v>6.5500001907348633</v>
      </c>
      <c r="Y84" s="25">
        <v>63.775726318359375</v>
      </c>
      <c r="Z84" s="25">
        <v>73.078102111816406</v>
      </c>
      <c r="AA84" s="25">
        <v>0</v>
      </c>
      <c r="AB84" s="25">
        <v>0</v>
      </c>
      <c r="AC84" s="25">
        <v>0</v>
      </c>
      <c r="AD84" s="25">
        <v>559.6993408203125</v>
      </c>
      <c r="AH84" s="25">
        <v>6.5500001907348633</v>
      </c>
      <c r="AI84" s="25">
        <v>-22.709587097167969</v>
      </c>
      <c r="AJ84" s="25">
        <v>-41.905372619628906</v>
      </c>
      <c r="AK84" s="25">
        <v>0</v>
      </c>
      <c r="AL84" s="25">
        <v>0</v>
      </c>
      <c r="AM84" s="25">
        <v>0</v>
      </c>
      <c r="AN84" s="25">
        <v>-184.40946960449219</v>
      </c>
      <c r="AR84" s="25">
        <v>6.5510001182556152</v>
      </c>
      <c r="AS84" s="25">
        <v>-0.96139752864837646</v>
      </c>
      <c r="AT84" s="25">
        <v>-42.910419464111328</v>
      </c>
      <c r="AU84" s="25">
        <v>0</v>
      </c>
      <c r="AV84" s="25">
        <v>0</v>
      </c>
      <c r="AW84" s="25">
        <v>0</v>
      </c>
      <c r="AX84" s="25">
        <v>30.666044235229492</v>
      </c>
      <c r="BB84" s="25">
        <v>6.5510001182556152</v>
      </c>
      <c r="BC84" s="25">
        <v>-2.2121334075927734</v>
      </c>
      <c r="BD84" s="25">
        <v>-97.181716918945313</v>
      </c>
      <c r="BE84" s="25">
        <v>0</v>
      </c>
      <c r="BF84" s="25">
        <v>0</v>
      </c>
      <c r="BG84" s="25">
        <v>0</v>
      </c>
      <c r="BH84" s="25">
        <v>69.720741271972656</v>
      </c>
      <c r="BL84" s="25">
        <v>6.5510001182556152</v>
      </c>
      <c r="BM84" s="25">
        <v>-4.1783995628356934</v>
      </c>
      <c r="BN84" s="25">
        <v>-183.56240844726562</v>
      </c>
      <c r="BO84" s="25">
        <v>0</v>
      </c>
      <c r="BP84" s="25">
        <v>0</v>
      </c>
      <c r="BQ84" s="25">
        <v>0</v>
      </c>
      <c r="BR84" s="25">
        <v>131.70109558105469</v>
      </c>
      <c r="BV84" s="25">
        <v>6.5500001907348633</v>
      </c>
      <c r="BW84" s="25">
        <v>-3.5144399851560593E-2</v>
      </c>
      <c r="BX84" s="25">
        <v>12.312005996704102</v>
      </c>
      <c r="BY84" s="25">
        <v>0</v>
      </c>
      <c r="BZ84" s="25">
        <v>0</v>
      </c>
      <c r="CA84" s="25">
        <v>0</v>
      </c>
      <c r="CB84" s="25">
        <v>-18.784805297851563</v>
      </c>
      <c r="CF84" s="25">
        <v>6.5500001907348633</v>
      </c>
      <c r="CG84" s="25">
        <v>0.79213005304336548</v>
      </c>
      <c r="CH84" s="25">
        <v>17.550060272216797</v>
      </c>
      <c r="CI84" s="25">
        <v>0</v>
      </c>
      <c r="CJ84" s="25">
        <v>0</v>
      </c>
      <c r="CK84" s="25">
        <v>0</v>
      </c>
      <c r="CL84" s="25">
        <v>-53.844558715820312</v>
      </c>
      <c r="CP84" s="25">
        <v>6.5510001182556152</v>
      </c>
      <c r="CQ84" s="25">
        <v>-1.765140175819397</v>
      </c>
      <c r="CR84" s="25">
        <v>-170.98249816894531</v>
      </c>
      <c r="CS84" s="25">
        <v>0</v>
      </c>
      <c r="CT84" s="25">
        <v>0</v>
      </c>
      <c r="CU84" s="25">
        <v>0</v>
      </c>
      <c r="CV84" s="25">
        <v>166.23033142089844</v>
      </c>
      <c r="CZ84" s="25">
        <v>6.5500001907348633</v>
      </c>
      <c r="DA84" s="25">
        <v>-3.5144399851560593E-2</v>
      </c>
      <c r="DB84" s="25">
        <v>12.312005996704102</v>
      </c>
      <c r="DC84" s="25">
        <v>0</v>
      </c>
      <c r="DD84" s="25">
        <v>0</v>
      </c>
      <c r="DE84" s="25">
        <v>0</v>
      </c>
      <c r="DF84" s="25">
        <v>-18.784805297851563</v>
      </c>
      <c r="DJ84" s="25">
        <v>6.5500001907348633</v>
      </c>
      <c r="DK84" s="25">
        <v>0.79213005304336548</v>
      </c>
      <c r="DL84" s="25">
        <v>17.550060272216797</v>
      </c>
      <c r="DM84" s="25">
        <v>0</v>
      </c>
      <c r="DN84" s="25">
        <v>0</v>
      </c>
      <c r="DO84" s="25">
        <v>0</v>
      </c>
      <c r="DP84" s="25">
        <v>-53.844558715820312</v>
      </c>
      <c r="DT84" s="25">
        <v>6.5510001182556152</v>
      </c>
      <c r="DU84" s="25">
        <v>-1.765140175819397</v>
      </c>
      <c r="DV84" s="25">
        <v>-170.98249816894531</v>
      </c>
      <c r="DW84" s="25">
        <v>0</v>
      </c>
      <c r="DX84" s="25">
        <v>0</v>
      </c>
      <c r="DY84" s="25">
        <v>0</v>
      </c>
      <c r="DZ84" s="25">
        <v>166.23033142089844</v>
      </c>
      <c r="ED84" s="25">
        <v>6.5500001907348633</v>
      </c>
      <c r="EE84" s="25">
        <v>-6.552799791097641E-2</v>
      </c>
      <c r="EF84" s="25">
        <v>-38.201663970947266</v>
      </c>
      <c r="EG84" s="25">
        <v>0</v>
      </c>
      <c r="EH84" s="25">
        <v>0</v>
      </c>
      <c r="EI84" s="25">
        <v>0</v>
      </c>
      <c r="EJ84" s="25">
        <v>-155.1453857421875</v>
      </c>
      <c r="EN84" s="25">
        <v>6.5500001907348633</v>
      </c>
      <c r="EO84" s="25">
        <v>-1.0877474211156368E-2</v>
      </c>
      <c r="EP84" s="25">
        <v>-20.537065505981445</v>
      </c>
      <c r="EQ84" s="25">
        <v>0</v>
      </c>
      <c r="ER84" s="25">
        <v>0</v>
      </c>
      <c r="ES84" s="25">
        <v>0</v>
      </c>
      <c r="ET84" s="25">
        <v>-84.910820007324219</v>
      </c>
      <c r="EX84" s="25">
        <v>6.5510001182556152</v>
      </c>
      <c r="EY84" s="25">
        <v>1.5370529890060425</v>
      </c>
      <c r="EZ84" s="25">
        <v>-336.44491577148437</v>
      </c>
      <c r="FA84" s="25">
        <v>0</v>
      </c>
      <c r="FB84" s="25">
        <v>0</v>
      </c>
      <c r="FC84" s="25">
        <v>0</v>
      </c>
      <c r="FD84" s="25">
        <v>-1154.9149169921875</v>
      </c>
      <c r="FH84" s="25">
        <v>6.5510001182556152</v>
      </c>
      <c r="FI84" s="25">
        <v>3.0820548534393311</v>
      </c>
      <c r="FJ84" s="25">
        <v>-673.28216552734375</v>
      </c>
      <c r="FK84" s="25">
        <v>0</v>
      </c>
      <c r="FL84" s="25">
        <v>0</v>
      </c>
      <c r="FM84" s="25">
        <v>0</v>
      </c>
      <c r="FN84" s="25">
        <v>-2312.4697265625</v>
      </c>
    </row>
    <row r="85" spans="2:170">
      <c r="C85" s="25">
        <v>5</v>
      </c>
      <c r="D85" s="25">
        <v>7.5</v>
      </c>
      <c r="E85" s="25">
        <v>-32.820781707763672</v>
      </c>
      <c r="F85" s="25">
        <v>-4053.71630859375</v>
      </c>
      <c r="G85" s="25">
        <v>0</v>
      </c>
      <c r="H85" s="25">
        <v>0</v>
      </c>
      <c r="I85" s="25">
        <v>0</v>
      </c>
      <c r="J85" s="25">
        <v>-626.49017333984375</v>
      </c>
      <c r="M85" s="25">
        <v>5</v>
      </c>
      <c r="N85" s="25">
        <v>7.5</v>
      </c>
      <c r="O85" s="25">
        <v>-25.364400863647461</v>
      </c>
      <c r="P85" s="25">
        <v>-957.742431640625</v>
      </c>
      <c r="Q85" s="25">
        <v>0</v>
      </c>
      <c r="R85" s="25">
        <v>0</v>
      </c>
      <c r="S85" s="25">
        <v>0</v>
      </c>
      <c r="T85" s="25">
        <v>-335.42330932617187</v>
      </c>
      <c r="W85" s="25">
        <v>5</v>
      </c>
      <c r="X85" s="25">
        <v>7.5</v>
      </c>
      <c r="Y85" s="25">
        <v>63.775726318359375</v>
      </c>
      <c r="Z85" s="25">
        <v>73.078102111816406</v>
      </c>
      <c r="AA85" s="25">
        <v>0</v>
      </c>
      <c r="AB85" s="25">
        <v>0</v>
      </c>
      <c r="AC85" s="25">
        <v>0</v>
      </c>
      <c r="AD85" s="25">
        <v>629.12353515625</v>
      </c>
      <c r="AG85" s="25">
        <v>5</v>
      </c>
      <c r="AH85" s="25">
        <v>7.5</v>
      </c>
      <c r="AI85" s="25">
        <v>-22.709587097167969</v>
      </c>
      <c r="AJ85" s="25">
        <v>-40.905372619628906</v>
      </c>
      <c r="AK85" s="25">
        <v>0</v>
      </c>
      <c r="AL85" s="25">
        <v>0</v>
      </c>
      <c r="AM85" s="25">
        <v>0</v>
      </c>
      <c r="AN85" s="25">
        <v>-224.14457702636719</v>
      </c>
      <c r="AQ85" s="25">
        <v>5</v>
      </c>
      <c r="AR85" s="25">
        <v>7.5</v>
      </c>
      <c r="AS85" s="25">
        <v>-0.96139752864837646</v>
      </c>
      <c r="AT85" s="25">
        <v>-70.210418701171875</v>
      </c>
      <c r="AU85" s="25">
        <v>0</v>
      </c>
      <c r="AV85" s="25">
        <v>0</v>
      </c>
      <c r="AW85" s="25">
        <v>0</v>
      </c>
      <c r="AX85" s="25">
        <v>-12.10344409942627</v>
      </c>
      <c r="BA85" s="25">
        <v>5</v>
      </c>
      <c r="BB85" s="25">
        <v>7.5</v>
      </c>
      <c r="BC85" s="25">
        <v>-2.2121334075927734</v>
      </c>
      <c r="BD85" s="25">
        <v>-168.3817138671875</v>
      </c>
      <c r="BE85" s="25">
        <v>0</v>
      </c>
      <c r="BF85" s="25">
        <v>0</v>
      </c>
      <c r="BG85" s="25">
        <v>0</v>
      </c>
      <c r="BH85" s="25">
        <v>-27.844707489013672</v>
      </c>
      <c r="BK85" s="25">
        <v>5</v>
      </c>
      <c r="BL85" s="25">
        <v>7.5</v>
      </c>
      <c r="BM85" s="25">
        <v>-4.1783995628356934</v>
      </c>
      <c r="BN85" s="25">
        <v>-318.16241455078125</v>
      </c>
      <c r="BO85" s="25">
        <v>0</v>
      </c>
      <c r="BP85" s="25">
        <v>0</v>
      </c>
      <c r="BQ85" s="25">
        <v>0</v>
      </c>
      <c r="BR85" s="25">
        <v>-52.594627380371094</v>
      </c>
      <c r="BU85" s="25">
        <v>5</v>
      </c>
      <c r="BV85" s="25">
        <v>7.5</v>
      </c>
      <c r="BW85" s="25">
        <v>-3.5144399851560593E-2</v>
      </c>
      <c r="BX85" s="25">
        <v>27.482006072998047</v>
      </c>
      <c r="BY85" s="25">
        <v>0</v>
      </c>
      <c r="BZ85" s="25">
        <v>0</v>
      </c>
      <c r="CA85" s="25">
        <v>0</v>
      </c>
      <c r="CB85" s="25">
        <v>-5.9506487846374512</v>
      </c>
      <c r="CE85" s="25">
        <v>5</v>
      </c>
      <c r="CF85" s="25">
        <v>7.5</v>
      </c>
      <c r="CG85" s="25">
        <v>0.79213005304336548</v>
      </c>
      <c r="CH85" s="25">
        <v>-81.819938659667969</v>
      </c>
      <c r="CI85" s="25">
        <v>0</v>
      </c>
      <c r="CJ85" s="25">
        <v>0</v>
      </c>
      <c r="CK85" s="25">
        <v>0</v>
      </c>
      <c r="CL85" s="25">
        <v>-44.624748229980469</v>
      </c>
      <c r="CO85" s="25">
        <v>5</v>
      </c>
      <c r="CP85" s="25">
        <v>7.5</v>
      </c>
      <c r="CQ85" s="25">
        <v>-1.765140175819397</v>
      </c>
      <c r="CR85" s="25">
        <v>-441.6724853515625</v>
      </c>
      <c r="CS85" s="25">
        <v>0</v>
      </c>
      <c r="CT85" s="25">
        <v>0</v>
      </c>
      <c r="CU85" s="25">
        <v>0</v>
      </c>
      <c r="CV85" s="25">
        <v>-16.333805084228516</v>
      </c>
      <c r="CY85" s="25">
        <v>5</v>
      </c>
      <c r="CZ85" s="25">
        <v>7.5</v>
      </c>
      <c r="DA85" s="25">
        <v>-3.5144399851560593E-2</v>
      </c>
      <c r="DB85" s="25">
        <v>27.482006072998047</v>
      </c>
      <c r="DC85" s="25">
        <v>0</v>
      </c>
      <c r="DD85" s="25">
        <v>0</v>
      </c>
      <c r="DE85" s="25">
        <v>0</v>
      </c>
      <c r="DF85" s="25">
        <v>-5.9506487846374512</v>
      </c>
      <c r="DI85" s="25">
        <v>5</v>
      </c>
      <c r="DJ85" s="25">
        <v>7.5</v>
      </c>
      <c r="DK85" s="25">
        <v>0.79213005304336548</v>
      </c>
      <c r="DL85" s="25">
        <v>-81.819938659667969</v>
      </c>
      <c r="DM85" s="25">
        <v>0</v>
      </c>
      <c r="DN85" s="25">
        <v>0</v>
      </c>
      <c r="DO85" s="25">
        <v>0</v>
      </c>
      <c r="DP85" s="25">
        <v>-44.624748229980469</v>
      </c>
      <c r="DS85" s="25">
        <v>5</v>
      </c>
      <c r="DT85" s="25">
        <v>7.5</v>
      </c>
      <c r="DU85" s="25">
        <v>-1.765140175819397</v>
      </c>
      <c r="DV85" s="25">
        <v>-441.6724853515625</v>
      </c>
      <c r="DW85" s="25">
        <v>0</v>
      </c>
      <c r="DX85" s="25">
        <v>0</v>
      </c>
      <c r="DY85" s="25">
        <v>0</v>
      </c>
      <c r="DZ85" s="25">
        <v>-16.333805084228516</v>
      </c>
      <c r="EC85" s="25">
        <v>5</v>
      </c>
      <c r="ED85" s="25">
        <v>7.5</v>
      </c>
      <c r="EE85" s="25">
        <v>-6.552799791097641E-2</v>
      </c>
      <c r="EF85" s="25">
        <v>-38.201663970947266</v>
      </c>
      <c r="EG85" s="25">
        <v>0</v>
      </c>
      <c r="EH85" s="25">
        <v>0</v>
      </c>
      <c r="EI85" s="25">
        <v>0</v>
      </c>
      <c r="EJ85" s="25">
        <v>-191.43696594238281</v>
      </c>
      <c r="EM85" s="25">
        <v>5</v>
      </c>
      <c r="EN85" s="25">
        <v>7.5</v>
      </c>
      <c r="EO85" s="25">
        <v>-1.0877474211156368E-2</v>
      </c>
      <c r="EP85" s="25">
        <v>-20.537065505981445</v>
      </c>
      <c r="EQ85" s="25">
        <v>0</v>
      </c>
      <c r="ER85" s="25">
        <v>0</v>
      </c>
      <c r="ES85" s="25">
        <v>0</v>
      </c>
      <c r="ET85" s="25">
        <v>-104.42103576660156</v>
      </c>
      <c r="EW85" s="25">
        <v>5</v>
      </c>
      <c r="EX85" s="25">
        <v>7.5</v>
      </c>
      <c r="EY85" s="25">
        <v>1.5370529890060425</v>
      </c>
      <c r="EZ85" s="25">
        <v>-355.1649169921875</v>
      </c>
      <c r="FA85" s="25">
        <v>0</v>
      </c>
      <c r="FB85" s="25">
        <v>0</v>
      </c>
      <c r="FC85" s="25">
        <v>0</v>
      </c>
      <c r="FD85" s="25">
        <v>-1475.6051025390625</v>
      </c>
      <c r="FG85" s="25">
        <v>5</v>
      </c>
      <c r="FH85" s="25">
        <v>7.5</v>
      </c>
      <c r="FI85" s="25">
        <v>3.0820548534393311</v>
      </c>
      <c r="FJ85" s="25">
        <v>-681.90216064453125</v>
      </c>
      <c r="FK85" s="25">
        <v>0</v>
      </c>
      <c r="FL85" s="25">
        <v>0</v>
      </c>
      <c r="FM85" s="25">
        <v>0</v>
      </c>
      <c r="FN85" s="25">
        <v>-2952.06103515625</v>
      </c>
    </row>
    <row r="86" spans="2:170">
      <c r="B86" s="25">
        <v>5</v>
      </c>
      <c r="C86" s="25">
        <v>5</v>
      </c>
      <c r="D86" s="25">
        <v>0</v>
      </c>
      <c r="E86" s="25">
        <v>-1.9354047253727913E-9</v>
      </c>
      <c r="F86" s="25">
        <v>454.10000610351562</v>
      </c>
      <c r="G86" s="25">
        <v>0</v>
      </c>
      <c r="H86" s="25">
        <v>0</v>
      </c>
      <c r="I86" s="25">
        <v>0</v>
      </c>
      <c r="J86" s="25">
        <v>-215.69749450683594</v>
      </c>
      <c r="L86" s="25">
        <v>5</v>
      </c>
      <c r="M86" s="25">
        <v>5</v>
      </c>
      <c r="N86" s="25">
        <v>0</v>
      </c>
      <c r="O86" s="25">
        <v>2.3283064365386963E-10</v>
      </c>
      <c r="P86" s="25">
        <v>-7.4505805969238281E-9</v>
      </c>
      <c r="Q86" s="25">
        <v>0</v>
      </c>
      <c r="R86" s="25">
        <v>0</v>
      </c>
      <c r="S86" s="25">
        <v>0</v>
      </c>
      <c r="T86" s="25">
        <v>3.7252902984619141E-9</v>
      </c>
      <c r="V86" s="25">
        <v>5</v>
      </c>
      <c r="W86" s="25">
        <v>5</v>
      </c>
      <c r="X86" s="25">
        <v>0</v>
      </c>
      <c r="Y86" s="25">
        <v>1.6298145055770874E-9</v>
      </c>
      <c r="Z86" s="25">
        <v>0</v>
      </c>
      <c r="AA86" s="25">
        <v>0</v>
      </c>
      <c r="AB86" s="25">
        <v>0</v>
      </c>
      <c r="AC86" s="25">
        <v>0</v>
      </c>
      <c r="AD86" s="25">
        <v>-4.6566128730773926E-10</v>
      </c>
      <c r="AF86" s="25">
        <v>5</v>
      </c>
      <c r="AG86" s="25">
        <v>5</v>
      </c>
      <c r="AH86" s="25">
        <v>0</v>
      </c>
      <c r="AI86" s="25">
        <v>1.076841726899147E-9</v>
      </c>
      <c r="AJ86" s="25">
        <v>-2.3283064365386963E-10</v>
      </c>
      <c r="AK86" s="25">
        <v>0</v>
      </c>
      <c r="AL86" s="25">
        <v>0</v>
      </c>
      <c r="AM86" s="25">
        <v>0</v>
      </c>
      <c r="AN86" s="25">
        <v>2.3283064365386963E-10</v>
      </c>
      <c r="AP86" s="25">
        <v>5</v>
      </c>
      <c r="AQ86" s="25">
        <v>5</v>
      </c>
      <c r="AR86" s="25">
        <v>0</v>
      </c>
      <c r="AS86" s="25">
        <v>4.1836756281554699E-11</v>
      </c>
      <c r="AT86" s="25">
        <v>4.6566128730773926E-10</v>
      </c>
      <c r="AU86" s="25">
        <v>0</v>
      </c>
      <c r="AV86" s="25">
        <v>0</v>
      </c>
      <c r="AW86" s="25">
        <v>0</v>
      </c>
      <c r="AX86" s="25">
        <v>-2.3283064365386963E-10</v>
      </c>
      <c r="AZ86" s="25">
        <v>5</v>
      </c>
      <c r="BA86" s="25">
        <v>5</v>
      </c>
      <c r="BB86" s="25">
        <v>0</v>
      </c>
      <c r="BC86" s="25">
        <v>6.184563972055912E-11</v>
      </c>
      <c r="BD86" s="25">
        <v>0</v>
      </c>
      <c r="BE86" s="25">
        <v>0</v>
      </c>
      <c r="BF86" s="25">
        <v>0</v>
      </c>
      <c r="BG86" s="25">
        <v>0</v>
      </c>
      <c r="BH86" s="25">
        <v>4.6566128730773926E-10</v>
      </c>
      <c r="BJ86" s="25">
        <v>5</v>
      </c>
      <c r="BK86" s="25">
        <v>5</v>
      </c>
      <c r="BL86" s="25">
        <v>0</v>
      </c>
      <c r="BM86" s="25">
        <v>2.1827872842550278E-11</v>
      </c>
      <c r="BN86" s="25">
        <v>0</v>
      </c>
      <c r="BO86" s="25">
        <v>0</v>
      </c>
      <c r="BP86" s="25">
        <v>0</v>
      </c>
      <c r="BQ86" s="25">
        <v>0</v>
      </c>
      <c r="BR86" s="25">
        <v>0</v>
      </c>
      <c r="BT86" s="25">
        <v>5</v>
      </c>
      <c r="BU86" s="25">
        <v>5</v>
      </c>
      <c r="BV86" s="25">
        <v>0</v>
      </c>
      <c r="BW86" s="25">
        <v>0</v>
      </c>
      <c r="BX86" s="25">
        <v>2.3283064365386963E-10</v>
      </c>
      <c r="BY86" s="25">
        <v>0</v>
      </c>
      <c r="BZ86" s="25">
        <v>0</v>
      </c>
      <c r="CA86" s="25">
        <v>0</v>
      </c>
      <c r="CB86" s="25">
        <v>-2.3283064365386963E-10</v>
      </c>
      <c r="CD86" s="25">
        <v>5</v>
      </c>
      <c r="CE86" s="25">
        <v>5</v>
      </c>
      <c r="CF86" s="25">
        <v>0</v>
      </c>
      <c r="CG86" s="25">
        <v>0</v>
      </c>
      <c r="CH86" s="25">
        <v>55.770000457763672</v>
      </c>
      <c r="CI86" s="25">
        <v>0</v>
      </c>
      <c r="CJ86" s="25">
        <v>0</v>
      </c>
      <c r="CK86" s="25">
        <v>0</v>
      </c>
      <c r="CL86" s="25">
        <v>-52.981498718261719</v>
      </c>
      <c r="CN86" s="25">
        <v>5</v>
      </c>
      <c r="CO86" s="25">
        <v>5</v>
      </c>
      <c r="CP86" s="25">
        <v>0</v>
      </c>
      <c r="CQ86" s="25">
        <v>0</v>
      </c>
      <c r="CR86" s="25">
        <v>0</v>
      </c>
      <c r="CS86" s="25">
        <v>0</v>
      </c>
      <c r="CT86" s="25">
        <v>0</v>
      </c>
      <c r="CU86" s="25">
        <v>0</v>
      </c>
      <c r="CV86" s="25">
        <v>0</v>
      </c>
      <c r="CX86" s="25">
        <v>5</v>
      </c>
      <c r="CY86" s="25">
        <v>5</v>
      </c>
      <c r="CZ86" s="25">
        <v>0</v>
      </c>
      <c r="DA86" s="25">
        <v>0</v>
      </c>
      <c r="DB86" s="25">
        <v>2.3283064365386963E-10</v>
      </c>
      <c r="DC86" s="25">
        <v>0</v>
      </c>
      <c r="DD86" s="25">
        <v>0</v>
      </c>
      <c r="DE86" s="25">
        <v>0</v>
      </c>
      <c r="DF86" s="25">
        <v>-2.3283064365386963E-10</v>
      </c>
      <c r="DH86" s="25">
        <v>5</v>
      </c>
      <c r="DI86" s="25">
        <v>5</v>
      </c>
      <c r="DJ86" s="25">
        <v>0</v>
      </c>
      <c r="DK86" s="25">
        <v>0</v>
      </c>
      <c r="DL86" s="25">
        <v>55.770000457763672</v>
      </c>
      <c r="DM86" s="25">
        <v>0</v>
      </c>
      <c r="DN86" s="25">
        <v>0</v>
      </c>
      <c r="DO86" s="25">
        <v>0</v>
      </c>
      <c r="DP86" s="25">
        <v>-52.981498718261719</v>
      </c>
      <c r="DR86" s="25">
        <v>5</v>
      </c>
      <c r="DS86" s="25">
        <v>5</v>
      </c>
      <c r="DT86" s="25">
        <v>0</v>
      </c>
      <c r="DU86" s="25">
        <v>0</v>
      </c>
      <c r="DV86" s="25">
        <v>0</v>
      </c>
      <c r="DW86" s="25">
        <v>0</v>
      </c>
      <c r="DX86" s="25">
        <v>0</v>
      </c>
      <c r="DY86" s="25">
        <v>0</v>
      </c>
      <c r="DZ86" s="25">
        <v>0</v>
      </c>
      <c r="EB86" s="25">
        <v>5</v>
      </c>
      <c r="EC86" s="25">
        <v>5</v>
      </c>
      <c r="ED86" s="25">
        <v>0</v>
      </c>
      <c r="EE86" s="25">
        <v>0</v>
      </c>
      <c r="EF86" s="25">
        <v>0</v>
      </c>
      <c r="EG86" s="25">
        <v>0</v>
      </c>
      <c r="EH86" s="25">
        <v>0</v>
      </c>
      <c r="EI86" s="25">
        <v>0</v>
      </c>
      <c r="EJ86" s="25">
        <v>2.3283064365386963E-10</v>
      </c>
      <c r="EL86" s="25">
        <v>5</v>
      </c>
      <c r="EM86" s="25">
        <v>5</v>
      </c>
      <c r="EN86" s="25">
        <v>0</v>
      </c>
      <c r="EO86" s="25">
        <v>0</v>
      </c>
      <c r="EP86" s="25">
        <v>0</v>
      </c>
      <c r="EQ86" s="25">
        <v>0</v>
      </c>
      <c r="ER86" s="25">
        <v>0</v>
      </c>
      <c r="ES86" s="25">
        <v>0</v>
      </c>
      <c r="ET86" s="25">
        <v>-5.8207660913467407E-11</v>
      </c>
      <c r="EV86" s="25">
        <v>5</v>
      </c>
      <c r="EW86" s="25">
        <v>5</v>
      </c>
      <c r="EX86" s="25">
        <v>0</v>
      </c>
      <c r="EY86" s="25">
        <v>7.4505805969238281E-9</v>
      </c>
      <c r="EZ86" s="25">
        <v>1.862645149230957E-9</v>
      </c>
      <c r="FA86" s="25">
        <v>0</v>
      </c>
      <c r="FB86" s="25">
        <v>0</v>
      </c>
      <c r="FC86" s="25">
        <v>0</v>
      </c>
      <c r="FD86" s="25">
        <v>-9.3132257461547852E-10</v>
      </c>
      <c r="FF86" s="25">
        <v>5</v>
      </c>
      <c r="FG86" s="25">
        <v>5</v>
      </c>
      <c r="FH86" s="25">
        <v>0</v>
      </c>
      <c r="FI86" s="25">
        <v>0</v>
      </c>
      <c r="FJ86" s="25">
        <v>0</v>
      </c>
      <c r="FK86" s="25">
        <v>0</v>
      </c>
      <c r="FL86" s="25">
        <v>0</v>
      </c>
      <c r="FM86" s="25">
        <v>0</v>
      </c>
      <c r="FN86" s="25">
        <v>1.862645149230957E-9</v>
      </c>
    </row>
    <row r="87" spans="2:170">
      <c r="C87" s="25">
        <v>6</v>
      </c>
      <c r="D87" s="25">
        <v>0.94999998807907104</v>
      </c>
      <c r="E87" s="25">
        <v>-1.9354047253727913E-9</v>
      </c>
      <c r="F87" s="25">
        <v>-1.788140480130096E-8</v>
      </c>
      <c r="G87" s="25">
        <v>0</v>
      </c>
      <c r="H87" s="25">
        <v>0</v>
      </c>
      <c r="I87" s="25">
        <v>0</v>
      </c>
      <c r="J87" s="25">
        <v>3.3775933161450666E-9</v>
      </c>
      <c r="M87" s="25">
        <v>6</v>
      </c>
      <c r="N87" s="25">
        <v>0.94999998807907104</v>
      </c>
      <c r="O87" s="25">
        <v>2.3283064365386963E-10</v>
      </c>
      <c r="P87" s="25">
        <v>-7.4505805969238281E-9</v>
      </c>
      <c r="Q87" s="25">
        <v>0</v>
      </c>
      <c r="R87" s="25">
        <v>0</v>
      </c>
      <c r="S87" s="25">
        <v>0</v>
      </c>
      <c r="T87" s="25">
        <v>-1.862645149230957E-9</v>
      </c>
      <c r="W87" s="25">
        <v>6</v>
      </c>
      <c r="X87" s="25">
        <v>0.94999998807907104</v>
      </c>
      <c r="Y87" s="25">
        <v>1.6298145055770874E-9</v>
      </c>
      <c r="Z87" s="25">
        <v>0</v>
      </c>
      <c r="AA87" s="25">
        <v>0</v>
      </c>
      <c r="AB87" s="25">
        <v>0</v>
      </c>
      <c r="AC87" s="25">
        <v>0</v>
      </c>
      <c r="AD87" s="25">
        <v>-2.3283064365386963E-10</v>
      </c>
      <c r="AG87" s="25">
        <v>6</v>
      </c>
      <c r="AH87" s="25">
        <v>0.94999998807907104</v>
      </c>
      <c r="AI87" s="25">
        <v>1.076841726899147E-9</v>
      </c>
      <c r="AJ87" s="25">
        <v>-2.3283064365386963E-10</v>
      </c>
      <c r="AK87" s="25">
        <v>0</v>
      </c>
      <c r="AL87" s="25">
        <v>0</v>
      </c>
      <c r="AM87" s="25">
        <v>0</v>
      </c>
      <c r="AN87" s="25">
        <v>1.1641532182693481E-10</v>
      </c>
      <c r="AQ87" s="25">
        <v>6</v>
      </c>
      <c r="AR87" s="25">
        <v>0.94999998807907104</v>
      </c>
      <c r="AS87" s="25">
        <v>4.1836756281554699E-11</v>
      </c>
      <c r="AT87" s="25">
        <v>4.6566128730773926E-10</v>
      </c>
      <c r="AU87" s="25">
        <v>0</v>
      </c>
      <c r="AV87" s="25">
        <v>0</v>
      </c>
      <c r="AW87" s="25">
        <v>0</v>
      </c>
      <c r="AX87" s="25">
        <v>4.6566128730773926E-10</v>
      </c>
      <c r="BA87" s="25">
        <v>6</v>
      </c>
      <c r="BB87" s="25">
        <v>0.94999998807907104</v>
      </c>
      <c r="BC87" s="25">
        <v>6.184563972055912E-11</v>
      </c>
      <c r="BD87" s="25">
        <v>0</v>
      </c>
      <c r="BE87" s="25">
        <v>0</v>
      </c>
      <c r="BF87" s="25">
        <v>0</v>
      </c>
      <c r="BG87" s="25">
        <v>0</v>
      </c>
      <c r="BH87" s="25">
        <v>4.6566128730773926E-10</v>
      </c>
      <c r="BK87" s="25">
        <v>6</v>
      </c>
      <c r="BL87" s="25">
        <v>0.94999998807907104</v>
      </c>
      <c r="BM87" s="25">
        <v>2.1827872842550278E-11</v>
      </c>
      <c r="BN87" s="25">
        <v>0</v>
      </c>
      <c r="BO87" s="25">
        <v>0</v>
      </c>
      <c r="BP87" s="25">
        <v>0</v>
      </c>
      <c r="BQ87" s="25">
        <v>0</v>
      </c>
      <c r="BR87" s="25">
        <v>9.3132257461547852E-10</v>
      </c>
      <c r="BU87" s="25">
        <v>6</v>
      </c>
      <c r="BV87" s="25">
        <v>0.94999998807907104</v>
      </c>
      <c r="BW87" s="25">
        <v>0</v>
      </c>
      <c r="BX87" s="25">
        <v>2.3283064365386963E-10</v>
      </c>
      <c r="BY87" s="25">
        <v>0</v>
      </c>
      <c r="BZ87" s="25">
        <v>0</v>
      </c>
      <c r="CA87" s="25">
        <v>0</v>
      </c>
      <c r="CB87" s="25">
        <v>-1.1641532182693481E-10</v>
      </c>
      <c r="CE87" s="25">
        <v>6</v>
      </c>
      <c r="CF87" s="25">
        <v>0.94999998807907104</v>
      </c>
      <c r="CG87" s="25">
        <v>0</v>
      </c>
      <c r="CH87" s="25">
        <v>55.770000457763672</v>
      </c>
      <c r="CI87" s="25">
        <v>0</v>
      </c>
      <c r="CJ87" s="25">
        <v>0</v>
      </c>
      <c r="CK87" s="25">
        <v>0</v>
      </c>
      <c r="CL87" s="25">
        <v>0</v>
      </c>
      <c r="CO87" s="25">
        <v>6</v>
      </c>
      <c r="CP87" s="25">
        <v>0.94999998807907104</v>
      </c>
      <c r="CQ87" s="25">
        <v>0</v>
      </c>
      <c r="CR87" s="25">
        <v>0</v>
      </c>
      <c r="CS87" s="25">
        <v>0</v>
      </c>
      <c r="CT87" s="25">
        <v>0</v>
      </c>
      <c r="CU87" s="25">
        <v>0</v>
      </c>
      <c r="CV87" s="25">
        <v>1.862645149230957E-9</v>
      </c>
      <c r="CY87" s="25">
        <v>6</v>
      </c>
      <c r="CZ87" s="25">
        <v>0.94999998807907104</v>
      </c>
      <c r="DA87" s="25">
        <v>0</v>
      </c>
      <c r="DB87" s="25">
        <v>2.3283064365386963E-10</v>
      </c>
      <c r="DC87" s="25">
        <v>0</v>
      </c>
      <c r="DD87" s="25">
        <v>0</v>
      </c>
      <c r="DE87" s="25">
        <v>0</v>
      </c>
      <c r="DF87" s="25">
        <v>-1.1641532182693481E-10</v>
      </c>
      <c r="DI87" s="25">
        <v>6</v>
      </c>
      <c r="DJ87" s="25">
        <v>0.94999998807907104</v>
      </c>
      <c r="DK87" s="25">
        <v>0</v>
      </c>
      <c r="DL87" s="25">
        <v>55.770000457763672</v>
      </c>
      <c r="DM87" s="25">
        <v>0</v>
      </c>
      <c r="DN87" s="25">
        <v>0</v>
      </c>
      <c r="DO87" s="25">
        <v>0</v>
      </c>
      <c r="DP87" s="25">
        <v>0</v>
      </c>
      <c r="DS87" s="25">
        <v>6</v>
      </c>
      <c r="DT87" s="25">
        <v>0.94999998807907104</v>
      </c>
      <c r="DU87" s="25">
        <v>0</v>
      </c>
      <c r="DV87" s="25">
        <v>0</v>
      </c>
      <c r="DW87" s="25">
        <v>0</v>
      </c>
      <c r="DX87" s="25">
        <v>0</v>
      </c>
      <c r="DY87" s="25">
        <v>0</v>
      </c>
      <c r="DZ87" s="25">
        <v>1.862645149230957E-9</v>
      </c>
      <c r="EC87" s="25">
        <v>6</v>
      </c>
      <c r="ED87" s="25">
        <v>0.94999998807907104</v>
      </c>
      <c r="EE87" s="25">
        <v>0</v>
      </c>
      <c r="EF87" s="25">
        <v>0</v>
      </c>
      <c r="EG87" s="25">
        <v>0</v>
      </c>
      <c r="EH87" s="25">
        <v>0</v>
      </c>
      <c r="EI87" s="25">
        <v>0</v>
      </c>
      <c r="EJ87" s="25">
        <v>1.1641532182693481E-10</v>
      </c>
      <c r="EM87" s="25">
        <v>6</v>
      </c>
      <c r="EN87" s="25">
        <v>0.94999998807907104</v>
      </c>
      <c r="EO87" s="25">
        <v>0</v>
      </c>
      <c r="EP87" s="25">
        <v>0</v>
      </c>
      <c r="EQ87" s="25">
        <v>0</v>
      </c>
      <c r="ER87" s="25">
        <v>0</v>
      </c>
      <c r="ES87" s="25">
        <v>0</v>
      </c>
      <c r="ET87" s="25">
        <v>-5.8207660913467407E-11</v>
      </c>
      <c r="EW87" s="25">
        <v>6</v>
      </c>
      <c r="EX87" s="25">
        <v>0.94999998807907104</v>
      </c>
      <c r="EY87" s="25">
        <v>7.4505805969238281E-9</v>
      </c>
      <c r="EZ87" s="25">
        <v>1.862645149230957E-9</v>
      </c>
      <c r="FA87" s="25">
        <v>0</v>
      </c>
      <c r="FB87" s="25">
        <v>0</v>
      </c>
      <c r="FC87" s="25">
        <v>0</v>
      </c>
      <c r="FD87" s="25">
        <v>9.3132257461547852E-10</v>
      </c>
      <c r="FG87" s="25">
        <v>6</v>
      </c>
      <c r="FH87" s="25">
        <v>0.94999998807907104</v>
      </c>
      <c r="FI87" s="25">
        <v>0</v>
      </c>
      <c r="FJ87" s="25">
        <v>0</v>
      </c>
      <c r="FK87" s="25">
        <v>0</v>
      </c>
      <c r="FL87" s="25">
        <v>0</v>
      </c>
      <c r="FM87" s="25">
        <v>0</v>
      </c>
      <c r="FN87" s="25">
        <v>3.7252902984619141E-9</v>
      </c>
    </row>
    <row r="88" spans="2:170">
      <c r="B88" s="25">
        <v>6</v>
      </c>
      <c r="C88" s="25">
        <v>2</v>
      </c>
      <c r="D88" s="25">
        <v>0</v>
      </c>
      <c r="E88" s="25">
        <v>-4565.0615234375</v>
      </c>
      <c r="F88" s="25">
        <v>-33.370525360107422</v>
      </c>
      <c r="G88" s="25">
        <v>0</v>
      </c>
      <c r="H88" s="25">
        <v>0</v>
      </c>
      <c r="I88" s="25">
        <v>0</v>
      </c>
      <c r="J88" s="25">
        <v>415.99517822265625</v>
      </c>
      <c r="L88" s="25">
        <v>6</v>
      </c>
      <c r="M88" s="25">
        <v>2</v>
      </c>
      <c r="N88" s="25">
        <v>0</v>
      </c>
      <c r="O88" s="25">
        <v>-2704.9423828125</v>
      </c>
      <c r="P88" s="25">
        <v>-36.456501007080078</v>
      </c>
      <c r="Q88" s="25">
        <v>0</v>
      </c>
      <c r="R88" s="25">
        <v>0</v>
      </c>
      <c r="S88" s="25">
        <v>0</v>
      </c>
      <c r="T88" s="25">
        <v>436.8221435546875</v>
      </c>
      <c r="V88" s="25">
        <v>6</v>
      </c>
      <c r="W88" s="25">
        <v>2</v>
      </c>
      <c r="X88" s="25">
        <v>0</v>
      </c>
      <c r="Y88" s="25">
        <v>34.640914916992188</v>
      </c>
      <c r="Z88" s="25">
        <v>62.533592224121094</v>
      </c>
      <c r="AA88" s="25">
        <v>0</v>
      </c>
      <c r="AB88" s="25">
        <v>0</v>
      </c>
      <c r="AC88" s="25">
        <v>0</v>
      </c>
      <c r="AD88" s="25">
        <v>-616.93426513671875</v>
      </c>
      <c r="AF88" s="25">
        <v>6</v>
      </c>
      <c r="AG88" s="25">
        <v>2</v>
      </c>
      <c r="AH88" s="25">
        <v>0</v>
      </c>
      <c r="AI88" s="25">
        <v>-52.043552398681641</v>
      </c>
      <c r="AJ88" s="25">
        <v>-69.797004699707031</v>
      </c>
      <c r="AK88" s="25">
        <v>0</v>
      </c>
      <c r="AL88" s="25">
        <v>0</v>
      </c>
      <c r="AM88" s="25">
        <v>0</v>
      </c>
      <c r="AN88" s="25">
        <v>690.7613525390625</v>
      </c>
      <c r="AP88" s="25">
        <v>6</v>
      </c>
      <c r="AQ88" s="25">
        <v>2</v>
      </c>
      <c r="AR88" s="25">
        <v>0</v>
      </c>
      <c r="AS88" s="25">
        <v>-75.985488891601563</v>
      </c>
      <c r="AT88" s="25">
        <v>-0.9002068042755127</v>
      </c>
      <c r="AU88" s="25">
        <v>0</v>
      </c>
      <c r="AV88" s="25">
        <v>0</v>
      </c>
      <c r="AW88" s="25">
        <v>0</v>
      </c>
      <c r="AX88" s="25">
        <v>11.1500244140625</v>
      </c>
      <c r="AZ88" s="25">
        <v>6</v>
      </c>
      <c r="BA88" s="25">
        <v>2</v>
      </c>
      <c r="BB88" s="25">
        <v>0</v>
      </c>
      <c r="BC88" s="25">
        <v>-181.37562561035156</v>
      </c>
      <c r="BD88" s="25">
        <v>-2.0744540691375732</v>
      </c>
      <c r="BE88" s="25">
        <v>0</v>
      </c>
      <c r="BF88" s="25">
        <v>0</v>
      </c>
      <c r="BG88" s="25">
        <v>0</v>
      </c>
      <c r="BH88" s="25">
        <v>25.699514389038086</v>
      </c>
      <c r="BJ88" s="25">
        <v>6</v>
      </c>
      <c r="BK88" s="25">
        <v>2</v>
      </c>
      <c r="BL88" s="25">
        <v>0</v>
      </c>
      <c r="BM88" s="25">
        <v>-342.70645141601562</v>
      </c>
      <c r="BN88" s="25">
        <v>-3.9183387756347656</v>
      </c>
      <c r="BO88" s="25">
        <v>0</v>
      </c>
      <c r="BP88" s="25">
        <v>0</v>
      </c>
      <c r="BQ88" s="25">
        <v>0</v>
      </c>
      <c r="BR88" s="25">
        <v>48.542591094970703</v>
      </c>
      <c r="BT88" s="25">
        <v>6</v>
      </c>
      <c r="BU88" s="25">
        <v>2</v>
      </c>
      <c r="BV88" s="25">
        <v>0</v>
      </c>
      <c r="BW88" s="25">
        <v>-427.11962890625</v>
      </c>
      <c r="BX88" s="25">
        <v>-1.2357428073883057</v>
      </c>
      <c r="BY88" s="25">
        <v>0</v>
      </c>
      <c r="BZ88" s="25">
        <v>0</v>
      </c>
      <c r="CA88" s="25">
        <v>0</v>
      </c>
      <c r="CB88" s="25">
        <v>9.9220094680786133</v>
      </c>
      <c r="CD88" s="25">
        <v>6</v>
      </c>
      <c r="CE88" s="25">
        <v>2</v>
      </c>
      <c r="CF88" s="25">
        <v>0</v>
      </c>
      <c r="CG88" s="25">
        <v>-297.16741943359375</v>
      </c>
      <c r="CH88" s="25">
        <v>-0.61387449502944946</v>
      </c>
      <c r="CI88" s="25">
        <v>0</v>
      </c>
      <c r="CJ88" s="25">
        <v>0</v>
      </c>
      <c r="CK88" s="25">
        <v>0</v>
      </c>
      <c r="CL88" s="25">
        <v>6.1263852119445801</v>
      </c>
      <c r="CN88" s="25">
        <v>6</v>
      </c>
      <c r="CO88" s="25">
        <v>2</v>
      </c>
      <c r="CP88" s="25">
        <v>0</v>
      </c>
      <c r="CQ88" s="25">
        <v>42.119068145751953</v>
      </c>
      <c r="CR88" s="25">
        <v>5.0293333828449249E-2</v>
      </c>
      <c r="CS88" s="25">
        <v>0</v>
      </c>
      <c r="CT88" s="25">
        <v>0</v>
      </c>
      <c r="CU88" s="25">
        <v>0</v>
      </c>
      <c r="CV88" s="25">
        <v>5.0816330909729004</v>
      </c>
      <c r="CX88" s="25">
        <v>6</v>
      </c>
      <c r="CY88" s="25">
        <v>2</v>
      </c>
      <c r="CZ88" s="25">
        <v>0</v>
      </c>
      <c r="DA88" s="25">
        <v>-427.11962890625</v>
      </c>
      <c r="DB88" s="25">
        <v>-1.2357428073883057</v>
      </c>
      <c r="DC88" s="25">
        <v>0</v>
      </c>
      <c r="DD88" s="25">
        <v>0</v>
      </c>
      <c r="DE88" s="25">
        <v>0</v>
      </c>
      <c r="DF88" s="25">
        <v>9.9220094680786133</v>
      </c>
      <c r="DH88" s="25">
        <v>6</v>
      </c>
      <c r="DI88" s="25">
        <v>2</v>
      </c>
      <c r="DJ88" s="25">
        <v>0</v>
      </c>
      <c r="DK88" s="25">
        <v>-297.16741943359375</v>
      </c>
      <c r="DL88" s="25">
        <v>-0.61387449502944946</v>
      </c>
      <c r="DM88" s="25">
        <v>0</v>
      </c>
      <c r="DN88" s="25">
        <v>0</v>
      </c>
      <c r="DO88" s="25">
        <v>0</v>
      </c>
      <c r="DP88" s="25">
        <v>6.1263852119445801</v>
      </c>
      <c r="DR88" s="25">
        <v>6</v>
      </c>
      <c r="DS88" s="25">
        <v>2</v>
      </c>
      <c r="DT88" s="25">
        <v>0</v>
      </c>
      <c r="DU88" s="25">
        <v>42.119068145751953</v>
      </c>
      <c r="DV88" s="25">
        <v>5.0293333828449249E-2</v>
      </c>
      <c r="DW88" s="25">
        <v>0</v>
      </c>
      <c r="DX88" s="25">
        <v>0</v>
      </c>
      <c r="DY88" s="25">
        <v>0</v>
      </c>
      <c r="DZ88" s="25">
        <v>5.0816330909729004</v>
      </c>
      <c r="EB88" s="25">
        <v>6</v>
      </c>
      <c r="EC88" s="25">
        <v>2</v>
      </c>
      <c r="ED88" s="25">
        <v>0</v>
      </c>
      <c r="EE88" s="25">
        <v>65.051536560058594</v>
      </c>
      <c r="EF88" s="25">
        <v>18.616500854492188</v>
      </c>
      <c r="EG88" s="25">
        <v>0</v>
      </c>
      <c r="EH88" s="25">
        <v>0</v>
      </c>
      <c r="EI88" s="25">
        <v>0</v>
      </c>
      <c r="EJ88" s="25">
        <v>-183.82780456542969</v>
      </c>
      <c r="EL88" s="25">
        <v>6</v>
      </c>
      <c r="EM88" s="25">
        <v>2</v>
      </c>
      <c r="EN88" s="25">
        <v>0</v>
      </c>
      <c r="EO88" s="25">
        <v>33.8817138671875</v>
      </c>
      <c r="EP88" s="25">
        <v>10.197101593017578</v>
      </c>
      <c r="EQ88" s="25">
        <v>0</v>
      </c>
      <c r="ER88" s="25">
        <v>0</v>
      </c>
      <c r="ES88" s="25">
        <v>0</v>
      </c>
      <c r="ET88" s="25">
        <v>-100.75060272216797</v>
      </c>
      <c r="EV88" s="25">
        <v>6</v>
      </c>
      <c r="EW88" s="25">
        <v>2</v>
      </c>
      <c r="EX88" s="25">
        <v>0</v>
      </c>
      <c r="EY88" s="25">
        <v>454.31521606445312</v>
      </c>
      <c r="EZ88" s="25">
        <v>147.19502258300781</v>
      </c>
      <c r="FA88" s="25">
        <v>0</v>
      </c>
      <c r="FB88" s="25">
        <v>0</v>
      </c>
      <c r="FC88" s="25">
        <v>0</v>
      </c>
      <c r="FD88" s="25">
        <v>-1456.5115966796875</v>
      </c>
      <c r="FF88" s="25">
        <v>6</v>
      </c>
      <c r="FG88" s="25">
        <v>2</v>
      </c>
      <c r="FH88" s="25">
        <v>0</v>
      </c>
      <c r="FI88" s="25">
        <v>880.189697265625</v>
      </c>
      <c r="FJ88" s="25">
        <v>294.4024658203125</v>
      </c>
      <c r="FK88" s="25">
        <v>0</v>
      </c>
      <c r="FL88" s="25">
        <v>0</v>
      </c>
      <c r="FM88" s="25">
        <v>0</v>
      </c>
      <c r="FN88" s="25">
        <v>-2913.87890625</v>
      </c>
    </row>
    <row r="89" spans="2:170">
      <c r="C89" s="25">
        <v>7</v>
      </c>
      <c r="D89" s="25">
        <v>1.5249999761581421</v>
      </c>
      <c r="E89" s="25">
        <v>-4565.0615234375</v>
      </c>
      <c r="F89" s="25">
        <v>-33.370525360107422</v>
      </c>
      <c r="G89" s="25">
        <v>0</v>
      </c>
      <c r="H89" s="25">
        <v>0</v>
      </c>
      <c r="I89" s="25">
        <v>0</v>
      </c>
      <c r="J89" s="25">
        <v>365.10513305664062</v>
      </c>
      <c r="M89" s="25">
        <v>7</v>
      </c>
      <c r="N89" s="25">
        <v>1.5249999761581421</v>
      </c>
      <c r="O89" s="25">
        <v>-2704.9423828125</v>
      </c>
      <c r="P89" s="25">
        <v>-36.456501007080078</v>
      </c>
      <c r="Q89" s="25">
        <v>0</v>
      </c>
      <c r="R89" s="25">
        <v>0</v>
      </c>
      <c r="S89" s="25">
        <v>0</v>
      </c>
      <c r="T89" s="25">
        <v>381.22598266601562</v>
      </c>
      <c r="W89" s="25">
        <v>7</v>
      </c>
      <c r="X89" s="25">
        <v>1.5249999761581421</v>
      </c>
      <c r="Y89" s="25">
        <v>34.640914916992188</v>
      </c>
      <c r="Z89" s="25">
        <v>62.533592224121094</v>
      </c>
      <c r="AA89" s="25">
        <v>0</v>
      </c>
      <c r="AB89" s="25">
        <v>0</v>
      </c>
      <c r="AC89" s="25">
        <v>0</v>
      </c>
      <c r="AD89" s="25">
        <v>-521.570556640625</v>
      </c>
      <c r="AG89" s="25">
        <v>7</v>
      </c>
      <c r="AH89" s="25">
        <v>1.5249999761581421</v>
      </c>
      <c r="AI89" s="25">
        <v>-52.043552398681641</v>
      </c>
      <c r="AJ89" s="25">
        <v>-69.797004699707031</v>
      </c>
      <c r="AK89" s="25">
        <v>0</v>
      </c>
      <c r="AL89" s="25">
        <v>0</v>
      </c>
      <c r="AM89" s="25">
        <v>0</v>
      </c>
      <c r="AN89" s="25">
        <v>584.3209228515625</v>
      </c>
      <c r="AQ89" s="25">
        <v>7</v>
      </c>
      <c r="AR89" s="25">
        <v>1.5249999761581421</v>
      </c>
      <c r="AS89" s="25">
        <v>-75.985488891601563</v>
      </c>
      <c r="AT89" s="25">
        <v>-0.9002068042755127</v>
      </c>
      <c r="AU89" s="25">
        <v>0</v>
      </c>
      <c r="AV89" s="25">
        <v>0</v>
      </c>
      <c r="AW89" s="25">
        <v>0</v>
      </c>
      <c r="AX89" s="25">
        <v>9.7772092819213867</v>
      </c>
      <c r="BA89" s="25">
        <v>7</v>
      </c>
      <c r="BB89" s="25">
        <v>1.5249999761581421</v>
      </c>
      <c r="BC89" s="25">
        <v>-181.37562561035156</v>
      </c>
      <c r="BD89" s="25">
        <v>-2.0744540691375732</v>
      </c>
      <c r="BE89" s="25">
        <v>0</v>
      </c>
      <c r="BF89" s="25">
        <v>0</v>
      </c>
      <c r="BG89" s="25">
        <v>0</v>
      </c>
      <c r="BH89" s="25">
        <v>22.535970687866211</v>
      </c>
      <c r="BK89" s="25">
        <v>7</v>
      </c>
      <c r="BL89" s="25">
        <v>1.5249999761581421</v>
      </c>
      <c r="BM89" s="25">
        <v>-342.70645141601562</v>
      </c>
      <c r="BN89" s="25">
        <v>-3.9183387756347656</v>
      </c>
      <c r="BO89" s="25">
        <v>0</v>
      </c>
      <c r="BP89" s="25">
        <v>0</v>
      </c>
      <c r="BQ89" s="25">
        <v>0</v>
      </c>
      <c r="BR89" s="25">
        <v>42.567127227783203</v>
      </c>
      <c r="BU89" s="25">
        <v>7</v>
      </c>
      <c r="BV89" s="25">
        <v>1.5249999761581421</v>
      </c>
      <c r="BW89" s="25">
        <v>-427.11962890625</v>
      </c>
      <c r="BX89" s="25">
        <v>-1.2357428073883057</v>
      </c>
      <c r="BY89" s="25">
        <v>0</v>
      </c>
      <c r="BZ89" s="25">
        <v>0</v>
      </c>
      <c r="CA89" s="25">
        <v>0</v>
      </c>
      <c r="CB89" s="25">
        <v>8.037501335144043</v>
      </c>
      <c r="CE89" s="25">
        <v>7</v>
      </c>
      <c r="CF89" s="25">
        <v>1.5249999761581421</v>
      </c>
      <c r="CG89" s="25">
        <v>-297.16741943359375</v>
      </c>
      <c r="CH89" s="25">
        <v>-0.61387449502944946</v>
      </c>
      <c r="CI89" s="25">
        <v>0</v>
      </c>
      <c r="CJ89" s="25">
        <v>0</v>
      </c>
      <c r="CK89" s="25">
        <v>0</v>
      </c>
      <c r="CL89" s="25">
        <v>5.1902265548706055</v>
      </c>
      <c r="CO89" s="25">
        <v>7</v>
      </c>
      <c r="CP89" s="25">
        <v>1.5249999761581421</v>
      </c>
      <c r="CQ89" s="25">
        <v>42.119068145751953</v>
      </c>
      <c r="CR89" s="25">
        <v>5.0293333828449249E-2</v>
      </c>
      <c r="CS89" s="25">
        <v>0</v>
      </c>
      <c r="CT89" s="25">
        <v>0</v>
      </c>
      <c r="CU89" s="25">
        <v>0</v>
      </c>
      <c r="CV89" s="25">
        <v>5.1583304405212402</v>
      </c>
      <c r="CY89" s="25">
        <v>7</v>
      </c>
      <c r="CZ89" s="25">
        <v>1.5249999761581421</v>
      </c>
      <c r="DA89" s="25">
        <v>-427.11962890625</v>
      </c>
      <c r="DB89" s="25">
        <v>-1.2357428073883057</v>
      </c>
      <c r="DC89" s="25">
        <v>0</v>
      </c>
      <c r="DD89" s="25">
        <v>0</v>
      </c>
      <c r="DE89" s="25">
        <v>0</v>
      </c>
      <c r="DF89" s="25">
        <v>8.037501335144043</v>
      </c>
      <c r="DI89" s="25">
        <v>7</v>
      </c>
      <c r="DJ89" s="25">
        <v>1.5249999761581421</v>
      </c>
      <c r="DK89" s="25">
        <v>-297.16741943359375</v>
      </c>
      <c r="DL89" s="25">
        <v>-0.61387449502944946</v>
      </c>
      <c r="DM89" s="25">
        <v>0</v>
      </c>
      <c r="DN89" s="25">
        <v>0</v>
      </c>
      <c r="DO89" s="25">
        <v>0</v>
      </c>
      <c r="DP89" s="25">
        <v>5.1902265548706055</v>
      </c>
      <c r="DS89" s="25">
        <v>7</v>
      </c>
      <c r="DT89" s="25">
        <v>1.5249999761581421</v>
      </c>
      <c r="DU89" s="25">
        <v>42.119068145751953</v>
      </c>
      <c r="DV89" s="25">
        <v>5.0293333828449249E-2</v>
      </c>
      <c r="DW89" s="25">
        <v>0</v>
      </c>
      <c r="DX89" s="25">
        <v>0</v>
      </c>
      <c r="DY89" s="25">
        <v>0</v>
      </c>
      <c r="DZ89" s="25">
        <v>5.1583304405212402</v>
      </c>
      <c r="EC89" s="25">
        <v>7</v>
      </c>
      <c r="ED89" s="25">
        <v>1.5249999761581421</v>
      </c>
      <c r="EE89" s="25">
        <v>65.051536560058594</v>
      </c>
      <c r="EF89" s="25">
        <v>18.616500854492188</v>
      </c>
      <c r="EG89" s="25">
        <v>0</v>
      </c>
      <c r="EH89" s="25">
        <v>0</v>
      </c>
      <c r="EI89" s="25">
        <v>0</v>
      </c>
      <c r="EJ89" s="25">
        <v>-155.43763732910156</v>
      </c>
      <c r="EM89" s="25">
        <v>7</v>
      </c>
      <c r="EN89" s="25">
        <v>1.5249999761581421</v>
      </c>
      <c r="EO89" s="25">
        <v>33.8817138671875</v>
      </c>
      <c r="EP89" s="25">
        <v>10.197101593017578</v>
      </c>
      <c r="EQ89" s="25">
        <v>0</v>
      </c>
      <c r="ER89" s="25">
        <v>0</v>
      </c>
      <c r="ES89" s="25">
        <v>0</v>
      </c>
      <c r="ET89" s="25">
        <v>-85.200019836425781</v>
      </c>
      <c r="EW89" s="25">
        <v>7</v>
      </c>
      <c r="EX89" s="25">
        <v>1.5249999761581421</v>
      </c>
      <c r="EY89" s="25">
        <v>454.31521606445312</v>
      </c>
      <c r="EZ89" s="25">
        <v>147.19502258300781</v>
      </c>
      <c r="FA89" s="25">
        <v>0</v>
      </c>
      <c r="FB89" s="25">
        <v>0</v>
      </c>
      <c r="FC89" s="25">
        <v>0</v>
      </c>
      <c r="FD89" s="25">
        <v>-1232.0391845703125</v>
      </c>
      <c r="FG89" s="25">
        <v>7</v>
      </c>
      <c r="FH89" s="25">
        <v>1.5249999761581421</v>
      </c>
      <c r="FI89" s="25">
        <v>880.189697265625</v>
      </c>
      <c r="FJ89" s="25">
        <v>294.4024658203125</v>
      </c>
      <c r="FK89" s="25">
        <v>0</v>
      </c>
      <c r="FL89" s="25">
        <v>0</v>
      </c>
      <c r="FM89" s="25">
        <v>0</v>
      </c>
      <c r="FN89" s="25">
        <v>-2464.9150390625</v>
      </c>
    </row>
    <row r="90" spans="2:170">
      <c r="B90" s="25">
        <v>7</v>
      </c>
      <c r="C90" s="25">
        <v>7</v>
      </c>
      <c r="D90" s="25">
        <v>0</v>
      </c>
      <c r="E90" s="25">
        <v>-4565.0615234375</v>
      </c>
      <c r="F90" s="25">
        <v>-33.370525360107422</v>
      </c>
      <c r="G90" s="25">
        <v>0</v>
      </c>
      <c r="H90" s="25">
        <v>0</v>
      </c>
      <c r="I90" s="25">
        <v>0</v>
      </c>
      <c r="J90" s="25">
        <v>365.10513305664062</v>
      </c>
      <c r="L90" s="25">
        <v>7</v>
      </c>
      <c r="M90" s="25">
        <v>7</v>
      </c>
      <c r="N90" s="25">
        <v>0</v>
      </c>
      <c r="O90" s="25">
        <v>-2704.9423828125</v>
      </c>
      <c r="P90" s="25">
        <v>-36.456501007080078</v>
      </c>
      <c r="Q90" s="25">
        <v>0</v>
      </c>
      <c r="R90" s="25">
        <v>0</v>
      </c>
      <c r="S90" s="25">
        <v>0</v>
      </c>
      <c r="T90" s="25">
        <v>381.22598266601562</v>
      </c>
      <c r="V90" s="25">
        <v>7</v>
      </c>
      <c r="W90" s="25">
        <v>7</v>
      </c>
      <c r="X90" s="25">
        <v>0</v>
      </c>
      <c r="Y90" s="25">
        <v>34.640914916992188</v>
      </c>
      <c r="Z90" s="25">
        <v>62.533592224121094</v>
      </c>
      <c r="AA90" s="25">
        <v>0</v>
      </c>
      <c r="AB90" s="25">
        <v>0</v>
      </c>
      <c r="AC90" s="25">
        <v>0</v>
      </c>
      <c r="AD90" s="25">
        <v>-521.570556640625</v>
      </c>
      <c r="AF90" s="25">
        <v>7</v>
      </c>
      <c r="AG90" s="25">
        <v>7</v>
      </c>
      <c r="AH90" s="25">
        <v>0</v>
      </c>
      <c r="AI90" s="25">
        <v>-52.043552398681641</v>
      </c>
      <c r="AJ90" s="25">
        <v>-69.797004699707031</v>
      </c>
      <c r="AK90" s="25">
        <v>0</v>
      </c>
      <c r="AL90" s="25">
        <v>0</v>
      </c>
      <c r="AM90" s="25">
        <v>0</v>
      </c>
      <c r="AN90" s="25">
        <v>584.3209228515625</v>
      </c>
      <c r="AP90" s="25">
        <v>7</v>
      </c>
      <c r="AQ90" s="25">
        <v>7</v>
      </c>
      <c r="AR90" s="25">
        <v>0</v>
      </c>
      <c r="AS90" s="25">
        <v>-75.985488891601563</v>
      </c>
      <c r="AT90" s="25">
        <v>-0.9002068042755127</v>
      </c>
      <c r="AU90" s="25">
        <v>0</v>
      </c>
      <c r="AV90" s="25">
        <v>0</v>
      </c>
      <c r="AW90" s="25">
        <v>0</v>
      </c>
      <c r="AX90" s="25">
        <v>9.7772092819213867</v>
      </c>
      <c r="AZ90" s="25">
        <v>7</v>
      </c>
      <c r="BA90" s="25">
        <v>7</v>
      </c>
      <c r="BB90" s="25">
        <v>0</v>
      </c>
      <c r="BC90" s="25">
        <v>-181.37562561035156</v>
      </c>
      <c r="BD90" s="25">
        <v>-2.0744540691375732</v>
      </c>
      <c r="BE90" s="25">
        <v>0</v>
      </c>
      <c r="BF90" s="25">
        <v>0</v>
      </c>
      <c r="BG90" s="25">
        <v>0</v>
      </c>
      <c r="BH90" s="25">
        <v>22.535970687866211</v>
      </c>
      <c r="BJ90" s="25">
        <v>7</v>
      </c>
      <c r="BK90" s="25">
        <v>7</v>
      </c>
      <c r="BL90" s="25">
        <v>0</v>
      </c>
      <c r="BM90" s="25">
        <v>-342.70645141601562</v>
      </c>
      <c r="BN90" s="25">
        <v>-3.9183387756347656</v>
      </c>
      <c r="BO90" s="25">
        <v>0</v>
      </c>
      <c r="BP90" s="25">
        <v>0</v>
      </c>
      <c r="BQ90" s="25">
        <v>0</v>
      </c>
      <c r="BR90" s="25">
        <v>42.567127227783203</v>
      </c>
      <c r="BT90" s="25">
        <v>7</v>
      </c>
      <c r="BU90" s="25">
        <v>7</v>
      </c>
      <c r="BV90" s="25">
        <v>0</v>
      </c>
      <c r="BW90" s="25">
        <v>-427.11962890625</v>
      </c>
      <c r="BX90" s="25">
        <v>-1.2357428073883057</v>
      </c>
      <c r="BY90" s="25">
        <v>0</v>
      </c>
      <c r="BZ90" s="25">
        <v>0</v>
      </c>
      <c r="CA90" s="25">
        <v>0</v>
      </c>
      <c r="CB90" s="25">
        <v>8.037501335144043</v>
      </c>
      <c r="CD90" s="25">
        <v>7</v>
      </c>
      <c r="CE90" s="25">
        <v>7</v>
      </c>
      <c r="CF90" s="25">
        <v>0</v>
      </c>
      <c r="CG90" s="25">
        <v>-297.16741943359375</v>
      </c>
      <c r="CH90" s="25">
        <v>-0.61387449502944946</v>
      </c>
      <c r="CI90" s="25">
        <v>0</v>
      </c>
      <c r="CJ90" s="25">
        <v>0</v>
      </c>
      <c r="CK90" s="25">
        <v>0</v>
      </c>
      <c r="CL90" s="25">
        <v>5.1902265548706055</v>
      </c>
      <c r="CN90" s="25">
        <v>7</v>
      </c>
      <c r="CO90" s="25">
        <v>7</v>
      </c>
      <c r="CP90" s="25">
        <v>0</v>
      </c>
      <c r="CQ90" s="25">
        <v>42.119068145751953</v>
      </c>
      <c r="CR90" s="25">
        <v>5.0293333828449249E-2</v>
      </c>
      <c r="CS90" s="25">
        <v>0</v>
      </c>
      <c r="CT90" s="25">
        <v>0</v>
      </c>
      <c r="CU90" s="25">
        <v>0</v>
      </c>
      <c r="CV90" s="25">
        <v>5.1583304405212402</v>
      </c>
      <c r="CX90" s="25">
        <v>7</v>
      </c>
      <c r="CY90" s="25">
        <v>7</v>
      </c>
      <c r="CZ90" s="25">
        <v>0</v>
      </c>
      <c r="DA90" s="25">
        <v>-427.11962890625</v>
      </c>
      <c r="DB90" s="25">
        <v>-1.2357428073883057</v>
      </c>
      <c r="DC90" s="25">
        <v>0</v>
      </c>
      <c r="DD90" s="25">
        <v>0</v>
      </c>
      <c r="DE90" s="25">
        <v>0</v>
      </c>
      <c r="DF90" s="25">
        <v>8.037501335144043</v>
      </c>
      <c r="DH90" s="25">
        <v>7</v>
      </c>
      <c r="DI90" s="25">
        <v>7</v>
      </c>
      <c r="DJ90" s="25">
        <v>0</v>
      </c>
      <c r="DK90" s="25">
        <v>-297.16741943359375</v>
      </c>
      <c r="DL90" s="25">
        <v>-0.61387449502944946</v>
      </c>
      <c r="DM90" s="25">
        <v>0</v>
      </c>
      <c r="DN90" s="25">
        <v>0</v>
      </c>
      <c r="DO90" s="25">
        <v>0</v>
      </c>
      <c r="DP90" s="25">
        <v>5.1902265548706055</v>
      </c>
      <c r="DR90" s="25">
        <v>7</v>
      </c>
      <c r="DS90" s="25">
        <v>7</v>
      </c>
      <c r="DT90" s="25">
        <v>0</v>
      </c>
      <c r="DU90" s="25">
        <v>42.119068145751953</v>
      </c>
      <c r="DV90" s="25">
        <v>5.0293333828449249E-2</v>
      </c>
      <c r="DW90" s="25">
        <v>0</v>
      </c>
      <c r="DX90" s="25">
        <v>0</v>
      </c>
      <c r="DY90" s="25">
        <v>0</v>
      </c>
      <c r="DZ90" s="25">
        <v>5.1583304405212402</v>
      </c>
      <c r="EB90" s="25">
        <v>7</v>
      </c>
      <c r="EC90" s="25">
        <v>7</v>
      </c>
      <c r="ED90" s="25">
        <v>0</v>
      </c>
      <c r="EE90" s="25">
        <v>65.051536560058594</v>
      </c>
      <c r="EF90" s="25">
        <v>18.616500854492188</v>
      </c>
      <c r="EG90" s="25">
        <v>0</v>
      </c>
      <c r="EH90" s="25">
        <v>0</v>
      </c>
      <c r="EI90" s="25">
        <v>0</v>
      </c>
      <c r="EJ90" s="25">
        <v>-155.43763732910156</v>
      </c>
      <c r="EL90" s="25">
        <v>7</v>
      </c>
      <c r="EM90" s="25">
        <v>7</v>
      </c>
      <c r="EN90" s="25">
        <v>0</v>
      </c>
      <c r="EO90" s="25">
        <v>33.8817138671875</v>
      </c>
      <c r="EP90" s="25">
        <v>10.197101593017578</v>
      </c>
      <c r="EQ90" s="25">
        <v>0</v>
      </c>
      <c r="ER90" s="25">
        <v>0</v>
      </c>
      <c r="ES90" s="25">
        <v>0</v>
      </c>
      <c r="ET90" s="25">
        <v>-85.200019836425781</v>
      </c>
      <c r="EV90" s="25">
        <v>7</v>
      </c>
      <c r="EW90" s="25">
        <v>7</v>
      </c>
      <c r="EX90" s="25">
        <v>0</v>
      </c>
      <c r="EY90" s="25">
        <v>454.31521606445312</v>
      </c>
      <c r="EZ90" s="25">
        <v>147.19502258300781</v>
      </c>
      <c r="FA90" s="25">
        <v>0</v>
      </c>
      <c r="FB90" s="25">
        <v>0</v>
      </c>
      <c r="FC90" s="25">
        <v>0</v>
      </c>
      <c r="FD90" s="25">
        <v>-1232.0391845703125</v>
      </c>
      <c r="FF90" s="25">
        <v>7</v>
      </c>
      <c r="FG90" s="25">
        <v>7</v>
      </c>
      <c r="FH90" s="25">
        <v>0</v>
      </c>
      <c r="FI90" s="25">
        <v>880.189697265625</v>
      </c>
      <c r="FJ90" s="25">
        <v>294.4024658203125</v>
      </c>
      <c r="FK90" s="25">
        <v>0</v>
      </c>
      <c r="FL90" s="25">
        <v>0</v>
      </c>
      <c r="FM90" s="25">
        <v>0</v>
      </c>
      <c r="FN90" s="25">
        <v>-2464.9150390625</v>
      </c>
    </row>
    <row r="91" spans="2:170">
      <c r="C91" s="25">
        <v>11</v>
      </c>
      <c r="D91" s="25">
        <v>17.075000762939453</v>
      </c>
      <c r="E91" s="25">
        <v>-7561.36181640625</v>
      </c>
      <c r="F91" s="25">
        <v>-33.370525360107422</v>
      </c>
      <c r="G91" s="25">
        <v>0</v>
      </c>
      <c r="H91" s="25">
        <v>0</v>
      </c>
      <c r="I91" s="25">
        <v>0</v>
      </c>
      <c r="J91" s="25">
        <v>-204.69662475585937</v>
      </c>
      <c r="N91" s="25">
        <v>0.47499999403953552</v>
      </c>
      <c r="O91" s="25">
        <v>-2704.9423828125</v>
      </c>
      <c r="P91" s="25">
        <v>-36.456501007080078</v>
      </c>
      <c r="Q91" s="25">
        <v>0</v>
      </c>
      <c r="R91" s="25">
        <v>0</v>
      </c>
      <c r="S91" s="25">
        <v>0</v>
      </c>
      <c r="T91" s="25">
        <v>363.90914916992187</v>
      </c>
      <c r="X91" s="25">
        <v>0.47499999403953552</v>
      </c>
      <c r="Y91" s="25">
        <v>34.640914916992188</v>
      </c>
      <c r="Z91" s="25">
        <v>62.533592224121094</v>
      </c>
      <c r="AA91" s="25">
        <v>0</v>
      </c>
      <c r="AB91" s="25">
        <v>0</v>
      </c>
      <c r="AC91" s="25">
        <v>0</v>
      </c>
      <c r="AD91" s="25">
        <v>-491.86709594726562</v>
      </c>
      <c r="AH91" s="25">
        <v>0.47499999403953552</v>
      </c>
      <c r="AI91" s="25">
        <v>-52.043552398681641</v>
      </c>
      <c r="AJ91" s="25">
        <v>-69.797004699707031</v>
      </c>
      <c r="AK91" s="25">
        <v>0</v>
      </c>
      <c r="AL91" s="25">
        <v>0</v>
      </c>
      <c r="AM91" s="25">
        <v>0</v>
      </c>
      <c r="AN91" s="25">
        <v>551.1673583984375</v>
      </c>
      <c r="AR91" s="25">
        <v>0.47499999403953552</v>
      </c>
      <c r="AS91" s="25">
        <v>-75.985488891601563</v>
      </c>
      <c r="AT91" s="25">
        <v>-0.9002068042755127</v>
      </c>
      <c r="AU91" s="25">
        <v>0</v>
      </c>
      <c r="AV91" s="25">
        <v>0</v>
      </c>
      <c r="AW91" s="25">
        <v>0</v>
      </c>
      <c r="AX91" s="25">
        <v>9.3496112823486328</v>
      </c>
      <c r="BB91" s="25">
        <v>0.47499999403953552</v>
      </c>
      <c r="BC91" s="25">
        <v>-181.37562561035156</v>
      </c>
      <c r="BD91" s="25">
        <v>-2.0744540691375732</v>
      </c>
      <c r="BE91" s="25">
        <v>0</v>
      </c>
      <c r="BF91" s="25">
        <v>0</v>
      </c>
      <c r="BG91" s="25">
        <v>0</v>
      </c>
      <c r="BH91" s="25">
        <v>21.550605773925781</v>
      </c>
      <c r="BL91" s="25">
        <v>0.47499999403953552</v>
      </c>
      <c r="BM91" s="25">
        <v>-342.70645141601562</v>
      </c>
      <c r="BN91" s="25">
        <v>-3.9183387756347656</v>
      </c>
      <c r="BO91" s="25">
        <v>0</v>
      </c>
      <c r="BP91" s="25">
        <v>0</v>
      </c>
      <c r="BQ91" s="25">
        <v>0</v>
      </c>
      <c r="BR91" s="25">
        <v>40.705917358398438</v>
      </c>
      <c r="BV91" s="25">
        <v>0.47499999403953552</v>
      </c>
      <c r="BW91" s="25">
        <v>-427.11962890625</v>
      </c>
      <c r="BX91" s="25">
        <v>-1.2357428073883057</v>
      </c>
      <c r="BY91" s="25">
        <v>0</v>
      </c>
      <c r="BZ91" s="25">
        <v>0</v>
      </c>
      <c r="CA91" s="25">
        <v>0</v>
      </c>
      <c r="CB91" s="25">
        <v>7.450523853302002</v>
      </c>
      <c r="CF91" s="25">
        <v>0.47499999403953552</v>
      </c>
      <c r="CG91" s="25">
        <v>-297.16741943359375</v>
      </c>
      <c r="CH91" s="25">
        <v>-0.61387449502944946</v>
      </c>
      <c r="CI91" s="25">
        <v>0</v>
      </c>
      <c r="CJ91" s="25">
        <v>0</v>
      </c>
      <c r="CK91" s="25">
        <v>0</v>
      </c>
      <c r="CL91" s="25">
        <v>4.8986363410949707</v>
      </c>
      <c r="CP91" s="25">
        <v>0.47499999403953552</v>
      </c>
      <c r="CQ91" s="25">
        <v>42.119068145751953</v>
      </c>
      <c r="CR91" s="25">
        <v>5.0293333828449249E-2</v>
      </c>
      <c r="CS91" s="25">
        <v>0</v>
      </c>
      <c r="CT91" s="25">
        <v>0</v>
      </c>
      <c r="CU91" s="25">
        <v>0</v>
      </c>
      <c r="CV91" s="25">
        <v>5.1822195053100586</v>
      </c>
      <c r="CZ91" s="25">
        <v>0.47499999403953552</v>
      </c>
      <c r="DA91" s="25">
        <v>-427.11962890625</v>
      </c>
      <c r="DB91" s="25">
        <v>-1.2357428073883057</v>
      </c>
      <c r="DC91" s="25">
        <v>0</v>
      </c>
      <c r="DD91" s="25">
        <v>0</v>
      </c>
      <c r="DE91" s="25">
        <v>0</v>
      </c>
      <c r="DF91" s="25">
        <v>7.450523853302002</v>
      </c>
      <c r="DJ91" s="25">
        <v>0.47499999403953552</v>
      </c>
      <c r="DK91" s="25">
        <v>-297.16741943359375</v>
      </c>
      <c r="DL91" s="25">
        <v>-0.61387449502944946</v>
      </c>
      <c r="DM91" s="25">
        <v>0</v>
      </c>
      <c r="DN91" s="25">
        <v>0</v>
      </c>
      <c r="DO91" s="25">
        <v>0</v>
      </c>
      <c r="DP91" s="25">
        <v>4.8986363410949707</v>
      </c>
      <c r="DT91" s="25">
        <v>0.47499999403953552</v>
      </c>
      <c r="DU91" s="25">
        <v>42.119068145751953</v>
      </c>
      <c r="DV91" s="25">
        <v>5.0293333828449249E-2</v>
      </c>
      <c r="DW91" s="25">
        <v>0</v>
      </c>
      <c r="DX91" s="25">
        <v>0</v>
      </c>
      <c r="DY91" s="25">
        <v>0</v>
      </c>
      <c r="DZ91" s="25">
        <v>5.1822195053100586</v>
      </c>
      <c r="ED91" s="25">
        <v>0.47499999403953552</v>
      </c>
      <c r="EE91" s="25">
        <v>65.051536560058594</v>
      </c>
      <c r="EF91" s="25">
        <v>18.616500854492188</v>
      </c>
      <c r="EG91" s="25">
        <v>0</v>
      </c>
      <c r="EH91" s="25">
        <v>0</v>
      </c>
      <c r="EI91" s="25">
        <v>0</v>
      </c>
      <c r="EJ91" s="25">
        <v>-146.59480285644531</v>
      </c>
      <c r="EN91" s="25">
        <v>0.47499999403953552</v>
      </c>
      <c r="EO91" s="25">
        <v>33.8817138671875</v>
      </c>
      <c r="EP91" s="25">
        <v>10.197101593017578</v>
      </c>
      <c r="EQ91" s="25">
        <v>0</v>
      </c>
      <c r="ER91" s="25">
        <v>0</v>
      </c>
      <c r="ES91" s="25">
        <v>0</v>
      </c>
      <c r="ET91" s="25">
        <v>-80.356399536132813</v>
      </c>
      <c r="EX91" s="25">
        <v>0.47499999403953552</v>
      </c>
      <c r="EY91" s="25">
        <v>454.31521606445312</v>
      </c>
      <c r="EZ91" s="25">
        <v>147.19502258300781</v>
      </c>
      <c r="FA91" s="25">
        <v>0</v>
      </c>
      <c r="FB91" s="25">
        <v>0</v>
      </c>
      <c r="FC91" s="25">
        <v>0</v>
      </c>
      <c r="FD91" s="25">
        <v>-1162.12158203125</v>
      </c>
      <c r="FH91" s="25">
        <v>0.47499999403953552</v>
      </c>
      <c r="FI91" s="25">
        <v>880.189697265625</v>
      </c>
      <c r="FJ91" s="25">
        <v>294.4024658203125</v>
      </c>
      <c r="FK91" s="25">
        <v>0</v>
      </c>
      <c r="FL91" s="25">
        <v>0</v>
      </c>
      <c r="FM91" s="25">
        <v>0</v>
      </c>
      <c r="FN91" s="25">
        <v>-2325.073974609375</v>
      </c>
    </row>
    <row r="92" spans="2:170">
      <c r="B92" s="25">
        <v>8</v>
      </c>
      <c r="C92" s="25">
        <v>3</v>
      </c>
      <c r="D92" s="25">
        <v>0</v>
      </c>
      <c r="E92" s="25">
        <v>-5930.5185546875</v>
      </c>
      <c r="F92" s="25">
        <v>-9.2187128067016602</v>
      </c>
      <c r="G92" s="25">
        <v>0</v>
      </c>
      <c r="H92" s="25">
        <v>0</v>
      </c>
      <c r="I92" s="25">
        <v>0</v>
      </c>
      <c r="J92" s="25">
        <v>114.37158966064453</v>
      </c>
      <c r="M92" s="25">
        <v>11</v>
      </c>
      <c r="N92" s="25">
        <v>17.075000762939453</v>
      </c>
      <c r="O92" s="25">
        <v>-2704.9423828125</v>
      </c>
      <c r="P92" s="25">
        <v>-36.456501007080078</v>
      </c>
      <c r="Q92" s="25">
        <v>0</v>
      </c>
      <c r="R92" s="25">
        <v>0</v>
      </c>
      <c r="S92" s="25">
        <v>0</v>
      </c>
      <c r="T92" s="25">
        <v>-241.26873779296875</v>
      </c>
      <c r="W92" s="25">
        <v>11</v>
      </c>
      <c r="X92" s="25">
        <v>17.075000762939453</v>
      </c>
      <c r="Y92" s="25">
        <v>34.640914916992188</v>
      </c>
      <c r="Z92" s="25">
        <v>62.533592224121094</v>
      </c>
      <c r="AA92" s="25">
        <v>0</v>
      </c>
      <c r="AB92" s="25">
        <v>0</v>
      </c>
      <c r="AC92" s="25">
        <v>0</v>
      </c>
      <c r="AD92" s="25">
        <v>546.19049072265625</v>
      </c>
      <c r="AG92" s="25">
        <v>11</v>
      </c>
      <c r="AH92" s="25">
        <v>17.075000762939453</v>
      </c>
      <c r="AI92" s="25">
        <v>-52.043552398681641</v>
      </c>
      <c r="AJ92" s="25">
        <v>-69.797004699707031</v>
      </c>
      <c r="AK92" s="25">
        <v>0</v>
      </c>
      <c r="AL92" s="25">
        <v>0</v>
      </c>
      <c r="AM92" s="25">
        <v>0</v>
      </c>
      <c r="AN92" s="25">
        <v>-607.462890625</v>
      </c>
      <c r="AQ92" s="25">
        <v>11</v>
      </c>
      <c r="AR92" s="25">
        <v>17.075000762939453</v>
      </c>
      <c r="AS92" s="25">
        <v>-75.985488891601563</v>
      </c>
      <c r="AT92" s="25">
        <v>-0.9002068042755127</v>
      </c>
      <c r="AU92" s="25">
        <v>0</v>
      </c>
      <c r="AV92" s="25">
        <v>0</v>
      </c>
      <c r="AW92" s="25">
        <v>0</v>
      </c>
      <c r="AX92" s="25">
        <v>-5.5938215255737305</v>
      </c>
      <c r="BA92" s="25">
        <v>11</v>
      </c>
      <c r="BB92" s="25">
        <v>17.075000762939453</v>
      </c>
      <c r="BC92" s="25">
        <v>-181.37562561035156</v>
      </c>
      <c r="BD92" s="25">
        <v>-2.0744540691375732</v>
      </c>
      <c r="BE92" s="25">
        <v>0</v>
      </c>
      <c r="BF92" s="25">
        <v>0</v>
      </c>
      <c r="BG92" s="25">
        <v>0</v>
      </c>
      <c r="BH92" s="25">
        <v>-12.885334014892578</v>
      </c>
      <c r="BK92" s="25">
        <v>11</v>
      </c>
      <c r="BL92" s="25">
        <v>17.075000762939453</v>
      </c>
      <c r="BM92" s="25">
        <v>-342.70645141601562</v>
      </c>
      <c r="BN92" s="25">
        <v>-3.9183387756347656</v>
      </c>
      <c r="BO92" s="25">
        <v>0</v>
      </c>
      <c r="BP92" s="25">
        <v>0</v>
      </c>
      <c r="BQ92" s="25">
        <v>0</v>
      </c>
      <c r="BR92" s="25">
        <v>-24.338508605957031</v>
      </c>
      <c r="BU92" s="25">
        <v>11</v>
      </c>
      <c r="BV92" s="25">
        <v>17.075000762939453</v>
      </c>
      <c r="BW92" s="25">
        <v>-427.11962890625</v>
      </c>
      <c r="BX92" s="25">
        <v>-1.2357428073883057</v>
      </c>
      <c r="BY92" s="25">
        <v>0</v>
      </c>
      <c r="BZ92" s="25">
        <v>0</v>
      </c>
      <c r="CA92" s="25">
        <v>0</v>
      </c>
      <c r="CB92" s="25">
        <v>-13.062807083129883</v>
      </c>
      <c r="CE92" s="25">
        <v>11</v>
      </c>
      <c r="CF92" s="25">
        <v>17.075000762939453</v>
      </c>
      <c r="CG92" s="25">
        <v>-297.16741943359375</v>
      </c>
      <c r="CH92" s="25">
        <v>-0.61387449502944946</v>
      </c>
      <c r="CI92" s="25">
        <v>0</v>
      </c>
      <c r="CJ92" s="25">
        <v>0</v>
      </c>
      <c r="CK92" s="25">
        <v>0</v>
      </c>
      <c r="CL92" s="25">
        <v>-5.2916803359985352</v>
      </c>
      <c r="CO92" s="25">
        <v>11</v>
      </c>
      <c r="CP92" s="25">
        <v>17.075000762939453</v>
      </c>
      <c r="CQ92" s="25">
        <v>42.119068145751953</v>
      </c>
      <c r="CR92" s="25">
        <v>5.0293333828449249E-2</v>
      </c>
      <c r="CS92" s="25">
        <v>0</v>
      </c>
      <c r="CT92" s="25">
        <v>0</v>
      </c>
      <c r="CU92" s="25">
        <v>0</v>
      </c>
      <c r="CV92" s="25">
        <v>6.0170888900756836</v>
      </c>
      <c r="CY92" s="25">
        <v>11</v>
      </c>
      <c r="CZ92" s="25">
        <v>17.075000762939453</v>
      </c>
      <c r="DA92" s="25">
        <v>-427.11962890625</v>
      </c>
      <c r="DB92" s="25">
        <v>-1.2357428073883057</v>
      </c>
      <c r="DC92" s="25">
        <v>0</v>
      </c>
      <c r="DD92" s="25">
        <v>0</v>
      </c>
      <c r="DE92" s="25">
        <v>0</v>
      </c>
      <c r="DF92" s="25">
        <v>-13.062807083129883</v>
      </c>
      <c r="DI92" s="25">
        <v>11</v>
      </c>
      <c r="DJ92" s="25">
        <v>17.075000762939453</v>
      </c>
      <c r="DK92" s="25">
        <v>-297.16741943359375</v>
      </c>
      <c r="DL92" s="25">
        <v>-0.61387449502944946</v>
      </c>
      <c r="DM92" s="25">
        <v>0</v>
      </c>
      <c r="DN92" s="25">
        <v>0</v>
      </c>
      <c r="DO92" s="25">
        <v>0</v>
      </c>
      <c r="DP92" s="25">
        <v>-5.2916803359985352</v>
      </c>
      <c r="DS92" s="25">
        <v>11</v>
      </c>
      <c r="DT92" s="25">
        <v>17.075000762939453</v>
      </c>
      <c r="DU92" s="25">
        <v>42.119068145751953</v>
      </c>
      <c r="DV92" s="25">
        <v>5.0293333828449249E-2</v>
      </c>
      <c r="DW92" s="25">
        <v>0</v>
      </c>
      <c r="DX92" s="25">
        <v>0</v>
      </c>
      <c r="DY92" s="25">
        <v>0</v>
      </c>
      <c r="DZ92" s="25">
        <v>6.0170888900756836</v>
      </c>
      <c r="EC92" s="25">
        <v>11</v>
      </c>
      <c r="ED92" s="25">
        <v>17.075000762939453</v>
      </c>
      <c r="EE92" s="25">
        <v>65.051536560058594</v>
      </c>
      <c r="EF92" s="25">
        <v>18.616500854492188</v>
      </c>
      <c r="EG92" s="25">
        <v>0</v>
      </c>
      <c r="EH92" s="25">
        <v>0</v>
      </c>
      <c r="EI92" s="25">
        <v>0</v>
      </c>
      <c r="EJ92" s="25">
        <v>162.43911743164062</v>
      </c>
      <c r="EM92" s="25">
        <v>11</v>
      </c>
      <c r="EN92" s="25">
        <v>17.075000762939453</v>
      </c>
      <c r="EO92" s="25">
        <v>33.8817138671875</v>
      </c>
      <c r="EP92" s="25">
        <v>10.197101593017578</v>
      </c>
      <c r="EQ92" s="25">
        <v>0</v>
      </c>
      <c r="ER92" s="25">
        <v>0</v>
      </c>
      <c r="ES92" s="25">
        <v>0</v>
      </c>
      <c r="ET92" s="25">
        <v>88.915481567382813</v>
      </c>
      <c r="EW92" s="25">
        <v>11</v>
      </c>
      <c r="EX92" s="25">
        <v>17.075000762939453</v>
      </c>
      <c r="EY92" s="25">
        <v>454.31521606445312</v>
      </c>
      <c r="EZ92" s="25">
        <v>147.19502258300781</v>
      </c>
      <c r="FA92" s="25">
        <v>0</v>
      </c>
      <c r="FB92" s="25">
        <v>0</v>
      </c>
      <c r="FC92" s="25">
        <v>0</v>
      </c>
      <c r="FD92" s="25">
        <v>1281.315673828125</v>
      </c>
      <c r="FG92" s="25">
        <v>11</v>
      </c>
      <c r="FH92" s="25">
        <v>17.075000762939453</v>
      </c>
      <c r="FI92" s="25">
        <v>880.189697265625</v>
      </c>
      <c r="FJ92" s="25">
        <v>294.4024658203125</v>
      </c>
      <c r="FK92" s="25">
        <v>0</v>
      </c>
      <c r="FL92" s="25">
        <v>0</v>
      </c>
      <c r="FM92" s="25">
        <v>0</v>
      </c>
      <c r="FN92" s="25">
        <v>2562.00732421875</v>
      </c>
    </row>
    <row r="93" spans="2:170">
      <c r="C93" s="25">
        <v>8</v>
      </c>
      <c r="D93" s="25">
        <v>1.5249999761581421</v>
      </c>
      <c r="E93" s="25">
        <v>-5930.5185546875</v>
      </c>
      <c r="F93" s="25">
        <v>-9.2187128067016602</v>
      </c>
      <c r="G93" s="25">
        <v>0</v>
      </c>
      <c r="H93" s="25">
        <v>0</v>
      </c>
      <c r="I93" s="25">
        <v>0</v>
      </c>
      <c r="J93" s="25">
        <v>100.31305694580078</v>
      </c>
      <c r="L93" s="25">
        <v>8</v>
      </c>
      <c r="M93" s="25">
        <v>3</v>
      </c>
      <c r="N93" s="25">
        <v>0</v>
      </c>
      <c r="O93" s="25">
        <v>-3677.546142578125</v>
      </c>
      <c r="P93" s="25">
        <v>-8.9320163726806641</v>
      </c>
      <c r="Q93" s="25">
        <v>0</v>
      </c>
      <c r="R93" s="25">
        <v>0</v>
      </c>
      <c r="S93" s="25">
        <v>0</v>
      </c>
      <c r="T93" s="25">
        <v>93.091903686523438</v>
      </c>
      <c r="V93" s="25">
        <v>8</v>
      </c>
      <c r="W93" s="25">
        <v>3</v>
      </c>
      <c r="X93" s="25">
        <v>0</v>
      </c>
      <c r="Y93" s="25">
        <v>-123.18038177490234</v>
      </c>
      <c r="Z93" s="25">
        <v>14.766364097595215</v>
      </c>
      <c r="AA93" s="25">
        <v>0</v>
      </c>
      <c r="AB93" s="25">
        <v>0</v>
      </c>
      <c r="AC93" s="25">
        <v>0</v>
      </c>
      <c r="AD93" s="25">
        <v>-145.97642517089844</v>
      </c>
      <c r="AF93" s="25">
        <v>8</v>
      </c>
      <c r="AG93" s="25">
        <v>3</v>
      </c>
      <c r="AH93" s="25">
        <v>0</v>
      </c>
      <c r="AI93" s="25">
        <v>65.6146240234375</v>
      </c>
      <c r="AJ93" s="25">
        <v>23.989080429077148</v>
      </c>
      <c r="AK93" s="25">
        <v>0</v>
      </c>
      <c r="AL93" s="25">
        <v>0</v>
      </c>
      <c r="AM93" s="25">
        <v>0</v>
      </c>
      <c r="AN93" s="25">
        <v>-240.9420166015625</v>
      </c>
      <c r="AP93" s="25">
        <v>8</v>
      </c>
      <c r="AQ93" s="25">
        <v>3</v>
      </c>
      <c r="AR93" s="25">
        <v>0</v>
      </c>
      <c r="AS93" s="25">
        <v>-111.75552368164062</v>
      </c>
      <c r="AT93" s="25">
        <v>-0.34302970767021179</v>
      </c>
      <c r="AU93" s="25">
        <v>0</v>
      </c>
      <c r="AV93" s="25">
        <v>0</v>
      </c>
      <c r="AW93" s="25">
        <v>0</v>
      </c>
      <c r="AX93" s="25">
        <v>4.1905226707458496</v>
      </c>
      <c r="AZ93" s="25">
        <v>8</v>
      </c>
      <c r="BA93" s="25">
        <v>3</v>
      </c>
      <c r="BB93" s="25">
        <v>0</v>
      </c>
      <c r="BC93" s="25">
        <v>-264.316650390625</v>
      </c>
      <c r="BD93" s="25">
        <v>-0.79613083600997925</v>
      </c>
      <c r="BE93" s="25">
        <v>0</v>
      </c>
      <c r="BF93" s="25">
        <v>0</v>
      </c>
      <c r="BG93" s="25">
        <v>0</v>
      </c>
      <c r="BH93" s="25">
        <v>9.7323513031005859</v>
      </c>
      <c r="BJ93" s="25">
        <v>8</v>
      </c>
      <c r="BK93" s="25">
        <v>3</v>
      </c>
      <c r="BL93" s="25">
        <v>0</v>
      </c>
      <c r="BM93" s="25">
        <v>-499.36785888671875</v>
      </c>
      <c r="BN93" s="25">
        <v>-1.503750205039978</v>
      </c>
      <c r="BO93" s="25">
        <v>0</v>
      </c>
      <c r="BP93" s="25">
        <v>0</v>
      </c>
      <c r="BQ93" s="25">
        <v>0</v>
      </c>
      <c r="BR93" s="25">
        <v>18.382675170898437</v>
      </c>
      <c r="BT93" s="25">
        <v>8</v>
      </c>
      <c r="BU93" s="25">
        <v>3</v>
      </c>
      <c r="BV93" s="25">
        <v>0</v>
      </c>
      <c r="BW93" s="25">
        <v>-304.5057373046875</v>
      </c>
      <c r="BX93" s="25">
        <v>0.63440495729446411</v>
      </c>
      <c r="BY93" s="25">
        <v>0</v>
      </c>
      <c r="BZ93" s="25">
        <v>0</v>
      </c>
      <c r="CA93" s="25">
        <v>0</v>
      </c>
      <c r="CB93" s="25">
        <v>-13.422119140625</v>
      </c>
      <c r="CD93" s="25">
        <v>8</v>
      </c>
      <c r="CE93" s="25">
        <v>3</v>
      </c>
      <c r="CF93" s="25">
        <v>0</v>
      </c>
      <c r="CG93" s="25">
        <v>-240.45773315429687</v>
      </c>
      <c r="CH93" s="25">
        <v>1.1738096475601196</v>
      </c>
      <c r="CI93" s="25">
        <v>0</v>
      </c>
      <c r="CJ93" s="25">
        <v>0</v>
      </c>
      <c r="CK93" s="25">
        <v>0</v>
      </c>
      <c r="CL93" s="25">
        <v>-16.183553695678711</v>
      </c>
      <c r="CN93" s="25">
        <v>8</v>
      </c>
      <c r="CO93" s="25">
        <v>3</v>
      </c>
      <c r="CP93" s="25">
        <v>0</v>
      </c>
      <c r="CQ93" s="25">
        <v>-111.36489868164062</v>
      </c>
      <c r="CR93" s="25">
        <v>-0.62438154220581055</v>
      </c>
      <c r="CS93" s="25">
        <v>0</v>
      </c>
      <c r="CT93" s="25">
        <v>0</v>
      </c>
      <c r="CU93" s="25">
        <v>0</v>
      </c>
      <c r="CV93" s="25">
        <v>13.499893188476563</v>
      </c>
      <c r="CX93" s="25">
        <v>8</v>
      </c>
      <c r="CY93" s="25">
        <v>3</v>
      </c>
      <c r="CZ93" s="25">
        <v>0</v>
      </c>
      <c r="DA93" s="25">
        <v>-304.5057373046875</v>
      </c>
      <c r="DB93" s="25">
        <v>0.63440495729446411</v>
      </c>
      <c r="DC93" s="25">
        <v>0</v>
      </c>
      <c r="DD93" s="25">
        <v>0</v>
      </c>
      <c r="DE93" s="25">
        <v>0</v>
      </c>
      <c r="DF93" s="25">
        <v>-13.422119140625</v>
      </c>
      <c r="DH93" s="25">
        <v>8</v>
      </c>
      <c r="DI93" s="25">
        <v>3</v>
      </c>
      <c r="DJ93" s="25">
        <v>0</v>
      </c>
      <c r="DK93" s="25">
        <v>-240.45773315429687</v>
      </c>
      <c r="DL93" s="25">
        <v>1.1738096475601196</v>
      </c>
      <c r="DM93" s="25">
        <v>0</v>
      </c>
      <c r="DN93" s="25">
        <v>0</v>
      </c>
      <c r="DO93" s="25">
        <v>0</v>
      </c>
      <c r="DP93" s="25">
        <v>-16.183553695678711</v>
      </c>
      <c r="DR93" s="25">
        <v>8</v>
      </c>
      <c r="DS93" s="25">
        <v>3</v>
      </c>
      <c r="DT93" s="25">
        <v>0</v>
      </c>
      <c r="DU93" s="25">
        <v>-111.36489868164062</v>
      </c>
      <c r="DV93" s="25">
        <v>-0.62438154220581055</v>
      </c>
      <c r="DW93" s="25">
        <v>0</v>
      </c>
      <c r="DX93" s="25">
        <v>0</v>
      </c>
      <c r="DY93" s="25">
        <v>0</v>
      </c>
      <c r="DZ93" s="25">
        <v>13.499893188476563</v>
      </c>
      <c r="EB93" s="25">
        <v>8</v>
      </c>
      <c r="EC93" s="25">
        <v>3</v>
      </c>
      <c r="ED93" s="25">
        <v>0</v>
      </c>
      <c r="EE93" s="25">
        <v>2.9342925548553467</v>
      </c>
      <c r="EF93" s="25">
        <v>19.091854095458984</v>
      </c>
      <c r="EG93" s="25">
        <v>0</v>
      </c>
      <c r="EH93" s="25">
        <v>0</v>
      </c>
      <c r="EI93" s="25">
        <v>0</v>
      </c>
      <c r="EJ93" s="25">
        <v>-189.76335144042969</v>
      </c>
      <c r="EL93" s="25">
        <v>8</v>
      </c>
      <c r="EM93" s="25">
        <v>3</v>
      </c>
      <c r="EN93" s="25">
        <v>0</v>
      </c>
      <c r="EO93" s="25">
        <v>1.8015804290771484</v>
      </c>
      <c r="EP93" s="25">
        <v>10.467860221862793</v>
      </c>
      <c r="EQ93" s="25">
        <v>0</v>
      </c>
      <c r="ER93" s="25">
        <v>0</v>
      </c>
      <c r="ES93" s="25">
        <v>0</v>
      </c>
      <c r="ET93" s="25">
        <v>-104.13123321533203</v>
      </c>
      <c r="EV93" s="25">
        <v>8</v>
      </c>
      <c r="EW93" s="25">
        <v>3</v>
      </c>
      <c r="EX93" s="25">
        <v>0</v>
      </c>
      <c r="EY93" s="25">
        <v>57.06207275390625</v>
      </c>
      <c r="EZ93" s="25">
        <v>151.36689758300781</v>
      </c>
      <c r="FA93" s="25">
        <v>0</v>
      </c>
      <c r="FB93" s="25">
        <v>0</v>
      </c>
      <c r="FC93" s="25">
        <v>0</v>
      </c>
      <c r="FD93" s="25">
        <v>-1508.5897216796875</v>
      </c>
      <c r="FF93" s="25">
        <v>8</v>
      </c>
      <c r="FG93" s="25">
        <v>3</v>
      </c>
      <c r="FH93" s="25">
        <v>0</v>
      </c>
      <c r="FI93" s="25">
        <v>104.49756622314453</v>
      </c>
      <c r="FJ93" s="25">
        <v>302.76171875</v>
      </c>
      <c r="FK93" s="25">
        <v>0</v>
      </c>
      <c r="FL93" s="25">
        <v>0</v>
      </c>
      <c r="FM93" s="25">
        <v>0</v>
      </c>
      <c r="FN93" s="25">
        <v>-3018.228515625</v>
      </c>
    </row>
    <row r="94" spans="2:170">
      <c r="B94" s="25">
        <v>9</v>
      </c>
      <c r="C94" s="25">
        <v>8</v>
      </c>
      <c r="D94" s="25">
        <v>0</v>
      </c>
      <c r="E94" s="25">
        <v>-5930.5185546875</v>
      </c>
      <c r="F94" s="25">
        <v>-9.2187128067016602</v>
      </c>
      <c r="G94" s="25">
        <v>0</v>
      </c>
      <c r="H94" s="25">
        <v>0</v>
      </c>
      <c r="I94" s="25">
        <v>0</v>
      </c>
      <c r="J94" s="25">
        <v>100.31305694580078</v>
      </c>
      <c r="M94" s="25">
        <v>8</v>
      </c>
      <c r="N94" s="25">
        <v>1.5249999761581421</v>
      </c>
      <c r="O94" s="25">
        <v>-3677.546142578125</v>
      </c>
      <c r="P94" s="25">
        <v>-8.9320163726806641</v>
      </c>
      <c r="Q94" s="25">
        <v>0</v>
      </c>
      <c r="R94" s="25">
        <v>0</v>
      </c>
      <c r="S94" s="25">
        <v>0</v>
      </c>
      <c r="T94" s="25">
        <v>79.470573425292969</v>
      </c>
      <c r="W94" s="25">
        <v>8</v>
      </c>
      <c r="X94" s="25">
        <v>1.5249999761581421</v>
      </c>
      <c r="Y94" s="25">
        <v>-123.18038177490234</v>
      </c>
      <c r="Z94" s="25">
        <v>14.766364097595215</v>
      </c>
      <c r="AA94" s="25">
        <v>0</v>
      </c>
      <c r="AB94" s="25">
        <v>0</v>
      </c>
      <c r="AC94" s="25">
        <v>0</v>
      </c>
      <c r="AD94" s="25">
        <v>-123.45772552490234</v>
      </c>
      <c r="AG94" s="25">
        <v>8</v>
      </c>
      <c r="AH94" s="25">
        <v>1.5249999761581421</v>
      </c>
      <c r="AI94" s="25">
        <v>65.6146240234375</v>
      </c>
      <c r="AJ94" s="25">
        <v>23.989080429077148</v>
      </c>
      <c r="AK94" s="25">
        <v>0</v>
      </c>
      <c r="AL94" s="25">
        <v>0</v>
      </c>
      <c r="AM94" s="25">
        <v>0</v>
      </c>
      <c r="AN94" s="25">
        <v>-204.35867309570312</v>
      </c>
      <c r="AQ94" s="25">
        <v>8</v>
      </c>
      <c r="AR94" s="25">
        <v>1.5249999761581421</v>
      </c>
      <c r="AS94" s="25">
        <v>-111.75552368164062</v>
      </c>
      <c r="AT94" s="25">
        <v>-0.34302970767021179</v>
      </c>
      <c r="AU94" s="25">
        <v>0</v>
      </c>
      <c r="AV94" s="25">
        <v>0</v>
      </c>
      <c r="AW94" s="25">
        <v>0</v>
      </c>
      <c r="AX94" s="25">
        <v>3.6674025058746338</v>
      </c>
      <c r="BA94" s="25">
        <v>8</v>
      </c>
      <c r="BB94" s="25">
        <v>1.5249999761581421</v>
      </c>
      <c r="BC94" s="25">
        <v>-264.316650390625</v>
      </c>
      <c r="BD94" s="25">
        <v>-0.79613083600997925</v>
      </c>
      <c r="BE94" s="25">
        <v>0</v>
      </c>
      <c r="BF94" s="25">
        <v>0</v>
      </c>
      <c r="BG94" s="25">
        <v>0</v>
      </c>
      <c r="BH94" s="25">
        <v>8.5182523727416992</v>
      </c>
      <c r="BK94" s="25">
        <v>8</v>
      </c>
      <c r="BL94" s="25">
        <v>1.5249999761581421</v>
      </c>
      <c r="BM94" s="25">
        <v>-499.36785888671875</v>
      </c>
      <c r="BN94" s="25">
        <v>-1.503750205039978</v>
      </c>
      <c r="BO94" s="25">
        <v>0</v>
      </c>
      <c r="BP94" s="25">
        <v>0</v>
      </c>
      <c r="BQ94" s="25">
        <v>0</v>
      </c>
      <c r="BR94" s="25">
        <v>16.089456558227539</v>
      </c>
      <c r="BU94" s="25">
        <v>8</v>
      </c>
      <c r="BV94" s="25">
        <v>1.5249999761581421</v>
      </c>
      <c r="BW94" s="25">
        <v>-304.5057373046875</v>
      </c>
      <c r="BX94" s="25">
        <v>0.63440495729446411</v>
      </c>
      <c r="BY94" s="25">
        <v>0</v>
      </c>
      <c r="BZ94" s="25">
        <v>0</v>
      </c>
      <c r="CA94" s="25">
        <v>0</v>
      </c>
      <c r="CB94" s="25">
        <v>-12.454651832580566</v>
      </c>
      <c r="CE94" s="25">
        <v>8</v>
      </c>
      <c r="CF94" s="25">
        <v>1.5249999761581421</v>
      </c>
      <c r="CG94" s="25">
        <v>-240.45773315429687</v>
      </c>
      <c r="CH94" s="25">
        <v>1.1738096475601196</v>
      </c>
      <c r="CI94" s="25">
        <v>0</v>
      </c>
      <c r="CJ94" s="25">
        <v>0</v>
      </c>
      <c r="CK94" s="25">
        <v>0</v>
      </c>
      <c r="CL94" s="25">
        <v>-14.39349365234375</v>
      </c>
      <c r="CO94" s="25">
        <v>8</v>
      </c>
      <c r="CP94" s="25">
        <v>1.5249999761581421</v>
      </c>
      <c r="CQ94" s="25">
        <v>-111.36489868164062</v>
      </c>
      <c r="CR94" s="25">
        <v>-0.62438154220581055</v>
      </c>
      <c r="CS94" s="25">
        <v>0</v>
      </c>
      <c r="CT94" s="25">
        <v>0</v>
      </c>
      <c r="CU94" s="25">
        <v>0</v>
      </c>
      <c r="CV94" s="25">
        <v>12.547711372375488</v>
      </c>
      <c r="CY94" s="25">
        <v>8</v>
      </c>
      <c r="CZ94" s="25">
        <v>1.5249999761581421</v>
      </c>
      <c r="DA94" s="25">
        <v>-304.5057373046875</v>
      </c>
      <c r="DB94" s="25">
        <v>0.63440495729446411</v>
      </c>
      <c r="DC94" s="25">
        <v>0</v>
      </c>
      <c r="DD94" s="25">
        <v>0</v>
      </c>
      <c r="DE94" s="25">
        <v>0</v>
      </c>
      <c r="DF94" s="25">
        <v>-12.454651832580566</v>
      </c>
      <c r="DI94" s="25">
        <v>8</v>
      </c>
      <c r="DJ94" s="25">
        <v>1.5249999761581421</v>
      </c>
      <c r="DK94" s="25">
        <v>-240.45773315429687</v>
      </c>
      <c r="DL94" s="25">
        <v>1.1738096475601196</v>
      </c>
      <c r="DM94" s="25">
        <v>0</v>
      </c>
      <c r="DN94" s="25">
        <v>0</v>
      </c>
      <c r="DO94" s="25">
        <v>0</v>
      </c>
      <c r="DP94" s="25">
        <v>-14.39349365234375</v>
      </c>
      <c r="DS94" s="25">
        <v>8</v>
      </c>
      <c r="DT94" s="25">
        <v>1.5249999761581421</v>
      </c>
      <c r="DU94" s="25">
        <v>-111.36489868164062</v>
      </c>
      <c r="DV94" s="25">
        <v>-0.62438154220581055</v>
      </c>
      <c r="DW94" s="25">
        <v>0</v>
      </c>
      <c r="DX94" s="25">
        <v>0</v>
      </c>
      <c r="DY94" s="25">
        <v>0</v>
      </c>
      <c r="DZ94" s="25">
        <v>12.547711372375488</v>
      </c>
      <c r="EC94" s="25">
        <v>8</v>
      </c>
      <c r="ED94" s="25">
        <v>1.5249999761581421</v>
      </c>
      <c r="EE94" s="25">
        <v>2.9342925548553467</v>
      </c>
      <c r="EF94" s="25">
        <v>19.091854095458984</v>
      </c>
      <c r="EG94" s="25">
        <v>0</v>
      </c>
      <c r="EH94" s="25">
        <v>0</v>
      </c>
      <c r="EI94" s="25">
        <v>0</v>
      </c>
      <c r="EJ94" s="25">
        <v>-160.64826965332031</v>
      </c>
      <c r="EM94" s="25">
        <v>8</v>
      </c>
      <c r="EN94" s="25">
        <v>1.5249999761581421</v>
      </c>
      <c r="EO94" s="25">
        <v>1.8015804290771484</v>
      </c>
      <c r="EP94" s="25">
        <v>10.467860221862793</v>
      </c>
      <c r="EQ94" s="25">
        <v>0</v>
      </c>
      <c r="ER94" s="25">
        <v>0</v>
      </c>
      <c r="ES94" s="25">
        <v>0</v>
      </c>
      <c r="ET94" s="25">
        <v>-88.167747497558594</v>
      </c>
      <c r="EW94" s="25">
        <v>8</v>
      </c>
      <c r="EX94" s="25">
        <v>1.5249999761581421</v>
      </c>
      <c r="EY94" s="25">
        <v>57.06207275390625</v>
      </c>
      <c r="EZ94" s="25">
        <v>151.36689758300781</v>
      </c>
      <c r="FA94" s="25">
        <v>0</v>
      </c>
      <c r="FB94" s="25">
        <v>0</v>
      </c>
      <c r="FC94" s="25">
        <v>0</v>
      </c>
      <c r="FD94" s="25">
        <v>-1277.7552490234375</v>
      </c>
      <c r="FG94" s="25">
        <v>8</v>
      </c>
      <c r="FH94" s="25">
        <v>1.5249999761581421</v>
      </c>
      <c r="FI94" s="25">
        <v>104.49756622314453</v>
      </c>
      <c r="FJ94" s="25">
        <v>302.76171875</v>
      </c>
      <c r="FK94" s="25">
        <v>0</v>
      </c>
      <c r="FL94" s="25">
        <v>0</v>
      </c>
      <c r="FM94" s="25">
        <v>0</v>
      </c>
      <c r="FN94" s="25">
        <v>-2556.516845703125</v>
      </c>
    </row>
    <row r="95" spans="2:170">
      <c r="C95" s="25">
        <v>12</v>
      </c>
      <c r="D95" s="25">
        <v>17.075000762939453</v>
      </c>
      <c r="E95" s="25">
        <v>-8926.818359375</v>
      </c>
      <c r="F95" s="25">
        <v>-9.2187128067016602</v>
      </c>
      <c r="G95" s="25">
        <v>0</v>
      </c>
      <c r="H95" s="25">
        <v>0</v>
      </c>
      <c r="I95" s="25">
        <v>0</v>
      </c>
      <c r="J95" s="25">
        <v>-57.096469879150391</v>
      </c>
      <c r="L95" s="25">
        <v>9</v>
      </c>
      <c r="M95" s="25">
        <v>8</v>
      </c>
      <c r="N95" s="25">
        <v>0</v>
      </c>
      <c r="O95" s="25">
        <v>-3677.546142578125</v>
      </c>
      <c r="P95" s="25">
        <v>-8.9320163726806641</v>
      </c>
      <c r="Q95" s="25">
        <v>0</v>
      </c>
      <c r="R95" s="25">
        <v>0</v>
      </c>
      <c r="S95" s="25">
        <v>0</v>
      </c>
      <c r="T95" s="25">
        <v>79.470573425292969</v>
      </c>
      <c r="V95" s="25">
        <v>9</v>
      </c>
      <c r="W95" s="25">
        <v>8</v>
      </c>
      <c r="X95" s="25">
        <v>0</v>
      </c>
      <c r="Y95" s="25">
        <v>-123.18038177490234</v>
      </c>
      <c r="Z95" s="25">
        <v>14.766364097595215</v>
      </c>
      <c r="AA95" s="25">
        <v>0</v>
      </c>
      <c r="AB95" s="25">
        <v>0</v>
      </c>
      <c r="AC95" s="25">
        <v>0</v>
      </c>
      <c r="AD95" s="25">
        <v>-123.45772552490234</v>
      </c>
      <c r="AF95" s="25">
        <v>9</v>
      </c>
      <c r="AG95" s="25">
        <v>8</v>
      </c>
      <c r="AH95" s="25">
        <v>0</v>
      </c>
      <c r="AI95" s="25">
        <v>65.6146240234375</v>
      </c>
      <c r="AJ95" s="25">
        <v>23.989080429077148</v>
      </c>
      <c r="AK95" s="25">
        <v>0</v>
      </c>
      <c r="AL95" s="25">
        <v>0</v>
      </c>
      <c r="AM95" s="25">
        <v>0</v>
      </c>
      <c r="AN95" s="25">
        <v>-204.35867309570312</v>
      </c>
      <c r="AP95" s="25">
        <v>9</v>
      </c>
      <c r="AQ95" s="25">
        <v>8</v>
      </c>
      <c r="AR95" s="25">
        <v>0</v>
      </c>
      <c r="AS95" s="25">
        <v>-111.75552368164062</v>
      </c>
      <c r="AT95" s="25">
        <v>-0.34302970767021179</v>
      </c>
      <c r="AU95" s="25">
        <v>0</v>
      </c>
      <c r="AV95" s="25">
        <v>0</v>
      </c>
      <c r="AW95" s="25">
        <v>0</v>
      </c>
      <c r="AX95" s="25">
        <v>3.6674025058746338</v>
      </c>
      <c r="AZ95" s="25">
        <v>9</v>
      </c>
      <c r="BA95" s="25">
        <v>8</v>
      </c>
      <c r="BB95" s="25">
        <v>0</v>
      </c>
      <c r="BC95" s="25">
        <v>-264.316650390625</v>
      </c>
      <c r="BD95" s="25">
        <v>-0.79613083600997925</v>
      </c>
      <c r="BE95" s="25">
        <v>0</v>
      </c>
      <c r="BF95" s="25">
        <v>0</v>
      </c>
      <c r="BG95" s="25">
        <v>0</v>
      </c>
      <c r="BH95" s="25">
        <v>8.5182523727416992</v>
      </c>
      <c r="BJ95" s="25">
        <v>9</v>
      </c>
      <c r="BK95" s="25">
        <v>8</v>
      </c>
      <c r="BL95" s="25">
        <v>0</v>
      </c>
      <c r="BM95" s="25">
        <v>-499.36785888671875</v>
      </c>
      <c r="BN95" s="25">
        <v>-1.503750205039978</v>
      </c>
      <c r="BO95" s="25">
        <v>0</v>
      </c>
      <c r="BP95" s="25">
        <v>0</v>
      </c>
      <c r="BQ95" s="25">
        <v>0</v>
      </c>
      <c r="BR95" s="25">
        <v>16.089456558227539</v>
      </c>
      <c r="BT95" s="25">
        <v>9</v>
      </c>
      <c r="BU95" s="25">
        <v>8</v>
      </c>
      <c r="BV95" s="25">
        <v>0</v>
      </c>
      <c r="BW95" s="25">
        <v>-304.5057373046875</v>
      </c>
      <c r="BX95" s="25">
        <v>0.63440495729446411</v>
      </c>
      <c r="BY95" s="25">
        <v>0</v>
      </c>
      <c r="BZ95" s="25">
        <v>0</v>
      </c>
      <c r="CA95" s="25">
        <v>0</v>
      </c>
      <c r="CB95" s="25">
        <v>-12.454651832580566</v>
      </c>
      <c r="CD95" s="25">
        <v>9</v>
      </c>
      <c r="CE95" s="25">
        <v>8</v>
      </c>
      <c r="CF95" s="25">
        <v>0</v>
      </c>
      <c r="CG95" s="25">
        <v>-240.45773315429687</v>
      </c>
      <c r="CH95" s="25">
        <v>1.1738096475601196</v>
      </c>
      <c r="CI95" s="25">
        <v>0</v>
      </c>
      <c r="CJ95" s="25">
        <v>0</v>
      </c>
      <c r="CK95" s="25">
        <v>0</v>
      </c>
      <c r="CL95" s="25">
        <v>-14.39349365234375</v>
      </c>
      <c r="CN95" s="25">
        <v>9</v>
      </c>
      <c r="CO95" s="25">
        <v>8</v>
      </c>
      <c r="CP95" s="25">
        <v>0</v>
      </c>
      <c r="CQ95" s="25">
        <v>-111.36489868164062</v>
      </c>
      <c r="CR95" s="25">
        <v>-0.62438154220581055</v>
      </c>
      <c r="CS95" s="25">
        <v>0</v>
      </c>
      <c r="CT95" s="25">
        <v>0</v>
      </c>
      <c r="CU95" s="25">
        <v>0</v>
      </c>
      <c r="CV95" s="25">
        <v>12.547711372375488</v>
      </c>
      <c r="CX95" s="25">
        <v>9</v>
      </c>
      <c r="CY95" s="25">
        <v>8</v>
      </c>
      <c r="CZ95" s="25">
        <v>0</v>
      </c>
      <c r="DA95" s="25">
        <v>-304.5057373046875</v>
      </c>
      <c r="DB95" s="25">
        <v>0.63440495729446411</v>
      </c>
      <c r="DC95" s="25">
        <v>0</v>
      </c>
      <c r="DD95" s="25">
        <v>0</v>
      </c>
      <c r="DE95" s="25">
        <v>0</v>
      </c>
      <c r="DF95" s="25">
        <v>-12.454651832580566</v>
      </c>
      <c r="DH95" s="25">
        <v>9</v>
      </c>
      <c r="DI95" s="25">
        <v>8</v>
      </c>
      <c r="DJ95" s="25">
        <v>0</v>
      </c>
      <c r="DK95" s="25">
        <v>-240.45773315429687</v>
      </c>
      <c r="DL95" s="25">
        <v>1.1738096475601196</v>
      </c>
      <c r="DM95" s="25">
        <v>0</v>
      </c>
      <c r="DN95" s="25">
        <v>0</v>
      </c>
      <c r="DO95" s="25">
        <v>0</v>
      </c>
      <c r="DP95" s="25">
        <v>-14.39349365234375</v>
      </c>
      <c r="DR95" s="25">
        <v>9</v>
      </c>
      <c r="DS95" s="25">
        <v>8</v>
      </c>
      <c r="DT95" s="25">
        <v>0</v>
      </c>
      <c r="DU95" s="25">
        <v>-111.36489868164062</v>
      </c>
      <c r="DV95" s="25">
        <v>-0.62438154220581055</v>
      </c>
      <c r="DW95" s="25">
        <v>0</v>
      </c>
      <c r="DX95" s="25">
        <v>0</v>
      </c>
      <c r="DY95" s="25">
        <v>0</v>
      </c>
      <c r="DZ95" s="25">
        <v>12.547711372375488</v>
      </c>
      <c r="EB95" s="25">
        <v>9</v>
      </c>
      <c r="EC95" s="25">
        <v>8</v>
      </c>
      <c r="ED95" s="25">
        <v>0</v>
      </c>
      <c r="EE95" s="25">
        <v>2.9342925548553467</v>
      </c>
      <c r="EF95" s="25">
        <v>19.091854095458984</v>
      </c>
      <c r="EG95" s="25">
        <v>0</v>
      </c>
      <c r="EH95" s="25">
        <v>0</v>
      </c>
      <c r="EI95" s="25">
        <v>0</v>
      </c>
      <c r="EJ95" s="25">
        <v>-160.64826965332031</v>
      </c>
      <c r="EL95" s="25">
        <v>9</v>
      </c>
      <c r="EM95" s="25">
        <v>8</v>
      </c>
      <c r="EN95" s="25">
        <v>0</v>
      </c>
      <c r="EO95" s="25">
        <v>1.8015804290771484</v>
      </c>
      <c r="EP95" s="25">
        <v>10.467860221862793</v>
      </c>
      <c r="EQ95" s="25">
        <v>0</v>
      </c>
      <c r="ER95" s="25">
        <v>0</v>
      </c>
      <c r="ES95" s="25">
        <v>0</v>
      </c>
      <c r="ET95" s="25">
        <v>-88.167747497558594</v>
      </c>
      <c r="EV95" s="25">
        <v>9</v>
      </c>
      <c r="EW95" s="25">
        <v>8</v>
      </c>
      <c r="EX95" s="25">
        <v>0</v>
      </c>
      <c r="EY95" s="25">
        <v>57.06207275390625</v>
      </c>
      <c r="EZ95" s="25">
        <v>151.36689758300781</v>
      </c>
      <c r="FA95" s="25">
        <v>0</v>
      </c>
      <c r="FB95" s="25">
        <v>0</v>
      </c>
      <c r="FC95" s="25">
        <v>0</v>
      </c>
      <c r="FD95" s="25">
        <v>-1277.7552490234375</v>
      </c>
      <c r="FF95" s="25">
        <v>9</v>
      </c>
      <c r="FG95" s="25">
        <v>8</v>
      </c>
      <c r="FH95" s="25">
        <v>0</v>
      </c>
      <c r="FI95" s="25">
        <v>104.49756622314453</v>
      </c>
      <c r="FJ95" s="25">
        <v>302.76171875</v>
      </c>
      <c r="FK95" s="25">
        <v>0</v>
      </c>
      <c r="FL95" s="25">
        <v>0</v>
      </c>
      <c r="FM95" s="25">
        <v>0</v>
      </c>
      <c r="FN95" s="25">
        <v>-2556.516845703125</v>
      </c>
    </row>
    <row r="96" spans="2:170">
      <c r="B96" s="25">
        <v>10</v>
      </c>
      <c r="C96" s="25">
        <v>4</v>
      </c>
      <c r="D96" s="25">
        <v>0</v>
      </c>
      <c r="E96" s="25">
        <v>-5826.20361328125</v>
      </c>
      <c r="F96" s="25">
        <v>9.768458366394043</v>
      </c>
      <c r="G96" s="25">
        <v>0</v>
      </c>
      <c r="H96" s="25">
        <v>0</v>
      </c>
      <c r="I96" s="25">
        <v>0</v>
      </c>
      <c r="J96" s="25">
        <v>-122.89201354980469</v>
      </c>
      <c r="N96" s="25">
        <v>0.47499999403953552</v>
      </c>
      <c r="O96" s="25">
        <v>-3677.546142578125</v>
      </c>
      <c r="P96" s="25">
        <v>-8.9320163726806641</v>
      </c>
      <c r="Q96" s="25">
        <v>0</v>
      </c>
      <c r="R96" s="25">
        <v>0</v>
      </c>
      <c r="S96" s="25">
        <v>0</v>
      </c>
      <c r="T96" s="25">
        <v>75.227867126464844</v>
      </c>
      <c r="X96" s="25">
        <v>0.47499999403953552</v>
      </c>
      <c r="Y96" s="25">
        <v>-123.18038177490234</v>
      </c>
      <c r="Z96" s="25">
        <v>14.766364097595215</v>
      </c>
      <c r="AA96" s="25">
        <v>0</v>
      </c>
      <c r="AB96" s="25">
        <v>0</v>
      </c>
      <c r="AC96" s="25">
        <v>0</v>
      </c>
      <c r="AD96" s="25">
        <v>-116.44370269775391</v>
      </c>
      <c r="AH96" s="25">
        <v>0.47499999403953552</v>
      </c>
      <c r="AI96" s="25">
        <v>65.6146240234375</v>
      </c>
      <c r="AJ96" s="25">
        <v>23.989080429077148</v>
      </c>
      <c r="AK96" s="25">
        <v>0</v>
      </c>
      <c r="AL96" s="25">
        <v>0</v>
      </c>
      <c r="AM96" s="25">
        <v>0</v>
      </c>
      <c r="AN96" s="25">
        <v>-192.9638671875</v>
      </c>
      <c r="AR96" s="25">
        <v>0.47499999403953552</v>
      </c>
      <c r="AS96" s="25">
        <v>-111.75552368164062</v>
      </c>
      <c r="AT96" s="25">
        <v>-0.34302970767021179</v>
      </c>
      <c r="AU96" s="25">
        <v>0</v>
      </c>
      <c r="AV96" s="25">
        <v>0</v>
      </c>
      <c r="AW96" s="25">
        <v>0</v>
      </c>
      <c r="AX96" s="25">
        <v>3.5044634342193604</v>
      </c>
      <c r="BB96" s="25">
        <v>0.47499999403953552</v>
      </c>
      <c r="BC96" s="25">
        <v>-264.316650390625</v>
      </c>
      <c r="BD96" s="25">
        <v>-0.79613083600997925</v>
      </c>
      <c r="BE96" s="25">
        <v>0</v>
      </c>
      <c r="BF96" s="25">
        <v>0</v>
      </c>
      <c r="BG96" s="25">
        <v>0</v>
      </c>
      <c r="BH96" s="25">
        <v>8.1400899887084961</v>
      </c>
      <c r="BL96" s="25">
        <v>0.47499999403953552</v>
      </c>
      <c r="BM96" s="25">
        <v>-499.36785888671875</v>
      </c>
      <c r="BN96" s="25">
        <v>-1.503750205039978</v>
      </c>
      <c r="BO96" s="25">
        <v>0</v>
      </c>
      <c r="BP96" s="25">
        <v>0</v>
      </c>
      <c r="BQ96" s="25">
        <v>0</v>
      </c>
      <c r="BR96" s="25">
        <v>15.375175476074219</v>
      </c>
      <c r="BV96" s="25">
        <v>0.47499999403953552</v>
      </c>
      <c r="BW96" s="25">
        <v>-304.5057373046875</v>
      </c>
      <c r="BX96" s="25">
        <v>0.63440495729446411</v>
      </c>
      <c r="BY96" s="25">
        <v>0</v>
      </c>
      <c r="BZ96" s="25">
        <v>0</v>
      </c>
      <c r="CA96" s="25">
        <v>0</v>
      </c>
      <c r="CB96" s="25">
        <v>-12.153308868408203</v>
      </c>
      <c r="CF96" s="25">
        <v>0.47499999403953552</v>
      </c>
      <c r="CG96" s="25">
        <v>-240.45773315429687</v>
      </c>
      <c r="CH96" s="25">
        <v>1.1738096475601196</v>
      </c>
      <c r="CI96" s="25">
        <v>0</v>
      </c>
      <c r="CJ96" s="25">
        <v>0</v>
      </c>
      <c r="CK96" s="25">
        <v>0</v>
      </c>
      <c r="CL96" s="25">
        <v>-13.835934638977051</v>
      </c>
      <c r="CP96" s="25">
        <v>0.47499999403953552</v>
      </c>
      <c r="CQ96" s="25">
        <v>-111.36489868164062</v>
      </c>
      <c r="CR96" s="25">
        <v>-0.62438154220581055</v>
      </c>
      <c r="CS96" s="25">
        <v>0</v>
      </c>
      <c r="CT96" s="25">
        <v>0</v>
      </c>
      <c r="CU96" s="25">
        <v>0</v>
      </c>
      <c r="CV96" s="25">
        <v>12.251130104064941</v>
      </c>
      <c r="CZ96" s="25">
        <v>0.47499999403953552</v>
      </c>
      <c r="DA96" s="25">
        <v>-304.5057373046875</v>
      </c>
      <c r="DB96" s="25">
        <v>0.63440495729446411</v>
      </c>
      <c r="DC96" s="25">
        <v>0</v>
      </c>
      <c r="DD96" s="25">
        <v>0</v>
      </c>
      <c r="DE96" s="25">
        <v>0</v>
      </c>
      <c r="DF96" s="25">
        <v>-12.153308868408203</v>
      </c>
      <c r="DJ96" s="25">
        <v>0.47499999403953552</v>
      </c>
      <c r="DK96" s="25">
        <v>-240.45773315429687</v>
      </c>
      <c r="DL96" s="25">
        <v>1.1738096475601196</v>
      </c>
      <c r="DM96" s="25">
        <v>0</v>
      </c>
      <c r="DN96" s="25">
        <v>0</v>
      </c>
      <c r="DO96" s="25">
        <v>0</v>
      </c>
      <c r="DP96" s="25">
        <v>-13.835934638977051</v>
      </c>
      <c r="DT96" s="25">
        <v>0.47499999403953552</v>
      </c>
      <c r="DU96" s="25">
        <v>-111.36489868164062</v>
      </c>
      <c r="DV96" s="25">
        <v>-0.62438154220581055</v>
      </c>
      <c r="DW96" s="25">
        <v>0</v>
      </c>
      <c r="DX96" s="25">
        <v>0</v>
      </c>
      <c r="DY96" s="25">
        <v>0</v>
      </c>
      <c r="DZ96" s="25">
        <v>12.251130104064941</v>
      </c>
      <c r="ED96" s="25">
        <v>0.47499999403953552</v>
      </c>
      <c r="EE96" s="25">
        <v>2.9342925548553467</v>
      </c>
      <c r="EF96" s="25">
        <v>19.091854095458984</v>
      </c>
      <c r="EG96" s="25">
        <v>0</v>
      </c>
      <c r="EH96" s="25">
        <v>0</v>
      </c>
      <c r="EI96" s="25">
        <v>0</v>
      </c>
      <c r="EJ96" s="25">
        <v>-151.57963562011719</v>
      </c>
      <c r="EN96" s="25">
        <v>0.47499999403953552</v>
      </c>
      <c r="EO96" s="25">
        <v>1.8015804290771484</v>
      </c>
      <c r="EP96" s="25">
        <v>10.467860221862793</v>
      </c>
      <c r="EQ96" s="25">
        <v>0</v>
      </c>
      <c r="ER96" s="25">
        <v>0</v>
      </c>
      <c r="ES96" s="25">
        <v>0</v>
      </c>
      <c r="ET96" s="25">
        <v>-83.195518493652344</v>
      </c>
      <c r="EX96" s="25">
        <v>0.47499999403953552</v>
      </c>
      <c r="EY96" s="25">
        <v>57.06207275390625</v>
      </c>
      <c r="EZ96" s="25">
        <v>151.36689758300781</v>
      </c>
      <c r="FA96" s="25">
        <v>0</v>
      </c>
      <c r="FB96" s="25">
        <v>0</v>
      </c>
      <c r="FC96" s="25">
        <v>0</v>
      </c>
      <c r="FD96" s="25">
        <v>-1205.85595703125</v>
      </c>
      <c r="FH96" s="25">
        <v>0.47499999403953552</v>
      </c>
      <c r="FI96" s="25">
        <v>104.49756622314453</v>
      </c>
      <c r="FJ96" s="25">
        <v>302.76171875</v>
      </c>
      <c r="FK96" s="25">
        <v>0</v>
      </c>
      <c r="FL96" s="25">
        <v>0</v>
      </c>
      <c r="FM96" s="25">
        <v>0</v>
      </c>
      <c r="FN96" s="25">
        <v>-2412.705078125</v>
      </c>
    </row>
    <row r="97" spans="2:170">
      <c r="C97" s="25">
        <v>9</v>
      </c>
      <c r="D97" s="25">
        <v>1.5249999761581421</v>
      </c>
      <c r="E97" s="25">
        <v>-5826.20361328125</v>
      </c>
      <c r="F97" s="25">
        <v>9.768458366394043</v>
      </c>
      <c r="G97" s="25">
        <v>0</v>
      </c>
      <c r="H97" s="25">
        <v>0</v>
      </c>
      <c r="I97" s="25">
        <v>0</v>
      </c>
      <c r="J97" s="25">
        <v>-107.99510955810547</v>
      </c>
      <c r="M97" s="25">
        <v>12</v>
      </c>
      <c r="N97" s="25">
        <v>17.075000762939453</v>
      </c>
      <c r="O97" s="25">
        <v>-3677.546142578125</v>
      </c>
      <c r="P97" s="25">
        <v>-8.9320163726806641</v>
      </c>
      <c r="Q97" s="25">
        <v>0</v>
      </c>
      <c r="R97" s="25">
        <v>0</v>
      </c>
      <c r="S97" s="25">
        <v>0</v>
      </c>
      <c r="T97" s="25">
        <v>-73.043601989746094</v>
      </c>
      <c r="W97" s="25">
        <v>12</v>
      </c>
      <c r="X97" s="25">
        <v>17.075000762939453</v>
      </c>
      <c r="Y97" s="25">
        <v>-123.18038177490234</v>
      </c>
      <c r="Z97" s="25">
        <v>14.766364097595215</v>
      </c>
      <c r="AA97" s="25">
        <v>0</v>
      </c>
      <c r="AB97" s="25">
        <v>0</v>
      </c>
      <c r="AC97" s="25">
        <v>0</v>
      </c>
      <c r="AD97" s="25">
        <v>128.67793273925781</v>
      </c>
      <c r="AG97" s="25">
        <v>12</v>
      </c>
      <c r="AH97" s="25">
        <v>17.075000762939453</v>
      </c>
      <c r="AI97" s="25">
        <v>65.6146240234375</v>
      </c>
      <c r="AJ97" s="25">
        <v>23.989080429077148</v>
      </c>
      <c r="AK97" s="25">
        <v>0</v>
      </c>
      <c r="AL97" s="25">
        <v>0</v>
      </c>
      <c r="AM97" s="25">
        <v>0</v>
      </c>
      <c r="AN97" s="25">
        <v>205.2548828125</v>
      </c>
      <c r="AQ97" s="25">
        <v>12</v>
      </c>
      <c r="AR97" s="25">
        <v>17.075000762939453</v>
      </c>
      <c r="AS97" s="25">
        <v>-111.75552368164062</v>
      </c>
      <c r="AT97" s="25">
        <v>-0.34302970767021179</v>
      </c>
      <c r="AU97" s="25">
        <v>0</v>
      </c>
      <c r="AV97" s="25">
        <v>0</v>
      </c>
      <c r="AW97" s="25">
        <v>0</v>
      </c>
      <c r="AX97" s="25">
        <v>-2.1898295879364014</v>
      </c>
      <c r="BA97" s="25">
        <v>12</v>
      </c>
      <c r="BB97" s="25">
        <v>17.075000762939453</v>
      </c>
      <c r="BC97" s="25">
        <v>-264.316650390625</v>
      </c>
      <c r="BD97" s="25">
        <v>-0.79613083600997925</v>
      </c>
      <c r="BE97" s="25">
        <v>0</v>
      </c>
      <c r="BF97" s="25">
        <v>0</v>
      </c>
      <c r="BG97" s="25">
        <v>0</v>
      </c>
      <c r="BH97" s="25">
        <v>-5.0756816864013672</v>
      </c>
      <c r="BK97" s="25">
        <v>12</v>
      </c>
      <c r="BL97" s="25">
        <v>17.075000762939453</v>
      </c>
      <c r="BM97" s="25">
        <v>-499.36785888671875</v>
      </c>
      <c r="BN97" s="25">
        <v>-1.503750205039978</v>
      </c>
      <c r="BO97" s="25">
        <v>0</v>
      </c>
      <c r="BP97" s="25">
        <v>0</v>
      </c>
      <c r="BQ97" s="25">
        <v>0</v>
      </c>
      <c r="BR97" s="25">
        <v>-9.5870780944824219</v>
      </c>
      <c r="BU97" s="25">
        <v>12</v>
      </c>
      <c r="BV97" s="25">
        <v>17.075000762939453</v>
      </c>
      <c r="BW97" s="25">
        <v>-304.5057373046875</v>
      </c>
      <c r="BX97" s="25">
        <v>0.63440495729446411</v>
      </c>
      <c r="BY97" s="25">
        <v>0</v>
      </c>
      <c r="BZ97" s="25">
        <v>0</v>
      </c>
      <c r="CA97" s="25">
        <v>0</v>
      </c>
      <c r="CB97" s="25">
        <v>-1.6221864223480225</v>
      </c>
      <c r="CE97" s="25">
        <v>12</v>
      </c>
      <c r="CF97" s="25">
        <v>17.075000762939453</v>
      </c>
      <c r="CG97" s="25">
        <v>-240.45773315429687</v>
      </c>
      <c r="CH97" s="25">
        <v>1.1738096475601196</v>
      </c>
      <c r="CI97" s="25">
        <v>0</v>
      </c>
      <c r="CJ97" s="25">
        <v>0</v>
      </c>
      <c r="CK97" s="25">
        <v>0</v>
      </c>
      <c r="CL97" s="25">
        <v>5.6493067741394043</v>
      </c>
      <c r="CO97" s="25">
        <v>12</v>
      </c>
      <c r="CP97" s="25">
        <v>17.075000762939453</v>
      </c>
      <c r="CQ97" s="25">
        <v>-111.36489868164062</v>
      </c>
      <c r="CR97" s="25">
        <v>-0.62438154220581055</v>
      </c>
      <c r="CS97" s="25">
        <v>0</v>
      </c>
      <c r="CT97" s="25">
        <v>0</v>
      </c>
      <c r="CU97" s="25">
        <v>0</v>
      </c>
      <c r="CV97" s="25">
        <v>1.8863962888717651</v>
      </c>
      <c r="CY97" s="25">
        <v>12</v>
      </c>
      <c r="CZ97" s="25">
        <v>17.075000762939453</v>
      </c>
      <c r="DA97" s="25">
        <v>-304.5057373046875</v>
      </c>
      <c r="DB97" s="25">
        <v>0.63440495729446411</v>
      </c>
      <c r="DC97" s="25">
        <v>0</v>
      </c>
      <c r="DD97" s="25">
        <v>0</v>
      </c>
      <c r="DE97" s="25">
        <v>0</v>
      </c>
      <c r="DF97" s="25">
        <v>-1.6221864223480225</v>
      </c>
      <c r="DI97" s="25">
        <v>12</v>
      </c>
      <c r="DJ97" s="25">
        <v>17.075000762939453</v>
      </c>
      <c r="DK97" s="25">
        <v>-240.45773315429687</v>
      </c>
      <c r="DL97" s="25">
        <v>1.1738096475601196</v>
      </c>
      <c r="DM97" s="25">
        <v>0</v>
      </c>
      <c r="DN97" s="25">
        <v>0</v>
      </c>
      <c r="DO97" s="25">
        <v>0</v>
      </c>
      <c r="DP97" s="25">
        <v>5.6493067741394043</v>
      </c>
      <c r="DS97" s="25">
        <v>12</v>
      </c>
      <c r="DT97" s="25">
        <v>17.075000762939453</v>
      </c>
      <c r="DU97" s="25">
        <v>-111.36489868164062</v>
      </c>
      <c r="DV97" s="25">
        <v>-0.62438154220581055</v>
      </c>
      <c r="DW97" s="25">
        <v>0</v>
      </c>
      <c r="DX97" s="25">
        <v>0</v>
      </c>
      <c r="DY97" s="25">
        <v>0</v>
      </c>
      <c r="DZ97" s="25">
        <v>1.8863962888717651</v>
      </c>
      <c r="EC97" s="25">
        <v>12</v>
      </c>
      <c r="ED97" s="25">
        <v>17.075000762939453</v>
      </c>
      <c r="EE97" s="25">
        <v>2.9342925548553467</v>
      </c>
      <c r="EF97" s="25">
        <v>19.091854095458984</v>
      </c>
      <c r="EG97" s="25">
        <v>0</v>
      </c>
      <c r="EH97" s="25">
        <v>0</v>
      </c>
      <c r="EI97" s="25">
        <v>0</v>
      </c>
      <c r="EJ97" s="25">
        <v>165.34512329101562</v>
      </c>
      <c r="EM97" s="25">
        <v>12</v>
      </c>
      <c r="EN97" s="25">
        <v>17.075000762939453</v>
      </c>
      <c r="EO97" s="25">
        <v>1.8015804290771484</v>
      </c>
      <c r="EP97" s="25">
        <v>10.467860221862793</v>
      </c>
      <c r="EQ97" s="25">
        <v>0</v>
      </c>
      <c r="ER97" s="25">
        <v>0</v>
      </c>
      <c r="ES97" s="25">
        <v>0</v>
      </c>
      <c r="ET97" s="25">
        <v>90.570953369140625</v>
      </c>
      <c r="EW97" s="25">
        <v>12</v>
      </c>
      <c r="EX97" s="25">
        <v>17.075000762939453</v>
      </c>
      <c r="EY97" s="25">
        <v>57.06207275390625</v>
      </c>
      <c r="EZ97" s="25">
        <v>151.36689758300781</v>
      </c>
      <c r="FA97" s="25">
        <v>0</v>
      </c>
      <c r="FB97" s="25">
        <v>0</v>
      </c>
      <c r="FC97" s="25">
        <v>0</v>
      </c>
      <c r="FD97" s="25">
        <v>1306.8345947265625</v>
      </c>
      <c r="FG97" s="25">
        <v>12</v>
      </c>
      <c r="FH97" s="25">
        <v>17.075000762939453</v>
      </c>
      <c r="FI97" s="25">
        <v>104.49756622314453</v>
      </c>
      <c r="FJ97" s="25">
        <v>302.76171875</v>
      </c>
      <c r="FK97" s="25">
        <v>0</v>
      </c>
      <c r="FL97" s="25">
        <v>0</v>
      </c>
      <c r="FM97" s="25">
        <v>0</v>
      </c>
      <c r="FN97" s="25">
        <v>2613.1396484375</v>
      </c>
    </row>
    <row r="98" spans="2:170">
      <c r="B98" s="25">
        <v>11</v>
      </c>
      <c r="C98" s="25">
        <v>9</v>
      </c>
      <c r="D98" s="25">
        <v>0</v>
      </c>
      <c r="E98" s="25">
        <v>-5826.20361328125</v>
      </c>
      <c r="F98" s="25">
        <v>9.768458366394043</v>
      </c>
      <c r="G98" s="25">
        <v>0</v>
      </c>
      <c r="H98" s="25">
        <v>0</v>
      </c>
      <c r="I98" s="25">
        <v>0</v>
      </c>
      <c r="J98" s="25">
        <v>-107.99510955810547</v>
      </c>
      <c r="L98" s="25">
        <v>10</v>
      </c>
      <c r="M98" s="25">
        <v>4</v>
      </c>
      <c r="N98" s="25">
        <v>0</v>
      </c>
      <c r="O98" s="25">
        <v>-2812.76904296875</v>
      </c>
      <c r="P98" s="25">
        <v>20.024114608764648</v>
      </c>
      <c r="Q98" s="25">
        <v>0</v>
      </c>
      <c r="R98" s="25">
        <v>0</v>
      </c>
      <c r="S98" s="25">
        <v>0</v>
      </c>
      <c r="T98" s="25">
        <v>-268.57699584960937</v>
      </c>
      <c r="V98" s="25">
        <v>10</v>
      </c>
      <c r="W98" s="25">
        <v>4</v>
      </c>
      <c r="X98" s="25">
        <v>0</v>
      </c>
      <c r="Y98" s="25">
        <v>-104.53864288330078</v>
      </c>
      <c r="Z98" s="25">
        <v>-13.524229049682617</v>
      </c>
      <c r="AA98" s="25">
        <v>0</v>
      </c>
      <c r="AB98" s="25">
        <v>0</v>
      </c>
      <c r="AC98" s="25">
        <v>0</v>
      </c>
      <c r="AD98" s="25">
        <v>132.11207580566406</v>
      </c>
      <c r="AF98" s="25">
        <v>10</v>
      </c>
      <c r="AG98" s="25">
        <v>4</v>
      </c>
      <c r="AH98" s="25">
        <v>0</v>
      </c>
      <c r="AI98" s="25">
        <v>31.134305953979492</v>
      </c>
      <c r="AJ98" s="25">
        <v>23.098335266113281</v>
      </c>
      <c r="AK98" s="25">
        <v>0</v>
      </c>
      <c r="AL98" s="25">
        <v>0</v>
      </c>
      <c r="AM98" s="25">
        <v>0</v>
      </c>
      <c r="AN98" s="25">
        <v>-229.67140197753906</v>
      </c>
      <c r="AP98" s="25">
        <v>10</v>
      </c>
      <c r="AQ98" s="25">
        <v>4</v>
      </c>
      <c r="AR98" s="25">
        <v>0</v>
      </c>
      <c r="AS98" s="25">
        <v>-111.04856872558594</v>
      </c>
      <c r="AT98" s="25">
        <v>0.28183895349502563</v>
      </c>
      <c r="AU98" s="25">
        <v>0</v>
      </c>
      <c r="AV98" s="25">
        <v>0</v>
      </c>
      <c r="AW98" s="25">
        <v>0</v>
      </c>
      <c r="AX98" s="25">
        <v>-3.6164824962615967</v>
      </c>
      <c r="AZ98" s="25">
        <v>10</v>
      </c>
      <c r="BA98" s="25">
        <v>4</v>
      </c>
      <c r="BB98" s="25">
        <v>0</v>
      </c>
      <c r="BC98" s="25">
        <v>-262.72601318359375</v>
      </c>
      <c r="BD98" s="25">
        <v>0.6584516167640686</v>
      </c>
      <c r="BE98" s="25">
        <v>0</v>
      </c>
      <c r="BF98" s="25">
        <v>0</v>
      </c>
      <c r="BG98" s="25">
        <v>0</v>
      </c>
      <c r="BH98" s="25">
        <v>-8.440760612487793</v>
      </c>
      <c r="BJ98" s="25">
        <v>10</v>
      </c>
      <c r="BK98" s="25">
        <v>4</v>
      </c>
      <c r="BL98" s="25">
        <v>0</v>
      </c>
      <c r="BM98" s="25">
        <v>-496.36328125</v>
      </c>
      <c r="BN98" s="25">
        <v>1.2436895370483398</v>
      </c>
      <c r="BO98" s="25">
        <v>0</v>
      </c>
      <c r="BP98" s="25">
        <v>0</v>
      </c>
      <c r="BQ98" s="25">
        <v>0</v>
      </c>
      <c r="BR98" s="25">
        <v>-15.943004608154297</v>
      </c>
      <c r="BT98" s="25">
        <v>10</v>
      </c>
      <c r="BU98" s="25">
        <v>4</v>
      </c>
      <c r="BV98" s="25">
        <v>0</v>
      </c>
      <c r="BW98" s="25">
        <v>-123.35663604736328</v>
      </c>
      <c r="BX98" s="25">
        <v>0.56619340181350708</v>
      </c>
      <c r="BY98" s="25">
        <v>0</v>
      </c>
      <c r="BZ98" s="25">
        <v>0</v>
      </c>
      <c r="CA98" s="25">
        <v>0</v>
      </c>
      <c r="CB98" s="25">
        <v>-12.576179504394531</v>
      </c>
      <c r="CD98" s="25">
        <v>10</v>
      </c>
      <c r="CE98" s="25">
        <v>4</v>
      </c>
      <c r="CF98" s="25">
        <v>0</v>
      </c>
      <c r="CG98" s="25">
        <v>-152.284912109375</v>
      </c>
      <c r="CH98" s="25">
        <v>0.23219484090805054</v>
      </c>
      <c r="CI98" s="25">
        <v>0</v>
      </c>
      <c r="CJ98" s="25">
        <v>0</v>
      </c>
      <c r="CK98" s="25">
        <v>0</v>
      </c>
      <c r="CL98" s="25">
        <v>-4.4303727149963379</v>
      </c>
      <c r="CN98" s="25">
        <v>10</v>
      </c>
      <c r="CO98" s="25">
        <v>4</v>
      </c>
      <c r="CP98" s="25">
        <v>0</v>
      </c>
      <c r="CQ98" s="25">
        <v>-316.5816650390625</v>
      </c>
      <c r="CR98" s="25">
        <v>-1.1910519599914551</v>
      </c>
      <c r="CS98" s="25">
        <v>0</v>
      </c>
      <c r="CT98" s="25">
        <v>0</v>
      </c>
      <c r="CU98" s="25">
        <v>0</v>
      </c>
      <c r="CV98" s="25">
        <v>20.565271377563477</v>
      </c>
      <c r="CX98" s="25">
        <v>10</v>
      </c>
      <c r="CY98" s="25">
        <v>4</v>
      </c>
      <c r="CZ98" s="25">
        <v>0</v>
      </c>
      <c r="DA98" s="25">
        <v>-123.35663604736328</v>
      </c>
      <c r="DB98" s="25">
        <v>0.56619340181350708</v>
      </c>
      <c r="DC98" s="25">
        <v>0</v>
      </c>
      <c r="DD98" s="25">
        <v>0</v>
      </c>
      <c r="DE98" s="25">
        <v>0</v>
      </c>
      <c r="DF98" s="25">
        <v>-12.576179504394531</v>
      </c>
      <c r="DH98" s="25">
        <v>10</v>
      </c>
      <c r="DI98" s="25">
        <v>4</v>
      </c>
      <c r="DJ98" s="25">
        <v>0</v>
      </c>
      <c r="DK98" s="25">
        <v>-152.284912109375</v>
      </c>
      <c r="DL98" s="25">
        <v>0.23219484090805054</v>
      </c>
      <c r="DM98" s="25">
        <v>0</v>
      </c>
      <c r="DN98" s="25">
        <v>0</v>
      </c>
      <c r="DO98" s="25">
        <v>0</v>
      </c>
      <c r="DP98" s="25">
        <v>-4.4303727149963379</v>
      </c>
      <c r="DR98" s="25">
        <v>10</v>
      </c>
      <c r="DS98" s="25">
        <v>4</v>
      </c>
      <c r="DT98" s="25">
        <v>0</v>
      </c>
      <c r="DU98" s="25">
        <v>-316.5816650390625</v>
      </c>
      <c r="DV98" s="25">
        <v>-1.1910519599914551</v>
      </c>
      <c r="DW98" s="25">
        <v>0</v>
      </c>
      <c r="DX98" s="25">
        <v>0</v>
      </c>
      <c r="DY98" s="25">
        <v>0</v>
      </c>
      <c r="DZ98" s="25">
        <v>20.565271377563477</v>
      </c>
      <c r="EB98" s="25">
        <v>10</v>
      </c>
      <c r="EC98" s="25">
        <v>4</v>
      </c>
      <c r="ED98" s="25">
        <v>0</v>
      </c>
      <c r="EE98" s="25">
        <v>-23.654167175292969</v>
      </c>
      <c r="EF98" s="25">
        <v>19.706117630004883</v>
      </c>
      <c r="EG98" s="25">
        <v>0</v>
      </c>
      <c r="EH98" s="25">
        <v>0</v>
      </c>
      <c r="EI98" s="25">
        <v>0</v>
      </c>
      <c r="EJ98" s="25">
        <v>-197.43264770507812</v>
      </c>
      <c r="EL98" s="25">
        <v>10</v>
      </c>
      <c r="EM98" s="25">
        <v>4</v>
      </c>
      <c r="EN98" s="25">
        <v>0</v>
      </c>
      <c r="EO98" s="25">
        <v>-11.796228408813477</v>
      </c>
      <c r="EP98" s="25">
        <v>10.764162063598633</v>
      </c>
      <c r="EQ98" s="25">
        <v>0</v>
      </c>
      <c r="ER98" s="25">
        <v>0</v>
      </c>
      <c r="ES98" s="25">
        <v>0</v>
      </c>
      <c r="ET98" s="25">
        <v>-107.83067321777344</v>
      </c>
      <c r="EV98" s="25">
        <v>10</v>
      </c>
      <c r="EW98" s="25">
        <v>4</v>
      </c>
      <c r="EX98" s="25">
        <v>0</v>
      </c>
      <c r="EY98" s="25">
        <v>-116.16238403320312</v>
      </c>
      <c r="EZ98" s="25">
        <v>153.75514221191406</v>
      </c>
      <c r="FA98" s="25">
        <v>0</v>
      </c>
      <c r="FB98" s="25">
        <v>0</v>
      </c>
      <c r="FC98" s="25">
        <v>0</v>
      </c>
      <c r="FD98" s="25">
        <v>-1538.4041748046875</v>
      </c>
      <c r="FF98" s="25">
        <v>10</v>
      </c>
      <c r="FG98" s="25">
        <v>4</v>
      </c>
      <c r="FH98" s="25">
        <v>0</v>
      </c>
      <c r="FI98" s="25">
        <v>-222.68508911132812</v>
      </c>
      <c r="FJ98" s="25">
        <v>307.537841796875</v>
      </c>
      <c r="FK98" s="25">
        <v>0</v>
      </c>
      <c r="FL98" s="25">
        <v>0</v>
      </c>
      <c r="FM98" s="25">
        <v>0</v>
      </c>
      <c r="FN98" s="25">
        <v>-3077.85302734375</v>
      </c>
    </row>
    <row r="99" spans="2:170">
      <c r="C99" s="25">
        <v>13</v>
      </c>
      <c r="D99" s="25">
        <v>17.075000762939453</v>
      </c>
      <c r="E99" s="25">
        <v>-8822.50390625</v>
      </c>
      <c r="F99" s="25">
        <v>9.768458366394043</v>
      </c>
      <c r="G99" s="25">
        <v>0</v>
      </c>
      <c r="H99" s="25">
        <v>0</v>
      </c>
      <c r="I99" s="25">
        <v>0</v>
      </c>
      <c r="J99" s="25">
        <v>58.801315307617188</v>
      </c>
      <c r="M99" s="25">
        <v>9</v>
      </c>
      <c r="N99" s="25">
        <v>1.5249999761581421</v>
      </c>
      <c r="O99" s="25">
        <v>-2812.76904296875</v>
      </c>
      <c r="P99" s="25">
        <v>20.024114608764648</v>
      </c>
      <c r="Q99" s="25">
        <v>0</v>
      </c>
      <c r="R99" s="25">
        <v>0</v>
      </c>
      <c r="S99" s="25">
        <v>0</v>
      </c>
      <c r="T99" s="25">
        <v>-238.04022216796875</v>
      </c>
      <c r="W99" s="25">
        <v>9</v>
      </c>
      <c r="X99" s="25">
        <v>1.5249999761581421</v>
      </c>
      <c r="Y99" s="25">
        <v>-104.53864288330078</v>
      </c>
      <c r="Z99" s="25">
        <v>-13.524229049682617</v>
      </c>
      <c r="AA99" s="25">
        <v>0</v>
      </c>
      <c r="AB99" s="25">
        <v>0</v>
      </c>
      <c r="AC99" s="25">
        <v>0</v>
      </c>
      <c r="AD99" s="25">
        <v>111.48762512207031</v>
      </c>
      <c r="AG99" s="25">
        <v>9</v>
      </c>
      <c r="AH99" s="25">
        <v>1.5249999761581421</v>
      </c>
      <c r="AI99" s="25">
        <v>31.134305953979492</v>
      </c>
      <c r="AJ99" s="25">
        <v>23.098335266113281</v>
      </c>
      <c r="AK99" s="25">
        <v>0</v>
      </c>
      <c r="AL99" s="25">
        <v>0</v>
      </c>
      <c r="AM99" s="25">
        <v>0</v>
      </c>
      <c r="AN99" s="25">
        <v>-194.44644165039062</v>
      </c>
      <c r="AQ99" s="25">
        <v>9</v>
      </c>
      <c r="AR99" s="25">
        <v>1.5249999761581421</v>
      </c>
      <c r="AS99" s="25">
        <v>-111.04856872558594</v>
      </c>
      <c r="AT99" s="25">
        <v>0.28183895349502563</v>
      </c>
      <c r="AU99" s="25">
        <v>0</v>
      </c>
      <c r="AV99" s="25">
        <v>0</v>
      </c>
      <c r="AW99" s="25">
        <v>0</v>
      </c>
      <c r="AX99" s="25">
        <v>-3.1866781711578369</v>
      </c>
      <c r="BA99" s="25">
        <v>9</v>
      </c>
      <c r="BB99" s="25">
        <v>1.5249999761581421</v>
      </c>
      <c r="BC99" s="25">
        <v>-262.72601318359375</v>
      </c>
      <c r="BD99" s="25">
        <v>0.6584516167640686</v>
      </c>
      <c r="BE99" s="25">
        <v>0</v>
      </c>
      <c r="BF99" s="25">
        <v>0</v>
      </c>
      <c r="BG99" s="25">
        <v>0</v>
      </c>
      <c r="BH99" s="25">
        <v>-7.4366216659545898</v>
      </c>
      <c r="BK99" s="25">
        <v>9</v>
      </c>
      <c r="BL99" s="25">
        <v>1.5249999761581421</v>
      </c>
      <c r="BM99" s="25">
        <v>-496.36328125</v>
      </c>
      <c r="BN99" s="25">
        <v>1.2436895370483398</v>
      </c>
      <c r="BO99" s="25">
        <v>0</v>
      </c>
      <c r="BP99" s="25">
        <v>0</v>
      </c>
      <c r="BQ99" s="25">
        <v>0</v>
      </c>
      <c r="BR99" s="25">
        <v>-14.046378135681152</v>
      </c>
      <c r="BU99" s="25">
        <v>9</v>
      </c>
      <c r="BV99" s="25">
        <v>1.5249999761581421</v>
      </c>
      <c r="BW99" s="25">
        <v>-123.35663604736328</v>
      </c>
      <c r="BX99" s="25">
        <v>0.56619340181350708</v>
      </c>
      <c r="BY99" s="25">
        <v>0</v>
      </c>
      <c r="BZ99" s="25">
        <v>0</v>
      </c>
      <c r="CA99" s="25">
        <v>0</v>
      </c>
      <c r="CB99" s="25">
        <v>-11.712734222412109</v>
      </c>
      <c r="CE99" s="25">
        <v>9</v>
      </c>
      <c r="CF99" s="25">
        <v>1.5249999761581421</v>
      </c>
      <c r="CG99" s="25">
        <v>-152.284912109375</v>
      </c>
      <c r="CH99" s="25">
        <v>0.23219484090805054</v>
      </c>
      <c r="CI99" s="25">
        <v>0</v>
      </c>
      <c r="CJ99" s="25">
        <v>0</v>
      </c>
      <c r="CK99" s="25">
        <v>0</v>
      </c>
      <c r="CL99" s="25">
        <v>-4.0762753486633301</v>
      </c>
      <c r="CO99" s="25">
        <v>9</v>
      </c>
      <c r="CP99" s="25">
        <v>1.5249999761581421</v>
      </c>
      <c r="CQ99" s="25">
        <v>-316.5816650390625</v>
      </c>
      <c r="CR99" s="25">
        <v>-1.1910519599914551</v>
      </c>
      <c r="CS99" s="25">
        <v>0</v>
      </c>
      <c r="CT99" s="25">
        <v>0</v>
      </c>
      <c r="CU99" s="25">
        <v>0</v>
      </c>
      <c r="CV99" s="25">
        <v>18.748918533325195</v>
      </c>
      <c r="CY99" s="25">
        <v>9</v>
      </c>
      <c r="CZ99" s="25">
        <v>1.5249999761581421</v>
      </c>
      <c r="DA99" s="25">
        <v>-123.35663604736328</v>
      </c>
      <c r="DB99" s="25">
        <v>0.56619340181350708</v>
      </c>
      <c r="DC99" s="25">
        <v>0</v>
      </c>
      <c r="DD99" s="25">
        <v>0</v>
      </c>
      <c r="DE99" s="25">
        <v>0</v>
      </c>
      <c r="DF99" s="25">
        <v>-11.712734222412109</v>
      </c>
      <c r="DI99" s="25">
        <v>9</v>
      </c>
      <c r="DJ99" s="25">
        <v>1.5249999761581421</v>
      </c>
      <c r="DK99" s="25">
        <v>-152.284912109375</v>
      </c>
      <c r="DL99" s="25">
        <v>0.23219484090805054</v>
      </c>
      <c r="DM99" s="25">
        <v>0</v>
      </c>
      <c r="DN99" s="25">
        <v>0</v>
      </c>
      <c r="DO99" s="25">
        <v>0</v>
      </c>
      <c r="DP99" s="25">
        <v>-4.0762753486633301</v>
      </c>
      <c r="DS99" s="25">
        <v>9</v>
      </c>
      <c r="DT99" s="25">
        <v>1.5249999761581421</v>
      </c>
      <c r="DU99" s="25">
        <v>-316.5816650390625</v>
      </c>
      <c r="DV99" s="25">
        <v>-1.1910519599914551</v>
      </c>
      <c r="DW99" s="25">
        <v>0</v>
      </c>
      <c r="DX99" s="25">
        <v>0</v>
      </c>
      <c r="DY99" s="25">
        <v>0</v>
      </c>
      <c r="DZ99" s="25">
        <v>18.748918533325195</v>
      </c>
      <c r="EC99" s="25">
        <v>9</v>
      </c>
      <c r="ED99" s="25">
        <v>1.5249999761581421</v>
      </c>
      <c r="EE99" s="25">
        <v>-23.654167175292969</v>
      </c>
      <c r="EF99" s="25">
        <v>19.706117630004883</v>
      </c>
      <c r="EG99" s="25">
        <v>0</v>
      </c>
      <c r="EH99" s="25">
        <v>0</v>
      </c>
      <c r="EI99" s="25">
        <v>0</v>
      </c>
      <c r="EJ99" s="25">
        <v>-167.38081359863281</v>
      </c>
      <c r="EM99" s="25">
        <v>9</v>
      </c>
      <c r="EN99" s="25">
        <v>1.5249999761581421</v>
      </c>
      <c r="EO99" s="25">
        <v>-11.796228408813477</v>
      </c>
      <c r="EP99" s="25">
        <v>10.764162063598633</v>
      </c>
      <c r="EQ99" s="25">
        <v>0</v>
      </c>
      <c r="ER99" s="25">
        <v>0</v>
      </c>
      <c r="ES99" s="25">
        <v>0</v>
      </c>
      <c r="ET99" s="25">
        <v>-91.415321350097656</v>
      </c>
      <c r="EW99" s="25">
        <v>9</v>
      </c>
      <c r="EX99" s="25">
        <v>1.5249999761581421</v>
      </c>
      <c r="EY99" s="25">
        <v>-116.16238403320312</v>
      </c>
      <c r="EZ99" s="25">
        <v>153.75514221191406</v>
      </c>
      <c r="FA99" s="25">
        <v>0</v>
      </c>
      <c r="FB99" s="25">
        <v>0</v>
      </c>
      <c r="FC99" s="25">
        <v>0</v>
      </c>
      <c r="FD99" s="25">
        <v>-1303.9276123046875</v>
      </c>
      <c r="FG99" s="25">
        <v>9</v>
      </c>
      <c r="FH99" s="25">
        <v>1.5249999761581421</v>
      </c>
      <c r="FI99" s="25">
        <v>-222.68508911132812</v>
      </c>
      <c r="FJ99" s="25">
        <v>307.537841796875</v>
      </c>
      <c r="FK99" s="25">
        <v>0</v>
      </c>
      <c r="FL99" s="25">
        <v>0</v>
      </c>
      <c r="FM99" s="25">
        <v>0</v>
      </c>
      <c r="FN99" s="25">
        <v>-2608.857666015625</v>
      </c>
    </row>
    <row r="100" spans="2:170">
      <c r="B100" s="25">
        <v>12</v>
      </c>
      <c r="C100" s="25">
        <v>5</v>
      </c>
      <c r="D100" s="25">
        <v>0</v>
      </c>
      <c r="E100" s="25">
        <v>-4507.81640625</v>
      </c>
      <c r="F100" s="25">
        <v>32.820781707763672</v>
      </c>
      <c r="G100" s="25">
        <v>0</v>
      </c>
      <c r="H100" s="25">
        <v>0</v>
      </c>
      <c r="I100" s="25">
        <v>0</v>
      </c>
      <c r="J100" s="25">
        <v>-410.79269409179687</v>
      </c>
      <c r="L100" s="25">
        <v>11</v>
      </c>
      <c r="M100" s="25">
        <v>9</v>
      </c>
      <c r="N100" s="25">
        <v>0</v>
      </c>
      <c r="O100" s="25">
        <v>-2812.76904296875</v>
      </c>
      <c r="P100" s="25">
        <v>20.024114608764648</v>
      </c>
      <c r="Q100" s="25">
        <v>0</v>
      </c>
      <c r="R100" s="25">
        <v>0</v>
      </c>
      <c r="S100" s="25">
        <v>0</v>
      </c>
      <c r="T100" s="25">
        <v>-238.04022216796875</v>
      </c>
      <c r="V100" s="25">
        <v>11</v>
      </c>
      <c r="W100" s="25">
        <v>9</v>
      </c>
      <c r="X100" s="25">
        <v>0</v>
      </c>
      <c r="Y100" s="25">
        <v>-104.53864288330078</v>
      </c>
      <c r="Z100" s="25">
        <v>-13.524229049682617</v>
      </c>
      <c r="AA100" s="25">
        <v>0</v>
      </c>
      <c r="AB100" s="25">
        <v>0</v>
      </c>
      <c r="AC100" s="25">
        <v>0</v>
      </c>
      <c r="AD100" s="25">
        <v>111.48762512207031</v>
      </c>
      <c r="AF100" s="25">
        <v>11</v>
      </c>
      <c r="AG100" s="25">
        <v>9</v>
      </c>
      <c r="AH100" s="25">
        <v>0</v>
      </c>
      <c r="AI100" s="25">
        <v>31.134305953979492</v>
      </c>
      <c r="AJ100" s="25">
        <v>23.098335266113281</v>
      </c>
      <c r="AK100" s="25">
        <v>0</v>
      </c>
      <c r="AL100" s="25">
        <v>0</v>
      </c>
      <c r="AM100" s="25">
        <v>0</v>
      </c>
      <c r="AN100" s="25">
        <v>-194.44644165039062</v>
      </c>
      <c r="AP100" s="25">
        <v>11</v>
      </c>
      <c r="AQ100" s="25">
        <v>9</v>
      </c>
      <c r="AR100" s="25">
        <v>0</v>
      </c>
      <c r="AS100" s="25">
        <v>-111.04856872558594</v>
      </c>
      <c r="AT100" s="25">
        <v>0.28183895349502563</v>
      </c>
      <c r="AU100" s="25">
        <v>0</v>
      </c>
      <c r="AV100" s="25">
        <v>0</v>
      </c>
      <c r="AW100" s="25">
        <v>0</v>
      </c>
      <c r="AX100" s="25">
        <v>-3.1866781711578369</v>
      </c>
      <c r="AZ100" s="25">
        <v>11</v>
      </c>
      <c r="BA100" s="25">
        <v>9</v>
      </c>
      <c r="BB100" s="25">
        <v>0</v>
      </c>
      <c r="BC100" s="25">
        <v>-262.72601318359375</v>
      </c>
      <c r="BD100" s="25">
        <v>0.6584516167640686</v>
      </c>
      <c r="BE100" s="25">
        <v>0</v>
      </c>
      <c r="BF100" s="25">
        <v>0</v>
      </c>
      <c r="BG100" s="25">
        <v>0</v>
      </c>
      <c r="BH100" s="25">
        <v>-7.4366216659545898</v>
      </c>
      <c r="BJ100" s="25">
        <v>11</v>
      </c>
      <c r="BK100" s="25">
        <v>9</v>
      </c>
      <c r="BL100" s="25">
        <v>0</v>
      </c>
      <c r="BM100" s="25">
        <v>-496.36328125</v>
      </c>
      <c r="BN100" s="25">
        <v>1.2436895370483398</v>
      </c>
      <c r="BO100" s="25">
        <v>0</v>
      </c>
      <c r="BP100" s="25">
        <v>0</v>
      </c>
      <c r="BQ100" s="25">
        <v>0</v>
      </c>
      <c r="BR100" s="25">
        <v>-14.046378135681152</v>
      </c>
      <c r="BT100" s="25">
        <v>11</v>
      </c>
      <c r="BU100" s="25">
        <v>9</v>
      </c>
      <c r="BV100" s="25">
        <v>0</v>
      </c>
      <c r="BW100" s="25">
        <v>-123.35663604736328</v>
      </c>
      <c r="BX100" s="25">
        <v>0.56619340181350708</v>
      </c>
      <c r="BY100" s="25">
        <v>0</v>
      </c>
      <c r="BZ100" s="25">
        <v>0</v>
      </c>
      <c r="CA100" s="25">
        <v>0</v>
      </c>
      <c r="CB100" s="25">
        <v>-11.712734222412109</v>
      </c>
      <c r="CD100" s="25">
        <v>11</v>
      </c>
      <c r="CE100" s="25">
        <v>9</v>
      </c>
      <c r="CF100" s="25">
        <v>0</v>
      </c>
      <c r="CG100" s="25">
        <v>-152.284912109375</v>
      </c>
      <c r="CH100" s="25">
        <v>0.23219484090805054</v>
      </c>
      <c r="CI100" s="25">
        <v>0</v>
      </c>
      <c r="CJ100" s="25">
        <v>0</v>
      </c>
      <c r="CK100" s="25">
        <v>0</v>
      </c>
      <c r="CL100" s="25">
        <v>-4.0762753486633301</v>
      </c>
      <c r="CN100" s="25">
        <v>11</v>
      </c>
      <c r="CO100" s="25">
        <v>9</v>
      </c>
      <c r="CP100" s="25">
        <v>0</v>
      </c>
      <c r="CQ100" s="25">
        <v>-316.5816650390625</v>
      </c>
      <c r="CR100" s="25">
        <v>-1.1910519599914551</v>
      </c>
      <c r="CS100" s="25">
        <v>0</v>
      </c>
      <c r="CT100" s="25">
        <v>0</v>
      </c>
      <c r="CU100" s="25">
        <v>0</v>
      </c>
      <c r="CV100" s="25">
        <v>18.748918533325195</v>
      </c>
      <c r="CX100" s="25">
        <v>11</v>
      </c>
      <c r="CY100" s="25">
        <v>9</v>
      </c>
      <c r="CZ100" s="25">
        <v>0</v>
      </c>
      <c r="DA100" s="25">
        <v>-123.35663604736328</v>
      </c>
      <c r="DB100" s="25">
        <v>0.56619340181350708</v>
      </c>
      <c r="DC100" s="25">
        <v>0</v>
      </c>
      <c r="DD100" s="25">
        <v>0</v>
      </c>
      <c r="DE100" s="25">
        <v>0</v>
      </c>
      <c r="DF100" s="25">
        <v>-11.712734222412109</v>
      </c>
      <c r="DH100" s="25">
        <v>11</v>
      </c>
      <c r="DI100" s="25">
        <v>9</v>
      </c>
      <c r="DJ100" s="25">
        <v>0</v>
      </c>
      <c r="DK100" s="25">
        <v>-152.284912109375</v>
      </c>
      <c r="DL100" s="25">
        <v>0.23219484090805054</v>
      </c>
      <c r="DM100" s="25">
        <v>0</v>
      </c>
      <c r="DN100" s="25">
        <v>0</v>
      </c>
      <c r="DO100" s="25">
        <v>0</v>
      </c>
      <c r="DP100" s="25">
        <v>-4.0762753486633301</v>
      </c>
      <c r="DR100" s="25">
        <v>11</v>
      </c>
      <c r="DS100" s="25">
        <v>9</v>
      </c>
      <c r="DT100" s="25">
        <v>0</v>
      </c>
      <c r="DU100" s="25">
        <v>-316.5816650390625</v>
      </c>
      <c r="DV100" s="25">
        <v>-1.1910519599914551</v>
      </c>
      <c r="DW100" s="25">
        <v>0</v>
      </c>
      <c r="DX100" s="25">
        <v>0</v>
      </c>
      <c r="DY100" s="25">
        <v>0</v>
      </c>
      <c r="DZ100" s="25">
        <v>18.748918533325195</v>
      </c>
      <c r="EB100" s="25">
        <v>11</v>
      </c>
      <c r="EC100" s="25">
        <v>9</v>
      </c>
      <c r="ED100" s="25">
        <v>0</v>
      </c>
      <c r="EE100" s="25">
        <v>-23.654167175292969</v>
      </c>
      <c r="EF100" s="25">
        <v>19.706117630004883</v>
      </c>
      <c r="EG100" s="25">
        <v>0</v>
      </c>
      <c r="EH100" s="25">
        <v>0</v>
      </c>
      <c r="EI100" s="25">
        <v>0</v>
      </c>
      <c r="EJ100" s="25">
        <v>-167.38081359863281</v>
      </c>
      <c r="EL100" s="25">
        <v>11</v>
      </c>
      <c r="EM100" s="25">
        <v>9</v>
      </c>
      <c r="EN100" s="25">
        <v>0</v>
      </c>
      <c r="EO100" s="25">
        <v>-11.796228408813477</v>
      </c>
      <c r="EP100" s="25">
        <v>10.764162063598633</v>
      </c>
      <c r="EQ100" s="25">
        <v>0</v>
      </c>
      <c r="ER100" s="25">
        <v>0</v>
      </c>
      <c r="ES100" s="25">
        <v>0</v>
      </c>
      <c r="ET100" s="25">
        <v>-91.415321350097656</v>
      </c>
      <c r="EV100" s="25">
        <v>11</v>
      </c>
      <c r="EW100" s="25">
        <v>9</v>
      </c>
      <c r="EX100" s="25">
        <v>0</v>
      </c>
      <c r="EY100" s="25">
        <v>-116.16238403320312</v>
      </c>
      <c r="EZ100" s="25">
        <v>153.75514221191406</v>
      </c>
      <c r="FA100" s="25">
        <v>0</v>
      </c>
      <c r="FB100" s="25">
        <v>0</v>
      </c>
      <c r="FC100" s="25">
        <v>0</v>
      </c>
      <c r="FD100" s="25">
        <v>-1303.9276123046875</v>
      </c>
      <c r="FF100" s="25">
        <v>11</v>
      </c>
      <c r="FG100" s="25">
        <v>9</v>
      </c>
      <c r="FH100" s="25">
        <v>0</v>
      </c>
      <c r="FI100" s="25">
        <v>-222.68508911132812</v>
      </c>
      <c r="FJ100" s="25">
        <v>307.537841796875</v>
      </c>
      <c r="FK100" s="25">
        <v>0</v>
      </c>
      <c r="FL100" s="25">
        <v>0</v>
      </c>
      <c r="FM100" s="25">
        <v>0</v>
      </c>
      <c r="FN100" s="25">
        <v>-2608.857666015625</v>
      </c>
    </row>
    <row r="101" spans="2:170">
      <c r="C101" s="25">
        <v>10</v>
      </c>
      <c r="D101" s="25">
        <v>1.5249999761581421</v>
      </c>
      <c r="E101" s="25">
        <v>-4507.81640625</v>
      </c>
      <c r="F101" s="25">
        <v>32.820781707763672</v>
      </c>
      <c r="G101" s="25">
        <v>0</v>
      </c>
      <c r="H101" s="25">
        <v>0</v>
      </c>
      <c r="I101" s="25">
        <v>0</v>
      </c>
      <c r="J101" s="25">
        <v>-360.74099731445312</v>
      </c>
      <c r="N101" s="25">
        <v>0.47499999403953552</v>
      </c>
      <c r="O101" s="25">
        <v>-2812.76904296875</v>
      </c>
      <c r="P101" s="25">
        <v>20.024114608764648</v>
      </c>
      <c r="Q101" s="25">
        <v>0</v>
      </c>
      <c r="R101" s="25">
        <v>0</v>
      </c>
      <c r="S101" s="25">
        <v>0</v>
      </c>
      <c r="T101" s="25">
        <v>-228.52876281738281</v>
      </c>
      <c r="X101" s="25">
        <v>0.47499999403953552</v>
      </c>
      <c r="Y101" s="25">
        <v>-104.53864288330078</v>
      </c>
      <c r="Z101" s="25">
        <v>-13.524229049682617</v>
      </c>
      <c r="AA101" s="25">
        <v>0</v>
      </c>
      <c r="AB101" s="25">
        <v>0</v>
      </c>
      <c r="AC101" s="25">
        <v>0</v>
      </c>
      <c r="AD101" s="25">
        <v>105.06361389160156</v>
      </c>
      <c r="AH101" s="25">
        <v>0.47499999403953552</v>
      </c>
      <c r="AI101" s="25">
        <v>31.134305953979492</v>
      </c>
      <c r="AJ101" s="25">
        <v>23.098335266113281</v>
      </c>
      <c r="AK101" s="25">
        <v>0</v>
      </c>
      <c r="AL101" s="25">
        <v>0</v>
      </c>
      <c r="AM101" s="25">
        <v>0</v>
      </c>
      <c r="AN101" s="25">
        <v>-183.4747314453125</v>
      </c>
      <c r="AR101" s="25">
        <v>0.47499999403953552</v>
      </c>
      <c r="AS101" s="25">
        <v>-111.04856872558594</v>
      </c>
      <c r="AT101" s="25">
        <v>0.28183895349502563</v>
      </c>
      <c r="AU101" s="25">
        <v>0</v>
      </c>
      <c r="AV101" s="25">
        <v>0</v>
      </c>
      <c r="AW101" s="25">
        <v>0</v>
      </c>
      <c r="AX101" s="25">
        <v>-3.0528044700622559</v>
      </c>
      <c r="BB101" s="25">
        <v>0.47499999403953552</v>
      </c>
      <c r="BC101" s="25">
        <v>-262.72601318359375</v>
      </c>
      <c r="BD101" s="25">
        <v>0.6584516167640686</v>
      </c>
      <c r="BE101" s="25">
        <v>0</v>
      </c>
      <c r="BF101" s="25">
        <v>0</v>
      </c>
      <c r="BG101" s="25">
        <v>0</v>
      </c>
      <c r="BH101" s="25">
        <v>-7.1238574981689453</v>
      </c>
      <c r="BL101" s="25">
        <v>0.47499999403953552</v>
      </c>
      <c r="BM101" s="25">
        <v>-496.36328125</v>
      </c>
      <c r="BN101" s="25">
        <v>1.2436895370483398</v>
      </c>
      <c r="BO101" s="25">
        <v>0</v>
      </c>
      <c r="BP101" s="25">
        <v>0</v>
      </c>
      <c r="BQ101" s="25">
        <v>0</v>
      </c>
      <c r="BR101" s="25">
        <v>-13.455625534057617</v>
      </c>
      <c r="BV101" s="25">
        <v>0.47499999403953552</v>
      </c>
      <c r="BW101" s="25">
        <v>-123.35663604736328</v>
      </c>
      <c r="BX101" s="25">
        <v>0.56619340181350708</v>
      </c>
      <c r="BY101" s="25">
        <v>0</v>
      </c>
      <c r="BZ101" s="25">
        <v>0</v>
      </c>
      <c r="CA101" s="25">
        <v>0</v>
      </c>
      <c r="CB101" s="25">
        <v>-11.443792343139648</v>
      </c>
      <c r="CF101" s="25">
        <v>0.47499999403953552</v>
      </c>
      <c r="CG101" s="25">
        <v>-152.284912109375</v>
      </c>
      <c r="CH101" s="25">
        <v>0.23219484090805054</v>
      </c>
      <c r="CI101" s="25">
        <v>0</v>
      </c>
      <c r="CJ101" s="25">
        <v>0</v>
      </c>
      <c r="CK101" s="25">
        <v>0</v>
      </c>
      <c r="CL101" s="25">
        <v>-3.9659829139709473</v>
      </c>
      <c r="CP101" s="25">
        <v>0.47499999403953552</v>
      </c>
      <c r="CQ101" s="25">
        <v>-316.5816650390625</v>
      </c>
      <c r="CR101" s="25">
        <v>-1.1910519599914551</v>
      </c>
      <c r="CS101" s="25">
        <v>0</v>
      </c>
      <c r="CT101" s="25">
        <v>0</v>
      </c>
      <c r="CU101" s="25">
        <v>0</v>
      </c>
      <c r="CV101" s="25">
        <v>18.183168411254883</v>
      </c>
      <c r="CZ101" s="25">
        <v>0.47499999403953552</v>
      </c>
      <c r="DA101" s="25">
        <v>-123.35663604736328</v>
      </c>
      <c r="DB101" s="25">
        <v>0.56619340181350708</v>
      </c>
      <c r="DC101" s="25">
        <v>0</v>
      </c>
      <c r="DD101" s="25">
        <v>0</v>
      </c>
      <c r="DE101" s="25">
        <v>0</v>
      </c>
      <c r="DF101" s="25">
        <v>-11.443792343139648</v>
      </c>
      <c r="DJ101" s="25">
        <v>0.47499999403953552</v>
      </c>
      <c r="DK101" s="25">
        <v>-152.284912109375</v>
      </c>
      <c r="DL101" s="25">
        <v>0.23219484090805054</v>
      </c>
      <c r="DM101" s="25">
        <v>0</v>
      </c>
      <c r="DN101" s="25">
        <v>0</v>
      </c>
      <c r="DO101" s="25">
        <v>0</v>
      </c>
      <c r="DP101" s="25">
        <v>-3.9659829139709473</v>
      </c>
      <c r="DT101" s="25">
        <v>0.47499999403953552</v>
      </c>
      <c r="DU101" s="25">
        <v>-316.5816650390625</v>
      </c>
      <c r="DV101" s="25">
        <v>-1.1910519599914551</v>
      </c>
      <c r="DW101" s="25">
        <v>0</v>
      </c>
      <c r="DX101" s="25">
        <v>0</v>
      </c>
      <c r="DY101" s="25">
        <v>0</v>
      </c>
      <c r="DZ101" s="25">
        <v>18.183168411254883</v>
      </c>
      <c r="ED101" s="25">
        <v>0.47499999403953552</v>
      </c>
      <c r="EE101" s="25">
        <v>-23.654167175292969</v>
      </c>
      <c r="EF101" s="25">
        <v>19.706117630004883</v>
      </c>
      <c r="EG101" s="25">
        <v>0</v>
      </c>
      <c r="EH101" s="25">
        <v>0</v>
      </c>
      <c r="EI101" s="25">
        <v>0</v>
      </c>
      <c r="EJ101" s="25">
        <v>-158.02041625976562</v>
      </c>
      <c r="EN101" s="25">
        <v>0.47499999403953552</v>
      </c>
      <c r="EO101" s="25">
        <v>-11.796228408813477</v>
      </c>
      <c r="EP101" s="25">
        <v>10.764162063598633</v>
      </c>
      <c r="EQ101" s="25">
        <v>0</v>
      </c>
      <c r="ER101" s="25">
        <v>0</v>
      </c>
      <c r="ES101" s="25">
        <v>0</v>
      </c>
      <c r="ET101" s="25">
        <v>-86.302345275878906</v>
      </c>
      <c r="EX101" s="25">
        <v>0.47499999403953552</v>
      </c>
      <c r="EY101" s="25">
        <v>-116.16238403320312</v>
      </c>
      <c r="EZ101" s="25">
        <v>153.75514221191406</v>
      </c>
      <c r="FA101" s="25">
        <v>0</v>
      </c>
      <c r="FB101" s="25">
        <v>0</v>
      </c>
      <c r="FC101" s="25">
        <v>0</v>
      </c>
      <c r="FD101" s="25">
        <v>-1230.8939208984375</v>
      </c>
      <c r="FH101" s="25">
        <v>0.47499999403953552</v>
      </c>
      <c r="FI101" s="25">
        <v>-222.68508911132812</v>
      </c>
      <c r="FJ101" s="25">
        <v>307.537841796875</v>
      </c>
      <c r="FK101" s="25">
        <v>0</v>
      </c>
      <c r="FL101" s="25">
        <v>0</v>
      </c>
      <c r="FM101" s="25">
        <v>0</v>
      </c>
      <c r="FN101" s="25">
        <v>-2462.77734375</v>
      </c>
    </row>
    <row r="102" spans="2:170">
      <c r="B102" s="25">
        <v>13</v>
      </c>
      <c r="C102" s="25">
        <v>10</v>
      </c>
      <c r="D102" s="25">
        <v>0</v>
      </c>
      <c r="E102" s="25">
        <v>-4507.81640625</v>
      </c>
      <c r="F102" s="25">
        <v>32.820781707763672</v>
      </c>
      <c r="G102" s="25">
        <v>0</v>
      </c>
      <c r="H102" s="25">
        <v>0</v>
      </c>
      <c r="I102" s="25">
        <v>0</v>
      </c>
      <c r="J102" s="25">
        <v>-360.74099731445312</v>
      </c>
      <c r="M102" s="25">
        <v>13</v>
      </c>
      <c r="N102" s="25">
        <v>17.075000762939453</v>
      </c>
      <c r="O102" s="25">
        <v>-2812.76904296875</v>
      </c>
      <c r="P102" s="25">
        <v>20.024114608764648</v>
      </c>
      <c r="Q102" s="25">
        <v>0</v>
      </c>
      <c r="R102" s="25">
        <v>0</v>
      </c>
      <c r="S102" s="25">
        <v>0</v>
      </c>
      <c r="T102" s="25">
        <v>103.87155151367187</v>
      </c>
      <c r="W102" s="25">
        <v>13</v>
      </c>
      <c r="X102" s="25">
        <v>17.075000762939453</v>
      </c>
      <c r="Y102" s="25">
        <v>-104.53864288330078</v>
      </c>
      <c r="Z102" s="25">
        <v>-13.524229049682617</v>
      </c>
      <c r="AA102" s="25">
        <v>0</v>
      </c>
      <c r="AB102" s="25">
        <v>0</v>
      </c>
      <c r="AC102" s="25">
        <v>0</v>
      </c>
      <c r="AD102" s="25">
        <v>-119.43859100341797</v>
      </c>
      <c r="AG102" s="25">
        <v>13</v>
      </c>
      <c r="AH102" s="25">
        <v>17.075000762939453</v>
      </c>
      <c r="AI102" s="25">
        <v>31.134305953979492</v>
      </c>
      <c r="AJ102" s="25">
        <v>23.098335266113281</v>
      </c>
      <c r="AK102" s="25">
        <v>0</v>
      </c>
      <c r="AL102" s="25">
        <v>0</v>
      </c>
      <c r="AM102" s="25">
        <v>0</v>
      </c>
      <c r="AN102" s="25">
        <v>199.95762634277344</v>
      </c>
      <c r="AQ102" s="25">
        <v>13</v>
      </c>
      <c r="AR102" s="25">
        <v>17.075000762939453</v>
      </c>
      <c r="AS102" s="25">
        <v>-111.04856872558594</v>
      </c>
      <c r="AT102" s="25">
        <v>0.28183895349502563</v>
      </c>
      <c r="AU102" s="25">
        <v>0</v>
      </c>
      <c r="AV102" s="25">
        <v>0</v>
      </c>
      <c r="AW102" s="25">
        <v>0</v>
      </c>
      <c r="AX102" s="25">
        <v>1.6257219314575195</v>
      </c>
      <c r="BA102" s="25">
        <v>13</v>
      </c>
      <c r="BB102" s="25">
        <v>17.075000762939453</v>
      </c>
      <c r="BC102" s="25">
        <v>-262.72601318359375</v>
      </c>
      <c r="BD102" s="25">
        <v>0.6584516167640686</v>
      </c>
      <c r="BE102" s="25">
        <v>0</v>
      </c>
      <c r="BF102" s="25">
        <v>0</v>
      </c>
      <c r="BG102" s="25">
        <v>0</v>
      </c>
      <c r="BH102" s="25">
        <v>3.8064396381378174</v>
      </c>
      <c r="BK102" s="25">
        <v>13</v>
      </c>
      <c r="BL102" s="25">
        <v>17.075000762939453</v>
      </c>
      <c r="BM102" s="25">
        <v>-496.36328125</v>
      </c>
      <c r="BN102" s="25">
        <v>1.2436895370483398</v>
      </c>
      <c r="BO102" s="25">
        <v>0</v>
      </c>
      <c r="BP102" s="25">
        <v>0</v>
      </c>
      <c r="BQ102" s="25">
        <v>0</v>
      </c>
      <c r="BR102" s="25">
        <v>7.1896214485168457</v>
      </c>
      <c r="BU102" s="25">
        <v>13</v>
      </c>
      <c r="BV102" s="25">
        <v>17.075000762939453</v>
      </c>
      <c r="BW102" s="25">
        <v>-123.35663604736328</v>
      </c>
      <c r="BX102" s="25">
        <v>0.56619340181350708</v>
      </c>
      <c r="BY102" s="25">
        <v>0</v>
      </c>
      <c r="BZ102" s="25">
        <v>0</v>
      </c>
      <c r="CA102" s="25">
        <v>0</v>
      </c>
      <c r="CB102" s="25">
        <v>-2.0449817180633545</v>
      </c>
      <c r="CE102" s="25">
        <v>13</v>
      </c>
      <c r="CF102" s="25">
        <v>17.075000762939453</v>
      </c>
      <c r="CG102" s="25">
        <v>-152.284912109375</v>
      </c>
      <c r="CH102" s="25">
        <v>0.23219484090805054</v>
      </c>
      <c r="CI102" s="25">
        <v>0</v>
      </c>
      <c r="CJ102" s="25">
        <v>0</v>
      </c>
      <c r="CK102" s="25">
        <v>0</v>
      </c>
      <c r="CL102" s="25">
        <v>-0.11154847592115402</v>
      </c>
      <c r="CO102" s="25">
        <v>13</v>
      </c>
      <c r="CP102" s="25">
        <v>17.075000762939453</v>
      </c>
      <c r="CQ102" s="25">
        <v>-316.5816650390625</v>
      </c>
      <c r="CR102" s="25">
        <v>-1.1910519599914551</v>
      </c>
      <c r="CS102" s="25">
        <v>0</v>
      </c>
      <c r="CT102" s="25">
        <v>0</v>
      </c>
      <c r="CU102" s="25">
        <v>0</v>
      </c>
      <c r="CV102" s="25">
        <v>-1.5882942676544189</v>
      </c>
      <c r="CY102" s="25">
        <v>13</v>
      </c>
      <c r="CZ102" s="25">
        <v>17.075000762939453</v>
      </c>
      <c r="DA102" s="25">
        <v>-123.35663604736328</v>
      </c>
      <c r="DB102" s="25">
        <v>0.56619340181350708</v>
      </c>
      <c r="DC102" s="25">
        <v>0</v>
      </c>
      <c r="DD102" s="25">
        <v>0</v>
      </c>
      <c r="DE102" s="25">
        <v>0</v>
      </c>
      <c r="DF102" s="25">
        <v>-2.0449817180633545</v>
      </c>
      <c r="DI102" s="25">
        <v>13</v>
      </c>
      <c r="DJ102" s="25">
        <v>17.075000762939453</v>
      </c>
      <c r="DK102" s="25">
        <v>-152.284912109375</v>
      </c>
      <c r="DL102" s="25">
        <v>0.23219484090805054</v>
      </c>
      <c r="DM102" s="25">
        <v>0</v>
      </c>
      <c r="DN102" s="25">
        <v>0</v>
      </c>
      <c r="DO102" s="25">
        <v>0</v>
      </c>
      <c r="DP102" s="25">
        <v>-0.11154847592115402</v>
      </c>
      <c r="DS102" s="25">
        <v>13</v>
      </c>
      <c r="DT102" s="25">
        <v>17.075000762939453</v>
      </c>
      <c r="DU102" s="25">
        <v>-316.5816650390625</v>
      </c>
      <c r="DV102" s="25">
        <v>-1.1910519599914551</v>
      </c>
      <c r="DW102" s="25">
        <v>0</v>
      </c>
      <c r="DX102" s="25">
        <v>0</v>
      </c>
      <c r="DY102" s="25">
        <v>0</v>
      </c>
      <c r="DZ102" s="25">
        <v>-1.5882942676544189</v>
      </c>
      <c r="EC102" s="25">
        <v>13</v>
      </c>
      <c r="ED102" s="25">
        <v>17.075000762939453</v>
      </c>
      <c r="EE102" s="25">
        <v>-23.654167175292969</v>
      </c>
      <c r="EF102" s="25">
        <v>19.706117630004883</v>
      </c>
      <c r="EG102" s="25">
        <v>0</v>
      </c>
      <c r="EH102" s="25">
        <v>0</v>
      </c>
      <c r="EI102" s="25">
        <v>0</v>
      </c>
      <c r="EJ102" s="25">
        <v>169.10111999511719</v>
      </c>
      <c r="EM102" s="25">
        <v>13</v>
      </c>
      <c r="EN102" s="25">
        <v>17.075000762939453</v>
      </c>
      <c r="EO102" s="25">
        <v>-11.796228408813477</v>
      </c>
      <c r="EP102" s="25">
        <v>10.764162063598633</v>
      </c>
      <c r="EQ102" s="25">
        <v>0</v>
      </c>
      <c r="ER102" s="25">
        <v>0</v>
      </c>
      <c r="ES102" s="25">
        <v>0</v>
      </c>
      <c r="ET102" s="25">
        <v>92.382736206054687</v>
      </c>
      <c r="EW102" s="25">
        <v>13</v>
      </c>
      <c r="EX102" s="25">
        <v>17.075000762939453</v>
      </c>
      <c r="EY102" s="25">
        <v>-116.16238403320312</v>
      </c>
      <c r="EZ102" s="25">
        <v>153.75514221191406</v>
      </c>
      <c r="FA102" s="25">
        <v>0</v>
      </c>
      <c r="FB102" s="25">
        <v>0</v>
      </c>
      <c r="FC102" s="25">
        <v>0</v>
      </c>
      <c r="FD102" s="25">
        <v>1321.44140625</v>
      </c>
      <c r="FG102" s="25">
        <v>13</v>
      </c>
      <c r="FH102" s="25">
        <v>17.075000762939453</v>
      </c>
      <c r="FI102" s="25">
        <v>-222.68508911132812</v>
      </c>
      <c r="FJ102" s="25">
        <v>307.537841796875</v>
      </c>
      <c r="FK102" s="25">
        <v>0</v>
      </c>
      <c r="FL102" s="25">
        <v>0</v>
      </c>
      <c r="FM102" s="25">
        <v>0</v>
      </c>
      <c r="FN102" s="25">
        <v>2642.35107421875</v>
      </c>
    </row>
    <row r="103" spans="2:170">
      <c r="C103" s="25">
        <v>14</v>
      </c>
      <c r="D103" s="25">
        <v>17.075000762939453</v>
      </c>
      <c r="E103" s="25">
        <v>-7504.1162109375</v>
      </c>
      <c r="F103" s="25">
        <v>32.820781707763672</v>
      </c>
      <c r="G103" s="25">
        <v>0</v>
      </c>
      <c r="H103" s="25">
        <v>0</v>
      </c>
      <c r="I103" s="25">
        <v>0</v>
      </c>
      <c r="J103" s="25">
        <v>199.67384338378906</v>
      </c>
      <c r="L103" s="25">
        <v>12</v>
      </c>
      <c r="M103" s="25">
        <v>5</v>
      </c>
      <c r="N103" s="25">
        <v>0</v>
      </c>
      <c r="O103" s="25">
        <v>-957.742431640625</v>
      </c>
      <c r="P103" s="25">
        <v>25.364400863647461</v>
      </c>
      <c r="Q103" s="25">
        <v>0</v>
      </c>
      <c r="R103" s="25">
        <v>0</v>
      </c>
      <c r="S103" s="25">
        <v>0</v>
      </c>
      <c r="T103" s="25">
        <v>-335.42330932617187</v>
      </c>
      <c r="V103" s="25">
        <v>12</v>
      </c>
      <c r="W103" s="25">
        <v>5</v>
      </c>
      <c r="X103" s="25">
        <v>0</v>
      </c>
      <c r="Y103" s="25">
        <v>73.078102111816406</v>
      </c>
      <c r="Z103" s="25">
        <v>-63.775726318359375</v>
      </c>
      <c r="AA103" s="25">
        <v>0</v>
      </c>
      <c r="AB103" s="25">
        <v>0</v>
      </c>
      <c r="AC103" s="25">
        <v>0</v>
      </c>
      <c r="AD103" s="25">
        <v>629.12353515625</v>
      </c>
      <c r="AF103" s="25">
        <v>12</v>
      </c>
      <c r="AG103" s="25">
        <v>5</v>
      </c>
      <c r="AH103" s="25">
        <v>0</v>
      </c>
      <c r="AI103" s="25">
        <v>-40.905372619628906</v>
      </c>
      <c r="AJ103" s="25">
        <v>22.709587097167969</v>
      </c>
      <c r="AK103" s="25">
        <v>0</v>
      </c>
      <c r="AL103" s="25">
        <v>0</v>
      </c>
      <c r="AM103" s="25">
        <v>0</v>
      </c>
      <c r="AN103" s="25">
        <v>-224.14457702636719</v>
      </c>
      <c r="AP103" s="25">
        <v>12</v>
      </c>
      <c r="AQ103" s="25">
        <v>5</v>
      </c>
      <c r="AR103" s="25">
        <v>0</v>
      </c>
      <c r="AS103" s="25">
        <v>-70.210418701171875</v>
      </c>
      <c r="AT103" s="25">
        <v>0.96139752864837646</v>
      </c>
      <c r="AU103" s="25">
        <v>0</v>
      </c>
      <c r="AV103" s="25">
        <v>0</v>
      </c>
      <c r="AW103" s="25">
        <v>0</v>
      </c>
      <c r="AX103" s="25">
        <v>-12.10344409942627</v>
      </c>
      <c r="AZ103" s="25">
        <v>12</v>
      </c>
      <c r="BA103" s="25">
        <v>5</v>
      </c>
      <c r="BB103" s="25">
        <v>0</v>
      </c>
      <c r="BC103" s="25">
        <v>-168.3817138671875</v>
      </c>
      <c r="BD103" s="25">
        <v>2.2121334075927734</v>
      </c>
      <c r="BE103" s="25">
        <v>0</v>
      </c>
      <c r="BF103" s="25">
        <v>0</v>
      </c>
      <c r="BG103" s="25">
        <v>0</v>
      </c>
      <c r="BH103" s="25">
        <v>-27.844707489013672</v>
      </c>
      <c r="BJ103" s="25">
        <v>12</v>
      </c>
      <c r="BK103" s="25">
        <v>5</v>
      </c>
      <c r="BL103" s="25">
        <v>0</v>
      </c>
      <c r="BM103" s="25">
        <v>-318.16241455078125</v>
      </c>
      <c r="BN103" s="25">
        <v>4.1783995628356934</v>
      </c>
      <c r="BO103" s="25">
        <v>0</v>
      </c>
      <c r="BP103" s="25">
        <v>0</v>
      </c>
      <c r="BQ103" s="25">
        <v>0</v>
      </c>
      <c r="BR103" s="25">
        <v>-52.594627380371094</v>
      </c>
      <c r="BT103" s="25">
        <v>12</v>
      </c>
      <c r="BU103" s="25">
        <v>5</v>
      </c>
      <c r="BV103" s="25">
        <v>0</v>
      </c>
      <c r="BW103" s="25">
        <v>27.482006072998047</v>
      </c>
      <c r="BX103" s="25">
        <v>3.5144399851560593E-2</v>
      </c>
      <c r="BY103" s="25">
        <v>0</v>
      </c>
      <c r="BZ103" s="25">
        <v>0</v>
      </c>
      <c r="CA103" s="25">
        <v>0</v>
      </c>
      <c r="CB103" s="25">
        <v>-5.9506487846374512</v>
      </c>
      <c r="CD103" s="25">
        <v>12</v>
      </c>
      <c r="CE103" s="25">
        <v>5</v>
      </c>
      <c r="CF103" s="25">
        <v>0</v>
      </c>
      <c r="CG103" s="25">
        <v>-137.58993530273437</v>
      </c>
      <c r="CH103" s="25">
        <v>-0.79213005304336548</v>
      </c>
      <c r="CI103" s="25">
        <v>0</v>
      </c>
      <c r="CJ103" s="25">
        <v>0</v>
      </c>
      <c r="CK103" s="25">
        <v>0</v>
      </c>
      <c r="CL103" s="25">
        <v>8.35675048828125</v>
      </c>
      <c r="CN103" s="25">
        <v>12</v>
      </c>
      <c r="CO103" s="25">
        <v>5</v>
      </c>
      <c r="CP103" s="25">
        <v>0</v>
      </c>
      <c r="CQ103" s="25">
        <v>-441.6724853515625</v>
      </c>
      <c r="CR103" s="25">
        <v>1.765140175819397</v>
      </c>
      <c r="CS103" s="25">
        <v>0</v>
      </c>
      <c r="CT103" s="25">
        <v>0</v>
      </c>
      <c r="CU103" s="25">
        <v>0</v>
      </c>
      <c r="CV103" s="25">
        <v>-16.333805084228516</v>
      </c>
      <c r="CX103" s="25">
        <v>12</v>
      </c>
      <c r="CY103" s="25">
        <v>5</v>
      </c>
      <c r="CZ103" s="25">
        <v>0</v>
      </c>
      <c r="DA103" s="25">
        <v>27.482006072998047</v>
      </c>
      <c r="DB103" s="25">
        <v>3.5144399851560593E-2</v>
      </c>
      <c r="DC103" s="25">
        <v>0</v>
      </c>
      <c r="DD103" s="25">
        <v>0</v>
      </c>
      <c r="DE103" s="25">
        <v>0</v>
      </c>
      <c r="DF103" s="25">
        <v>-5.9506487846374512</v>
      </c>
      <c r="DH103" s="25">
        <v>12</v>
      </c>
      <c r="DI103" s="25">
        <v>5</v>
      </c>
      <c r="DJ103" s="25">
        <v>0</v>
      </c>
      <c r="DK103" s="25">
        <v>-137.58993530273437</v>
      </c>
      <c r="DL103" s="25">
        <v>-0.79213005304336548</v>
      </c>
      <c r="DM103" s="25">
        <v>0</v>
      </c>
      <c r="DN103" s="25">
        <v>0</v>
      </c>
      <c r="DO103" s="25">
        <v>0</v>
      </c>
      <c r="DP103" s="25">
        <v>8.35675048828125</v>
      </c>
      <c r="DR103" s="25">
        <v>12</v>
      </c>
      <c r="DS103" s="25">
        <v>5</v>
      </c>
      <c r="DT103" s="25">
        <v>0</v>
      </c>
      <c r="DU103" s="25">
        <v>-441.6724853515625</v>
      </c>
      <c r="DV103" s="25">
        <v>1.765140175819397</v>
      </c>
      <c r="DW103" s="25">
        <v>0</v>
      </c>
      <c r="DX103" s="25">
        <v>0</v>
      </c>
      <c r="DY103" s="25">
        <v>0</v>
      </c>
      <c r="DZ103" s="25">
        <v>-16.333805084228516</v>
      </c>
      <c r="EB103" s="25">
        <v>12</v>
      </c>
      <c r="EC103" s="25">
        <v>5</v>
      </c>
      <c r="ED103" s="25">
        <v>0</v>
      </c>
      <c r="EE103" s="25">
        <v>-44.3316650390625</v>
      </c>
      <c r="EF103" s="25">
        <v>19.225528717041016</v>
      </c>
      <c r="EG103" s="25">
        <v>0</v>
      </c>
      <c r="EH103" s="25">
        <v>0</v>
      </c>
      <c r="EI103" s="25">
        <v>0</v>
      </c>
      <c r="EJ103" s="25">
        <v>-191.43696594238281</v>
      </c>
      <c r="EL103" s="25">
        <v>12</v>
      </c>
      <c r="EM103" s="25">
        <v>5</v>
      </c>
      <c r="EN103" s="25">
        <v>0</v>
      </c>
      <c r="EO103" s="25">
        <v>-23.887065887451172</v>
      </c>
      <c r="EP103" s="25">
        <v>10.490877151489258</v>
      </c>
      <c r="EQ103" s="25">
        <v>0</v>
      </c>
      <c r="ER103" s="25">
        <v>0</v>
      </c>
      <c r="ES103" s="25">
        <v>0</v>
      </c>
      <c r="ET103" s="25">
        <v>-104.42103576660156</v>
      </c>
      <c r="EV103" s="25">
        <v>12</v>
      </c>
      <c r="EW103" s="25">
        <v>5</v>
      </c>
      <c r="EX103" s="25">
        <v>0</v>
      </c>
      <c r="EY103" s="25">
        <v>-395.21490478515625</v>
      </c>
      <c r="EZ103" s="25">
        <v>148.72294616699219</v>
      </c>
      <c r="FA103" s="25">
        <v>0</v>
      </c>
      <c r="FB103" s="25">
        <v>0</v>
      </c>
      <c r="FC103" s="25">
        <v>0</v>
      </c>
      <c r="FD103" s="25">
        <v>-1475.6051025390625</v>
      </c>
      <c r="FF103" s="25">
        <v>12</v>
      </c>
      <c r="FG103" s="25">
        <v>5</v>
      </c>
      <c r="FH103" s="25">
        <v>0</v>
      </c>
      <c r="FI103" s="25">
        <v>-762.002197265625</v>
      </c>
      <c r="FJ103" s="25">
        <v>297.45794677734375</v>
      </c>
      <c r="FK103" s="25">
        <v>0</v>
      </c>
      <c r="FL103" s="25">
        <v>0</v>
      </c>
      <c r="FM103" s="25">
        <v>0</v>
      </c>
      <c r="FN103" s="25">
        <v>-2952.06103515625</v>
      </c>
    </row>
    <row r="104" spans="2:170">
      <c r="M104" s="25">
        <v>10</v>
      </c>
      <c r="N104" s="25">
        <v>1.5249999761581421</v>
      </c>
      <c r="O104" s="25">
        <v>-957.742431640625</v>
      </c>
      <c r="P104" s="25">
        <v>25.364400863647461</v>
      </c>
      <c r="Q104" s="25">
        <v>0</v>
      </c>
      <c r="R104" s="25">
        <v>0</v>
      </c>
      <c r="S104" s="25">
        <v>0</v>
      </c>
      <c r="T104" s="25">
        <v>-296.74258422851563</v>
      </c>
      <c r="W104" s="25">
        <v>10</v>
      </c>
      <c r="X104" s="25">
        <v>1.5249999761581421</v>
      </c>
      <c r="Y104" s="25">
        <v>73.078102111816406</v>
      </c>
      <c r="Z104" s="25">
        <v>-63.775726318359375</v>
      </c>
      <c r="AA104" s="25">
        <v>0</v>
      </c>
      <c r="AB104" s="25">
        <v>0</v>
      </c>
      <c r="AC104" s="25">
        <v>0</v>
      </c>
      <c r="AD104" s="25">
        <v>531.8656005859375</v>
      </c>
      <c r="AG104" s="25">
        <v>10</v>
      </c>
      <c r="AH104" s="25">
        <v>1.5249999761581421</v>
      </c>
      <c r="AI104" s="25">
        <v>-40.905372619628906</v>
      </c>
      <c r="AJ104" s="25">
        <v>22.709587097167969</v>
      </c>
      <c r="AK104" s="25">
        <v>0</v>
      </c>
      <c r="AL104" s="25">
        <v>0</v>
      </c>
      <c r="AM104" s="25">
        <v>0</v>
      </c>
      <c r="AN104" s="25">
        <v>-189.512451171875</v>
      </c>
      <c r="AQ104" s="25">
        <v>10</v>
      </c>
      <c r="AR104" s="25">
        <v>1.5249999761581421</v>
      </c>
      <c r="AS104" s="25">
        <v>-70.210418701171875</v>
      </c>
      <c r="AT104" s="25">
        <v>0.96139752864837646</v>
      </c>
      <c r="AU104" s="25">
        <v>0</v>
      </c>
      <c r="AV104" s="25">
        <v>0</v>
      </c>
      <c r="AW104" s="25">
        <v>0</v>
      </c>
      <c r="AX104" s="25">
        <v>-10.637312889099121</v>
      </c>
      <c r="BA104" s="25">
        <v>10</v>
      </c>
      <c r="BB104" s="25">
        <v>1.5249999761581421</v>
      </c>
      <c r="BC104" s="25">
        <v>-168.3817138671875</v>
      </c>
      <c r="BD104" s="25">
        <v>2.2121334075927734</v>
      </c>
      <c r="BE104" s="25">
        <v>0</v>
      </c>
      <c r="BF104" s="25">
        <v>0</v>
      </c>
      <c r="BG104" s="25">
        <v>0</v>
      </c>
      <c r="BH104" s="25">
        <v>-24.47120475769043</v>
      </c>
      <c r="BK104" s="25">
        <v>10</v>
      </c>
      <c r="BL104" s="25">
        <v>1.5249999761581421</v>
      </c>
      <c r="BM104" s="25">
        <v>-318.16241455078125</v>
      </c>
      <c r="BN104" s="25">
        <v>4.1783995628356934</v>
      </c>
      <c r="BO104" s="25">
        <v>0</v>
      </c>
      <c r="BP104" s="25">
        <v>0</v>
      </c>
      <c r="BQ104" s="25">
        <v>0</v>
      </c>
      <c r="BR104" s="25">
        <v>-46.222568511962891</v>
      </c>
      <c r="BU104" s="25">
        <v>10</v>
      </c>
      <c r="BV104" s="25">
        <v>1.5249999761581421</v>
      </c>
      <c r="BW104" s="25">
        <v>27.482006072998047</v>
      </c>
      <c r="BX104" s="25">
        <v>3.5144399851560593E-2</v>
      </c>
      <c r="BY104" s="25">
        <v>0</v>
      </c>
      <c r="BZ104" s="25">
        <v>0</v>
      </c>
      <c r="CA104" s="25">
        <v>0</v>
      </c>
      <c r="CB104" s="25">
        <v>-5.8970537185668945</v>
      </c>
      <c r="CE104" s="25">
        <v>10</v>
      </c>
      <c r="CF104" s="25">
        <v>1.5249999761581421</v>
      </c>
      <c r="CG104" s="25">
        <v>-137.58993530273437</v>
      </c>
      <c r="CH104" s="25">
        <v>-0.79213005304336548</v>
      </c>
      <c r="CI104" s="25">
        <v>0</v>
      </c>
      <c r="CJ104" s="25">
        <v>0</v>
      </c>
      <c r="CK104" s="25">
        <v>0</v>
      </c>
      <c r="CL104" s="25">
        <v>7.1487522125244141</v>
      </c>
      <c r="CO104" s="25">
        <v>10</v>
      </c>
      <c r="CP104" s="25">
        <v>1.5249999761581421</v>
      </c>
      <c r="CQ104" s="25">
        <v>-441.6724853515625</v>
      </c>
      <c r="CR104" s="25">
        <v>1.765140175819397</v>
      </c>
      <c r="CS104" s="25">
        <v>0</v>
      </c>
      <c r="CT104" s="25">
        <v>0</v>
      </c>
      <c r="CU104" s="25">
        <v>0</v>
      </c>
      <c r="CV104" s="25">
        <v>-13.641965866088867</v>
      </c>
      <c r="CY104" s="25">
        <v>10</v>
      </c>
      <c r="CZ104" s="25">
        <v>1.5249999761581421</v>
      </c>
      <c r="DA104" s="25">
        <v>27.482006072998047</v>
      </c>
      <c r="DB104" s="25">
        <v>3.5144399851560593E-2</v>
      </c>
      <c r="DC104" s="25">
        <v>0</v>
      </c>
      <c r="DD104" s="25">
        <v>0</v>
      </c>
      <c r="DE104" s="25">
        <v>0</v>
      </c>
      <c r="DF104" s="25">
        <v>-5.8970537185668945</v>
      </c>
      <c r="DI104" s="25">
        <v>10</v>
      </c>
      <c r="DJ104" s="25">
        <v>1.5249999761581421</v>
      </c>
      <c r="DK104" s="25">
        <v>-137.58993530273437</v>
      </c>
      <c r="DL104" s="25">
        <v>-0.79213005304336548</v>
      </c>
      <c r="DM104" s="25">
        <v>0</v>
      </c>
      <c r="DN104" s="25">
        <v>0</v>
      </c>
      <c r="DO104" s="25">
        <v>0</v>
      </c>
      <c r="DP104" s="25">
        <v>7.1487522125244141</v>
      </c>
      <c r="DS104" s="25">
        <v>10</v>
      </c>
      <c r="DT104" s="25">
        <v>1.5249999761581421</v>
      </c>
      <c r="DU104" s="25">
        <v>-441.6724853515625</v>
      </c>
      <c r="DV104" s="25">
        <v>1.765140175819397</v>
      </c>
      <c r="DW104" s="25">
        <v>0</v>
      </c>
      <c r="DX104" s="25">
        <v>0</v>
      </c>
      <c r="DY104" s="25">
        <v>0</v>
      </c>
      <c r="DZ104" s="25">
        <v>-13.641965866088867</v>
      </c>
      <c r="EC104" s="25">
        <v>10</v>
      </c>
      <c r="ED104" s="25">
        <v>1.5249999761581421</v>
      </c>
      <c r="EE104" s="25">
        <v>-44.3316650390625</v>
      </c>
      <c r="EF104" s="25">
        <v>19.225528717041016</v>
      </c>
      <c r="EG104" s="25">
        <v>0</v>
      </c>
      <c r="EH104" s="25">
        <v>0</v>
      </c>
      <c r="EI104" s="25">
        <v>0</v>
      </c>
      <c r="EJ104" s="25">
        <v>-162.11802673339844</v>
      </c>
      <c r="EM104" s="25">
        <v>10</v>
      </c>
      <c r="EN104" s="25">
        <v>1.5249999761581421</v>
      </c>
      <c r="EO104" s="25">
        <v>-23.887065887451172</v>
      </c>
      <c r="EP104" s="25">
        <v>10.490877151489258</v>
      </c>
      <c r="EQ104" s="25">
        <v>0</v>
      </c>
      <c r="ER104" s="25">
        <v>0</v>
      </c>
      <c r="ES104" s="25">
        <v>0</v>
      </c>
      <c r="ET104" s="25">
        <v>-88.422447204589844</v>
      </c>
      <c r="EW104" s="25">
        <v>10</v>
      </c>
      <c r="EX104" s="25">
        <v>1.5249999761581421</v>
      </c>
      <c r="EY104" s="25">
        <v>-395.21490478515625</v>
      </c>
      <c r="EZ104" s="25">
        <v>148.72294616699219</v>
      </c>
      <c r="FA104" s="25">
        <v>0</v>
      </c>
      <c r="FB104" s="25">
        <v>0</v>
      </c>
      <c r="FC104" s="25">
        <v>0</v>
      </c>
      <c r="FD104" s="25">
        <v>-1248.8026123046875</v>
      </c>
      <c r="FG104" s="25">
        <v>10</v>
      </c>
      <c r="FH104" s="25">
        <v>1.5249999761581421</v>
      </c>
      <c r="FI104" s="25">
        <v>-762.002197265625</v>
      </c>
      <c r="FJ104" s="25">
        <v>297.45794677734375</v>
      </c>
      <c r="FK104" s="25">
        <v>0</v>
      </c>
      <c r="FL104" s="25">
        <v>0</v>
      </c>
      <c r="FM104" s="25">
        <v>0</v>
      </c>
      <c r="FN104" s="25">
        <v>-2498.4375</v>
      </c>
    </row>
    <row r="105" spans="2:170">
      <c r="L105" s="25">
        <v>13</v>
      </c>
      <c r="M105" s="25">
        <v>10</v>
      </c>
      <c r="N105" s="25">
        <v>0</v>
      </c>
      <c r="O105" s="25">
        <v>-957.742431640625</v>
      </c>
      <c r="P105" s="25">
        <v>25.364400863647461</v>
      </c>
      <c r="Q105" s="25">
        <v>0</v>
      </c>
      <c r="R105" s="25">
        <v>0</v>
      </c>
      <c r="S105" s="25">
        <v>0</v>
      </c>
      <c r="T105" s="25">
        <v>-296.74258422851563</v>
      </c>
      <c r="V105" s="25">
        <v>13</v>
      </c>
      <c r="W105" s="25">
        <v>10</v>
      </c>
      <c r="X105" s="25">
        <v>0</v>
      </c>
      <c r="Y105" s="25">
        <v>73.078102111816406</v>
      </c>
      <c r="Z105" s="25">
        <v>-63.775726318359375</v>
      </c>
      <c r="AA105" s="25">
        <v>0</v>
      </c>
      <c r="AB105" s="25">
        <v>0</v>
      </c>
      <c r="AC105" s="25">
        <v>0</v>
      </c>
      <c r="AD105" s="25">
        <v>531.8656005859375</v>
      </c>
      <c r="AF105" s="25">
        <v>13</v>
      </c>
      <c r="AG105" s="25">
        <v>10</v>
      </c>
      <c r="AH105" s="25">
        <v>0</v>
      </c>
      <c r="AI105" s="25">
        <v>-40.905372619628906</v>
      </c>
      <c r="AJ105" s="25">
        <v>22.709587097167969</v>
      </c>
      <c r="AK105" s="25">
        <v>0</v>
      </c>
      <c r="AL105" s="25">
        <v>0</v>
      </c>
      <c r="AM105" s="25">
        <v>0</v>
      </c>
      <c r="AN105" s="25">
        <v>-189.512451171875</v>
      </c>
      <c r="AP105" s="25">
        <v>13</v>
      </c>
      <c r="AQ105" s="25">
        <v>10</v>
      </c>
      <c r="AR105" s="25">
        <v>0</v>
      </c>
      <c r="AS105" s="25">
        <v>-70.210418701171875</v>
      </c>
      <c r="AT105" s="25">
        <v>0.96139752864837646</v>
      </c>
      <c r="AU105" s="25">
        <v>0</v>
      </c>
      <c r="AV105" s="25">
        <v>0</v>
      </c>
      <c r="AW105" s="25">
        <v>0</v>
      </c>
      <c r="AX105" s="25">
        <v>-10.637312889099121</v>
      </c>
      <c r="AZ105" s="25">
        <v>13</v>
      </c>
      <c r="BA105" s="25">
        <v>10</v>
      </c>
      <c r="BB105" s="25">
        <v>0</v>
      </c>
      <c r="BC105" s="25">
        <v>-168.3817138671875</v>
      </c>
      <c r="BD105" s="25">
        <v>2.2121334075927734</v>
      </c>
      <c r="BE105" s="25">
        <v>0</v>
      </c>
      <c r="BF105" s="25">
        <v>0</v>
      </c>
      <c r="BG105" s="25">
        <v>0</v>
      </c>
      <c r="BH105" s="25">
        <v>-24.47120475769043</v>
      </c>
      <c r="BJ105" s="25">
        <v>13</v>
      </c>
      <c r="BK105" s="25">
        <v>10</v>
      </c>
      <c r="BL105" s="25">
        <v>0</v>
      </c>
      <c r="BM105" s="25">
        <v>-318.16241455078125</v>
      </c>
      <c r="BN105" s="25">
        <v>4.1783995628356934</v>
      </c>
      <c r="BO105" s="25">
        <v>0</v>
      </c>
      <c r="BP105" s="25">
        <v>0</v>
      </c>
      <c r="BQ105" s="25">
        <v>0</v>
      </c>
      <c r="BR105" s="25">
        <v>-46.222568511962891</v>
      </c>
      <c r="BT105" s="25">
        <v>13</v>
      </c>
      <c r="BU105" s="25">
        <v>10</v>
      </c>
      <c r="BV105" s="25">
        <v>0</v>
      </c>
      <c r="BW105" s="25">
        <v>27.482006072998047</v>
      </c>
      <c r="BX105" s="25">
        <v>3.5144399851560593E-2</v>
      </c>
      <c r="BY105" s="25">
        <v>0</v>
      </c>
      <c r="BZ105" s="25">
        <v>0</v>
      </c>
      <c r="CA105" s="25">
        <v>0</v>
      </c>
      <c r="CB105" s="25">
        <v>-5.8970537185668945</v>
      </c>
      <c r="CD105" s="25">
        <v>13</v>
      </c>
      <c r="CE105" s="25">
        <v>10</v>
      </c>
      <c r="CF105" s="25">
        <v>0</v>
      </c>
      <c r="CG105" s="25">
        <v>-137.58993530273437</v>
      </c>
      <c r="CH105" s="25">
        <v>-0.79213005304336548</v>
      </c>
      <c r="CI105" s="25">
        <v>0</v>
      </c>
      <c r="CJ105" s="25">
        <v>0</v>
      </c>
      <c r="CK105" s="25">
        <v>0</v>
      </c>
      <c r="CL105" s="25">
        <v>7.1487522125244141</v>
      </c>
      <c r="CN105" s="25">
        <v>13</v>
      </c>
      <c r="CO105" s="25">
        <v>10</v>
      </c>
      <c r="CP105" s="25">
        <v>0</v>
      </c>
      <c r="CQ105" s="25">
        <v>-441.6724853515625</v>
      </c>
      <c r="CR105" s="25">
        <v>1.765140175819397</v>
      </c>
      <c r="CS105" s="25">
        <v>0</v>
      </c>
      <c r="CT105" s="25">
        <v>0</v>
      </c>
      <c r="CU105" s="25">
        <v>0</v>
      </c>
      <c r="CV105" s="25">
        <v>-13.641965866088867</v>
      </c>
      <c r="CX105" s="25">
        <v>13</v>
      </c>
      <c r="CY105" s="25">
        <v>10</v>
      </c>
      <c r="CZ105" s="25">
        <v>0</v>
      </c>
      <c r="DA105" s="25">
        <v>27.482006072998047</v>
      </c>
      <c r="DB105" s="25">
        <v>3.5144399851560593E-2</v>
      </c>
      <c r="DC105" s="25">
        <v>0</v>
      </c>
      <c r="DD105" s="25">
        <v>0</v>
      </c>
      <c r="DE105" s="25">
        <v>0</v>
      </c>
      <c r="DF105" s="25">
        <v>-5.8970537185668945</v>
      </c>
      <c r="DH105" s="25">
        <v>13</v>
      </c>
      <c r="DI105" s="25">
        <v>10</v>
      </c>
      <c r="DJ105" s="25">
        <v>0</v>
      </c>
      <c r="DK105" s="25">
        <v>-137.58993530273437</v>
      </c>
      <c r="DL105" s="25">
        <v>-0.79213005304336548</v>
      </c>
      <c r="DM105" s="25">
        <v>0</v>
      </c>
      <c r="DN105" s="25">
        <v>0</v>
      </c>
      <c r="DO105" s="25">
        <v>0</v>
      </c>
      <c r="DP105" s="25">
        <v>7.1487522125244141</v>
      </c>
      <c r="DR105" s="25">
        <v>13</v>
      </c>
      <c r="DS105" s="25">
        <v>10</v>
      </c>
      <c r="DT105" s="25">
        <v>0</v>
      </c>
      <c r="DU105" s="25">
        <v>-441.6724853515625</v>
      </c>
      <c r="DV105" s="25">
        <v>1.765140175819397</v>
      </c>
      <c r="DW105" s="25">
        <v>0</v>
      </c>
      <c r="DX105" s="25">
        <v>0</v>
      </c>
      <c r="DY105" s="25">
        <v>0</v>
      </c>
      <c r="DZ105" s="25">
        <v>-13.641965866088867</v>
      </c>
      <c r="EB105" s="25">
        <v>13</v>
      </c>
      <c r="EC105" s="25">
        <v>10</v>
      </c>
      <c r="ED105" s="25">
        <v>0</v>
      </c>
      <c r="EE105" s="25">
        <v>-44.3316650390625</v>
      </c>
      <c r="EF105" s="25">
        <v>19.225528717041016</v>
      </c>
      <c r="EG105" s="25">
        <v>0</v>
      </c>
      <c r="EH105" s="25">
        <v>0</v>
      </c>
      <c r="EI105" s="25">
        <v>0</v>
      </c>
      <c r="EJ105" s="25">
        <v>-162.11802673339844</v>
      </c>
      <c r="EL105" s="25">
        <v>13</v>
      </c>
      <c r="EM105" s="25">
        <v>10</v>
      </c>
      <c r="EN105" s="25">
        <v>0</v>
      </c>
      <c r="EO105" s="25">
        <v>-23.887065887451172</v>
      </c>
      <c r="EP105" s="25">
        <v>10.490877151489258</v>
      </c>
      <c r="EQ105" s="25">
        <v>0</v>
      </c>
      <c r="ER105" s="25">
        <v>0</v>
      </c>
      <c r="ES105" s="25">
        <v>0</v>
      </c>
      <c r="ET105" s="25">
        <v>-88.422447204589844</v>
      </c>
      <c r="EV105" s="25">
        <v>13</v>
      </c>
      <c r="EW105" s="25">
        <v>10</v>
      </c>
      <c r="EX105" s="25">
        <v>0</v>
      </c>
      <c r="EY105" s="25">
        <v>-395.21490478515625</v>
      </c>
      <c r="EZ105" s="25">
        <v>148.72294616699219</v>
      </c>
      <c r="FA105" s="25">
        <v>0</v>
      </c>
      <c r="FB105" s="25">
        <v>0</v>
      </c>
      <c r="FC105" s="25">
        <v>0</v>
      </c>
      <c r="FD105" s="25">
        <v>-1248.8026123046875</v>
      </c>
      <c r="FF105" s="25">
        <v>13</v>
      </c>
      <c r="FG105" s="25">
        <v>10</v>
      </c>
      <c r="FH105" s="25">
        <v>0</v>
      </c>
      <c r="FI105" s="25">
        <v>-762.002197265625</v>
      </c>
      <c r="FJ105" s="25">
        <v>297.45794677734375</v>
      </c>
      <c r="FK105" s="25">
        <v>0</v>
      </c>
      <c r="FL105" s="25">
        <v>0</v>
      </c>
      <c r="FM105" s="25">
        <v>0</v>
      </c>
      <c r="FN105" s="25">
        <v>-2498.4375</v>
      </c>
    </row>
    <row r="106" spans="2:170">
      <c r="N106" s="25">
        <v>0.47499999403953552</v>
      </c>
      <c r="O106" s="25">
        <v>-957.742431640625</v>
      </c>
      <c r="P106" s="25">
        <v>25.364400863647461</v>
      </c>
      <c r="Q106" s="25">
        <v>0</v>
      </c>
      <c r="R106" s="25">
        <v>0</v>
      </c>
      <c r="S106" s="25">
        <v>0</v>
      </c>
      <c r="T106" s="25">
        <v>-284.69448852539062</v>
      </c>
      <c r="X106" s="25">
        <v>0.47499999403953552</v>
      </c>
      <c r="Y106" s="25">
        <v>73.078102111816406</v>
      </c>
      <c r="Z106" s="25">
        <v>-63.775726318359375</v>
      </c>
      <c r="AA106" s="25">
        <v>0</v>
      </c>
      <c r="AB106" s="25">
        <v>0</v>
      </c>
      <c r="AC106" s="25">
        <v>0</v>
      </c>
      <c r="AD106" s="25">
        <v>501.57211303710937</v>
      </c>
      <c r="AH106" s="25">
        <v>0.47499999403953552</v>
      </c>
      <c r="AI106" s="25">
        <v>-40.905372619628906</v>
      </c>
      <c r="AJ106" s="25">
        <v>22.709587097167969</v>
      </c>
      <c r="AK106" s="25">
        <v>0</v>
      </c>
      <c r="AL106" s="25">
        <v>0</v>
      </c>
      <c r="AM106" s="25">
        <v>0</v>
      </c>
      <c r="AN106" s="25">
        <v>-178.72540283203125</v>
      </c>
      <c r="AR106" s="25">
        <v>0.47499999403953552</v>
      </c>
      <c r="AS106" s="25">
        <v>-70.210418701171875</v>
      </c>
      <c r="AT106" s="25">
        <v>0.96139752864837646</v>
      </c>
      <c r="AU106" s="25">
        <v>0</v>
      </c>
      <c r="AV106" s="25">
        <v>0</v>
      </c>
      <c r="AW106" s="25">
        <v>0</v>
      </c>
      <c r="AX106" s="25">
        <v>-10.180648803710937</v>
      </c>
      <c r="BB106" s="25">
        <v>0.47499999403953552</v>
      </c>
      <c r="BC106" s="25">
        <v>-168.3817138671875</v>
      </c>
      <c r="BD106" s="25">
        <v>2.2121334075927734</v>
      </c>
      <c r="BE106" s="25">
        <v>0</v>
      </c>
      <c r="BF106" s="25">
        <v>0</v>
      </c>
      <c r="BG106" s="25">
        <v>0</v>
      </c>
      <c r="BH106" s="25">
        <v>-23.420440673828125</v>
      </c>
      <c r="BL106" s="25">
        <v>0.47499999403953552</v>
      </c>
      <c r="BM106" s="25">
        <v>-318.16241455078125</v>
      </c>
      <c r="BN106" s="25">
        <v>4.1783995628356934</v>
      </c>
      <c r="BO106" s="25">
        <v>0</v>
      </c>
      <c r="BP106" s="25">
        <v>0</v>
      </c>
      <c r="BQ106" s="25">
        <v>0</v>
      </c>
      <c r="BR106" s="25">
        <v>-44.237827301025391</v>
      </c>
      <c r="BV106" s="25">
        <v>0.47499999403953552</v>
      </c>
      <c r="BW106" s="25">
        <v>27.482006072998047</v>
      </c>
      <c r="BX106" s="25">
        <v>3.5144399851560593E-2</v>
      </c>
      <c r="BY106" s="25">
        <v>0</v>
      </c>
      <c r="BZ106" s="25">
        <v>0</v>
      </c>
      <c r="CA106" s="25">
        <v>0</v>
      </c>
      <c r="CB106" s="25">
        <v>-5.8803601264953613</v>
      </c>
      <c r="CF106" s="25">
        <v>0.47499999403953552</v>
      </c>
      <c r="CG106" s="25">
        <v>-137.58993530273437</v>
      </c>
      <c r="CH106" s="25">
        <v>-0.79213005304336548</v>
      </c>
      <c r="CI106" s="25">
        <v>0</v>
      </c>
      <c r="CJ106" s="25">
        <v>0</v>
      </c>
      <c r="CK106" s="25">
        <v>0</v>
      </c>
      <c r="CL106" s="25">
        <v>6.7724905014038086</v>
      </c>
      <c r="CP106" s="25">
        <v>0.47499999403953552</v>
      </c>
      <c r="CQ106" s="25">
        <v>-441.6724853515625</v>
      </c>
      <c r="CR106" s="25">
        <v>1.765140175819397</v>
      </c>
      <c r="CS106" s="25">
        <v>0</v>
      </c>
      <c r="CT106" s="25">
        <v>0</v>
      </c>
      <c r="CU106" s="25">
        <v>0</v>
      </c>
      <c r="CV106" s="25">
        <v>-12.803524971008301</v>
      </c>
      <c r="CZ106" s="25">
        <v>0.47499999403953552</v>
      </c>
      <c r="DA106" s="25">
        <v>27.482006072998047</v>
      </c>
      <c r="DB106" s="25">
        <v>3.5144399851560593E-2</v>
      </c>
      <c r="DC106" s="25">
        <v>0</v>
      </c>
      <c r="DD106" s="25">
        <v>0</v>
      </c>
      <c r="DE106" s="25">
        <v>0</v>
      </c>
      <c r="DF106" s="25">
        <v>-5.8803601264953613</v>
      </c>
      <c r="DJ106" s="25">
        <v>0.47499999403953552</v>
      </c>
      <c r="DK106" s="25">
        <v>-137.58993530273437</v>
      </c>
      <c r="DL106" s="25">
        <v>-0.79213005304336548</v>
      </c>
      <c r="DM106" s="25">
        <v>0</v>
      </c>
      <c r="DN106" s="25">
        <v>0</v>
      </c>
      <c r="DO106" s="25">
        <v>0</v>
      </c>
      <c r="DP106" s="25">
        <v>6.7724905014038086</v>
      </c>
      <c r="DT106" s="25">
        <v>0.47499999403953552</v>
      </c>
      <c r="DU106" s="25">
        <v>-441.6724853515625</v>
      </c>
      <c r="DV106" s="25">
        <v>1.765140175819397</v>
      </c>
      <c r="DW106" s="25">
        <v>0</v>
      </c>
      <c r="DX106" s="25">
        <v>0</v>
      </c>
      <c r="DY106" s="25">
        <v>0</v>
      </c>
      <c r="DZ106" s="25">
        <v>-12.803524971008301</v>
      </c>
      <c r="ED106" s="25">
        <v>0.47499999403953552</v>
      </c>
      <c r="EE106" s="25">
        <v>-44.3316650390625</v>
      </c>
      <c r="EF106" s="25">
        <v>19.225528717041016</v>
      </c>
      <c r="EG106" s="25">
        <v>0</v>
      </c>
      <c r="EH106" s="25">
        <v>0</v>
      </c>
      <c r="EI106" s="25">
        <v>0</v>
      </c>
      <c r="EJ106" s="25">
        <v>-152.98590087890625</v>
      </c>
      <c r="EN106" s="25">
        <v>0.47499999403953552</v>
      </c>
      <c r="EO106" s="25">
        <v>-23.887065887451172</v>
      </c>
      <c r="EP106" s="25">
        <v>10.490877151489258</v>
      </c>
      <c r="EQ106" s="25">
        <v>0</v>
      </c>
      <c r="ER106" s="25">
        <v>0</v>
      </c>
      <c r="ES106" s="25">
        <v>0</v>
      </c>
      <c r="ET106" s="25">
        <v>-83.439277648925781</v>
      </c>
      <c r="EX106" s="25">
        <v>0.47499999403953552</v>
      </c>
      <c r="EY106" s="25">
        <v>-395.21490478515625</v>
      </c>
      <c r="EZ106" s="25">
        <v>148.72294616699219</v>
      </c>
      <c r="FA106" s="25">
        <v>0</v>
      </c>
      <c r="FB106" s="25">
        <v>0</v>
      </c>
      <c r="FC106" s="25">
        <v>0</v>
      </c>
      <c r="FD106" s="25">
        <v>-1178.1591796875</v>
      </c>
      <c r="FH106" s="25">
        <v>0.47499999403953552</v>
      </c>
      <c r="FI106" s="25">
        <v>-762.002197265625</v>
      </c>
      <c r="FJ106" s="25">
        <v>297.45794677734375</v>
      </c>
      <c r="FK106" s="25">
        <v>0</v>
      </c>
      <c r="FL106" s="25">
        <v>0</v>
      </c>
      <c r="FM106" s="25">
        <v>0</v>
      </c>
      <c r="FN106" s="25">
        <v>-2357.14501953125</v>
      </c>
    </row>
    <row r="107" spans="2:170">
      <c r="M107" s="25">
        <v>14</v>
      </c>
      <c r="N107" s="25">
        <v>17.075000762939453</v>
      </c>
      <c r="O107" s="25">
        <v>-957.742431640625</v>
      </c>
      <c r="P107" s="25">
        <v>25.364400863647461</v>
      </c>
      <c r="Q107" s="25">
        <v>0</v>
      </c>
      <c r="R107" s="25">
        <v>0</v>
      </c>
      <c r="S107" s="25">
        <v>0</v>
      </c>
      <c r="T107" s="25">
        <v>136.35453796386719</v>
      </c>
      <c r="W107" s="25">
        <v>14</v>
      </c>
      <c r="X107" s="25">
        <v>17.075000762939453</v>
      </c>
      <c r="Y107" s="25">
        <v>73.078102111816406</v>
      </c>
      <c r="Z107" s="25">
        <v>-63.775726318359375</v>
      </c>
      <c r="AA107" s="25">
        <v>0</v>
      </c>
      <c r="AB107" s="25">
        <v>0</v>
      </c>
      <c r="AC107" s="25">
        <v>0</v>
      </c>
      <c r="AD107" s="25">
        <v>-557.10491943359375</v>
      </c>
      <c r="AG107" s="25">
        <v>14</v>
      </c>
      <c r="AH107" s="25">
        <v>17.075000762939453</v>
      </c>
      <c r="AI107" s="25">
        <v>-40.905372619628906</v>
      </c>
      <c r="AJ107" s="25">
        <v>22.709587097167969</v>
      </c>
      <c r="AK107" s="25">
        <v>0</v>
      </c>
      <c r="AL107" s="25">
        <v>0</v>
      </c>
      <c r="AM107" s="25">
        <v>0</v>
      </c>
      <c r="AN107" s="25">
        <v>198.25373840332031</v>
      </c>
      <c r="AQ107" s="25">
        <v>14</v>
      </c>
      <c r="AR107" s="25">
        <v>17.075000762939453</v>
      </c>
      <c r="AS107" s="25">
        <v>-70.210418701171875</v>
      </c>
      <c r="AT107" s="25">
        <v>0.96139752864837646</v>
      </c>
      <c r="AU107" s="25">
        <v>0</v>
      </c>
      <c r="AV107" s="25">
        <v>0</v>
      </c>
      <c r="AW107" s="25">
        <v>0</v>
      </c>
      <c r="AX107" s="25">
        <v>5.7785501480102539</v>
      </c>
      <c r="BA107" s="25">
        <v>14</v>
      </c>
      <c r="BB107" s="25">
        <v>17.075000762939453</v>
      </c>
      <c r="BC107" s="25">
        <v>-168.3817138671875</v>
      </c>
      <c r="BD107" s="25">
        <v>2.2121334075927734</v>
      </c>
      <c r="BE107" s="25">
        <v>0</v>
      </c>
      <c r="BF107" s="25">
        <v>0</v>
      </c>
      <c r="BG107" s="25">
        <v>0</v>
      </c>
      <c r="BH107" s="25">
        <v>13.300972938537598</v>
      </c>
      <c r="BK107" s="25">
        <v>14</v>
      </c>
      <c r="BL107" s="25">
        <v>17.075000762939453</v>
      </c>
      <c r="BM107" s="25">
        <v>-318.16241455078125</v>
      </c>
      <c r="BN107" s="25">
        <v>4.1783995628356934</v>
      </c>
      <c r="BO107" s="25">
        <v>0</v>
      </c>
      <c r="BP107" s="25">
        <v>0</v>
      </c>
      <c r="BQ107" s="25">
        <v>0</v>
      </c>
      <c r="BR107" s="25">
        <v>25.123603820800781</v>
      </c>
      <c r="BU107" s="25">
        <v>14</v>
      </c>
      <c r="BV107" s="25">
        <v>17.075000762939453</v>
      </c>
      <c r="BW107" s="25">
        <v>27.482006072998047</v>
      </c>
      <c r="BX107" s="25">
        <v>3.5144399851560593E-2</v>
      </c>
      <c r="BY107" s="25">
        <v>0</v>
      </c>
      <c r="BZ107" s="25">
        <v>0</v>
      </c>
      <c r="CA107" s="25">
        <v>0</v>
      </c>
      <c r="CB107" s="25">
        <v>-5.2969632148742676</v>
      </c>
      <c r="CE107" s="25">
        <v>14</v>
      </c>
      <c r="CF107" s="25">
        <v>17.075000762939453</v>
      </c>
      <c r="CG107" s="25">
        <v>-137.58993530273437</v>
      </c>
      <c r="CH107" s="25">
        <v>-0.79213005304336548</v>
      </c>
      <c r="CI107" s="25">
        <v>0</v>
      </c>
      <c r="CJ107" s="25">
        <v>0</v>
      </c>
      <c r="CK107" s="25">
        <v>0</v>
      </c>
      <c r="CL107" s="25">
        <v>-6.3768682479858398</v>
      </c>
      <c r="CO107" s="25">
        <v>14</v>
      </c>
      <c r="CP107" s="25">
        <v>17.075000762939453</v>
      </c>
      <c r="CQ107" s="25">
        <v>-441.6724853515625</v>
      </c>
      <c r="CR107" s="25">
        <v>1.765140175819397</v>
      </c>
      <c r="CS107" s="25">
        <v>0</v>
      </c>
      <c r="CT107" s="25">
        <v>0</v>
      </c>
      <c r="CU107" s="25">
        <v>0</v>
      </c>
      <c r="CV107" s="25">
        <v>16.497802734375</v>
      </c>
      <c r="CY107" s="25">
        <v>14</v>
      </c>
      <c r="CZ107" s="25">
        <v>17.075000762939453</v>
      </c>
      <c r="DA107" s="25">
        <v>27.482006072998047</v>
      </c>
      <c r="DB107" s="25">
        <v>3.5144399851560593E-2</v>
      </c>
      <c r="DC107" s="25">
        <v>0</v>
      </c>
      <c r="DD107" s="25">
        <v>0</v>
      </c>
      <c r="DE107" s="25">
        <v>0</v>
      </c>
      <c r="DF107" s="25">
        <v>-5.2969632148742676</v>
      </c>
      <c r="DI107" s="25">
        <v>14</v>
      </c>
      <c r="DJ107" s="25">
        <v>17.075000762939453</v>
      </c>
      <c r="DK107" s="25">
        <v>-137.58993530273437</v>
      </c>
      <c r="DL107" s="25">
        <v>-0.79213005304336548</v>
      </c>
      <c r="DM107" s="25">
        <v>0</v>
      </c>
      <c r="DN107" s="25">
        <v>0</v>
      </c>
      <c r="DO107" s="25">
        <v>0</v>
      </c>
      <c r="DP107" s="25">
        <v>-6.3768682479858398</v>
      </c>
      <c r="DS107" s="25">
        <v>14</v>
      </c>
      <c r="DT107" s="25">
        <v>17.075000762939453</v>
      </c>
      <c r="DU107" s="25">
        <v>-441.6724853515625</v>
      </c>
      <c r="DV107" s="25">
        <v>1.765140175819397</v>
      </c>
      <c r="DW107" s="25">
        <v>0</v>
      </c>
      <c r="DX107" s="25">
        <v>0</v>
      </c>
      <c r="DY107" s="25">
        <v>0</v>
      </c>
      <c r="DZ107" s="25">
        <v>16.497802734375</v>
      </c>
      <c r="EC107" s="25">
        <v>14</v>
      </c>
      <c r="ED107" s="25">
        <v>17.075000762939453</v>
      </c>
      <c r="EE107" s="25">
        <v>-44.3316650390625</v>
      </c>
      <c r="EF107" s="25">
        <v>19.225528717041016</v>
      </c>
      <c r="EG107" s="25">
        <v>0</v>
      </c>
      <c r="EH107" s="25">
        <v>0</v>
      </c>
      <c r="EI107" s="25">
        <v>0</v>
      </c>
      <c r="EJ107" s="25">
        <v>166.15786743164062</v>
      </c>
      <c r="EM107" s="25">
        <v>14</v>
      </c>
      <c r="EN107" s="25">
        <v>17.075000762939453</v>
      </c>
      <c r="EO107" s="25">
        <v>-23.887065887451172</v>
      </c>
      <c r="EP107" s="25">
        <v>10.490877151489258</v>
      </c>
      <c r="EQ107" s="25">
        <v>0</v>
      </c>
      <c r="ER107" s="25">
        <v>0</v>
      </c>
      <c r="ES107" s="25">
        <v>0</v>
      </c>
      <c r="ET107" s="25">
        <v>90.70928955078125</v>
      </c>
      <c r="EW107" s="25">
        <v>14</v>
      </c>
      <c r="EX107" s="25">
        <v>17.075000762939453</v>
      </c>
      <c r="EY107" s="25">
        <v>-395.21490478515625</v>
      </c>
      <c r="EZ107" s="25">
        <v>148.72294616699219</v>
      </c>
      <c r="FA107" s="25">
        <v>0</v>
      </c>
      <c r="FB107" s="25">
        <v>0</v>
      </c>
      <c r="FC107" s="25">
        <v>0</v>
      </c>
      <c r="FD107" s="25">
        <v>1290.6417236328125</v>
      </c>
      <c r="FG107" s="25">
        <v>14</v>
      </c>
      <c r="FH107" s="25">
        <v>17.075000762939453</v>
      </c>
      <c r="FI107" s="25">
        <v>-762.002197265625</v>
      </c>
      <c r="FJ107" s="25">
        <v>297.45794677734375</v>
      </c>
      <c r="FK107" s="25">
        <v>0</v>
      </c>
      <c r="FL107" s="25">
        <v>0</v>
      </c>
      <c r="FM107" s="25">
        <v>0</v>
      </c>
      <c r="FN107" s="25">
        <v>2580.65673828125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421"/>
  <sheetViews>
    <sheetView zoomScaleNormal="100" workbookViewId="0">
      <selection activeCell="J2" sqref="J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245</v>
      </c>
      <c r="B1" t="s">
        <v>246</v>
      </c>
      <c r="C1" t="s">
        <v>247</v>
      </c>
      <c r="D1" t="s">
        <v>248</v>
      </c>
      <c r="E1" t="s">
        <v>249</v>
      </c>
      <c r="F1" t="s">
        <v>138</v>
      </c>
      <c r="G1" t="s">
        <v>250</v>
      </c>
      <c r="H1" t="s">
        <v>251</v>
      </c>
      <c r="I1" t="s">
        <v>252</v>
      </c>
      <c r="J1" t="s">
        <v>253</v>
      </c>
      <c r="K1" t="s">
        <v>254</v>
      </c>
      <c r="L1" t="s">
        <v>255</v>
      </c>
      <c r="M1" t="s">
        <v>256</v>
      </c>
    </row>
    <row r="2" spans="1:13">
      <c r="A2">
        <v>1</v>
      </c>
      <c r="B2" t="s">
        <v>257</v>
      </c>
      <c r="C2">
        <v>1</v>
      </c>
      <c r="D2">
        <v>0</v>
      </c>
      <c r="E2">
        <v>4</v>
      </c>
      <c r="F2" t="s">
        <v>258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1</v>
      </c>
      <c r="B3" t="s">
        <v>257</v>
      </c>
      <c r="C3">
        <v>1</v>
      </c>
      <c r="D3">
        <v>0</v>
      </c>
      <c r="E3">
        <v>1</v>
      </c>
      <c r="F3" t="s">
        <v>259</v>
      </c>
      <c r="G3">
        <v>0.95</v>
      </c>
      <c r="H3">
        <v>0</v>
      </c>
      <c r="I3">
        <v>0</v>
      </c>
      <c r="J3">
        <v>0</v>
      </c>
      <c r="K3">
        <v>-265.02</v>
      </c>
      <c r="L3">
        <v>-528.72</v>
      </c>
      <c r="M3">
        <v>0</v>
      </c>
    </row>
    <row r="4" spans="1:13">
      <c r="A4">
        <v>1</v>
      </c>
      <c r="B4" t="s">
        <v>257</v>
      </c>
      <c r="C4">
        <v>2</v>
      </c>
      <c r="D4">
        <v>13</v>
      </c>
      <c r="E4">
        <v>13</v>
      </c>
      <c r="F4" t="s">
        <v>258</v>
      </c>
      <c r="G4">
        <v>0</v>
      </c>
      <c r="H4">
        <v>3585.3</v>
      </c>
      <c r="I4">
        <v>6721.2</v>
      </c>
      <c r="J4">
        <v>44.51</v>
      </c>
      <c r="K4">
        <v>-4789.53</v>
      </c>
      <c r="L4">
        <v>8745.5</v>
      </c>
      <c r="M4">
        <v>-80.349999999999994</v>
      </c>
    </row>
    <row r="5" spans="1:13">
      <c r="A5">
        <v>1</v>
      </c>
      <c r="B5" t="s">
        <v>257</v>
      </c>
      <c r="C5">
        <v>2</v>
      </c>
      <c r="D5">
        <v>13</v>
      </c>
      <c r="E5">
        <v>0</v>
      </c>
      <c r="F5">
        <v>1</v>
      </c>
      <c r="G5">
        <v>0.95</v>
      </c>
      <c r="H5">
        <v>7072.99</v>
      </c>
      <c r="I5">
        <v>3409.83</v>
      </c>
      <c r="J5">
        <v>44.51</v>
      </c>
      <c r="K5">
        <v>0</v>
      </c>
      <c r="L5">
        <v>0</v>
      </c>
      <c r="M5">
        <v>0</v>
      </c>
    </row>
    <row r="6" spans="1:13">
      <c r="A6">
        <v>1</v>
      </c>
      <c r="B6" t="s">
        <v>257</v>
      </c>
      <c r="C6">
        <v>2</v>
      </c>
      <c r="D6">
        <v>10</v>
      </c>
      <c r="E6">
        <v>0</v>
      </c>
      <c r="F6">
        <v>2</v>
      </c>
      <c r="G6">
        <v>3.7509999999999999</v>
      </c>
      <c r="H6">
        <v>11172.28</v>
      </c>
      <c r="I6">
        <v>944.53</v>
      </c>
      <c r="J6">
        <v>38.96</v>
      </c>
      <c r="K6">
        <v>0</v>
      </c>
      <c r="L6">
        <v>0</v>
      </c>
      <c r="M6">
        <v>0</v>
      </c>
    </row>
    <row r="7" spans="1:13">
      <c r="A7">
        <v>1</v>
      </c>
      <c r="B7" t="s">
        <v>257</v>
      </c>
      <c r="C7">
        <v>2</v>
      </c>
      <c r="D7">
        <v>10</v>
      </c>
      <c r="E7">
        <v>0</v>
      </c>
      <c r="F7">
        <v>3</v>
      </c>
      <c r="G7">
        <v>6.5510000000000002</v>
      </c>
      <c r="H7">
        <v>6774.89</v>
      </c>
      <c r="I7">
        <v>-3606.65</v>
      </c>
      <c r="J7">
        <v>47.26</v>
      </c>
      <c r="K7">
        <v>0</v>
      </c>
      <c r="L7">
        <v>0</v>
      </c>
      <c r="M7">
        <v>0</v>
      </c>
    </row>
    <row r="8" spans="1:13">
      <c r="A8">
        <v>1</v>
      </c>
      <c r="B8" t="s">
        <v>257</v>
      </c>
      <c r="C8">
        <v>2</v>
      </c>
      <c r="D8">
        <v>13</v>
      </c>
      <c r="E8">
        <v>0</v>
      </c>
      <c r="F8" t="s">
        <v>259</v>
      </c>
      <c r="G8">
        <v>7.5</v>
      </c>
      <c r="H8">
        <v>3572.44</v>
      </c>
      <c r="I8">
        <v>-3155.02</v>
      </c>
      <c r="J8">
        <v>59.24</v>
      </c>
      <c r="K8">
        <v>0</v>
      </c>
      <c r="L8">
        <v>0</v>
      </c>
      <c r="M8">
        <v>0</v>
      </c>
    </row>
    <row r="9" spans="1:13">
      <c r="A9">
        <v>1</v>
      </c>
      <c r="B9" t="s">
        <v>257</v>
      </c>
      <c r="C9">
        <v>3</v>
      </c>
      <c r="D9">
        <v>13</v>
      </c>
      <c r="E9">
        <v>13</v>
      </c>
      <c r="F9" t="s">
        <v>258</v>
      </c>
      <c r="G9">
        <v>0</v>
      </c>
      <c r="H9">
        <v>5351.4</v>
      </c>
      <c r="I9">
        <v>7096.11</v>
      </c>
      <c r="J9">
        <v>17.09</v>
      </c>
      <c r="K9">
        <v>-486.05</v>
      </c>
      <c r="L9">
        <v>8038.62</v>
      </c>
      <c r="M9">
        <v>-65.12</v>
      </c>
    </row>
    <row r="10" spans="1:13">
      <c r="A10">
        <v>1</v>
      </c>
      <c r="B10" t="s">
        <v>257</v>
      </c>
      <c r="C10">
        <v>3</v>
      </c>
      <c r="D10">
        <v>13</v>
      </c>
      <c r="E10">
        <v>0</v>
      </c>
      <c r="F10">
        <v>1</v>
      </c>
      <c r="G10">
        <v>0.95</v>
      </c>
      <c r="H10">
        <v>8013.01</v>
      </c>
      <c r="I10">
        <v>2685.63</v>
      </c>
      <c r="J10">
        <v>17.09</v>
      </c>
      <c r="K10">
        <v>0</v>
      </c>
      <c r="L10">
        <v>0</v>
      </c>
      <c r="M10">
        <v>0</v>
      </c>
    </row>
    <row r="11" spans="1:13">
      <c r="A11">
        <v>1</v>
      </c>
      <c r="B11" t="s">
        <v>257</v>
      </c>
      <c r="C11">
        <v>3</v>
      </c>
      <c r="D11">
        <v>9</v>
      </c>
      <c r="E11">
        <v>0</v>
      </c>
      <c r="F11">
        <v>2</v>
      </c>
      <c r="G11">
        <v>3.75</v>
      </c>
      <c r="H11">
        <v>8545.83</v>
      </c>
      <c r="I11">
        <v>-459.42</v>
      </c>
      <c r="J11">
        <v>11.99</v>
      </c>
      <c r="K11">
        <v>0</v>
      </c>
      <c r="L11">
        <v>0</v>
      </c>
      <c r="M11">
        <v>0</v>
      </c>
    </row>
    <row r="12" spans="1:13">
      <c r="A12">
        <v>1</v>
      </c>
      <c r="B12" t="s">
        <v>257</v>
      </c>
      <c r="C12">
        <v>3</v>
      </c>
      <c r="D12">
        <v>13</v>
      </c>
      <c r="E12">
        <v>0</v>
      </c>
      <c r="F12">
        <v>3</v>
      </c>
      <c r="G12">
        <v>6.55</v>
      </c>
      <c r="H12">
        <v>4639.17</v>
      </c>
      <c r="I12">
        <v>-2332.3200000000002</v>
      </c>
      <c r="J12">
        <v>26.49</v>
      </c>
      <c r="K12">
        <v>0</v>
      </c>
      <c r="L12">
        <v>0</v>
      </c>
      <c r="M12">
        <v>0</v>
      </c>
    </row>
    <row r="13" spans="1:13">
      <c r="A13">
        <v>1</v>
      </c>
      <c r="B13" t="s">
        <v>257</v>
      </c>
      <c r="C13">
        <v>3</v>
      </c>
      <c r="D13">
        <v>13</v>
      </c>
      <c r="E13">
        <v>13</v>
      </c>
      <c r="F13" t="s">
        <v>259</v>
      </c>
      <c r="G13">
        <v>7.5</v>
      </c>
      <c r="H13">
        <v>2313.04</v>
      </c>
      <c r="I13">
        <v>-6755.95</v>
      </c>
      <c r="J13">
        <v>26.49</v>
      </c>
      <c r="K13">
        <v>-3090.81</v>
      </c>
      <c r="L13">
        <v>-8863.73</v>
      </c>
      <c r="M13">
        <v>-74.52</v>
      </c>
    </row>
    <row r="14" spans="1:13">
      <c r="A14">
        <v>1</v>
      </c>
      <c r="B14" t="s">
        <v>257</v>
      </c>
      <c r="C14">
        <v>4</v>
      </c>
      <c r="D14">
        <v>13</v>
      </c>
      <c r="E14">
        <v>2</v>
      </c>
      <c r="F14" t="s">
        <v>258</v>
      </c>
      <c r="G14">
        <v>0</v>
      </c>
      <c r="H14">
        <v>1157.6500000000001</v>
      </c>
      <c r="I14">
        <v>1229</v>
      </c>
      <c r="J14">
        <v>-21.78</v>
      </c>
      <c r="K14">
        <v>-1565.77</v>
      </c>
      <c r="L14">
        <v>2702.48</v>
      </c>
      <c r="M14">
        <v>18.510000000000002</v>
      </c>
    </row>
    <row r="15" spans="1:13">
      <c r="A15">
        <v>1</v>
      </c>
      <c r="B15" t="s">
        <v>257</v>
      </c>
      <c r="C15">
        <v>4</v>
      </c>
      <c r="D15">
        <v>9</v>
      </c>
      <c r="E15">
        <v>0</v>
      </c>
      <c r="F15">
        <v>1</v>
      </c>
      <c r="G15">
        <v>0.95</v>
      </c>
      <c r="H15">
        <v>2848.17</v>
      </c>
      <c r="I15">
        <v>2323.29</v>
      </c>
      <c r="J15">
        <v>-33.51</v>
      </c>
      <c r="K15">
        <v>0</v>
      </c>
      <c r="L15">
        <v>0</v>
      </c>
      <c r="M15">
        <v>0</v>
      </c>
    </row>
    <row r="16" spans="1:13">
      <c r="A16">
        <v>1</v>
      </c>
      <c r="B16" t="s">
        <v>257</v>
      </c>
      <c r="C16">
        <v>4</v>
      </c>
      <c r="D16">
        <v>9</v>
      </c>
      <c r="E16">
        <v>0</v>
      </c>
      <c r="F16">
        <v>2</v>
      </c>
      <c r="G16">
        <v>3.7509999999999999</v>
      </c>
      <c r="H16">
        <v>8222.81</v>
      </c>
      <c r="I16">
        <v>59.95</v>
      </c>
      <c r="J16">
        <v>8.9600000000000009</v>
      </c>
      <c r="K16">
        <v>0</v>
      </c>
      <c r="L16">
        <v>0</v>
      </c>
      <c r="M16">
        <v>0</v>
      </c>
    </row>
    <row r="17" spans="1:13">
      <c r="A17">
        <v>1</v>
      </c>
      <c r="B17" t="s">
        <v>257</v>
      </c>
      <c r="C17">
        <v>4</v>
      </c>
      <c r="D17">
        <v>13</v>
      </c>
      <c r="E17">
        <v>13</v>
      </c>
      <c r="F17">
        <v>3</v>
      </c>
      <c r="G17">
        <v>6.5510000000000002</v>
      </c>
      <c r="H17">
        <v>4811.53</v>
      </c>
      <c r="I17">
        <v>-1325.31</v>
      </c>
      <c r="J17">
        <v>16.25</v>
      </c>
      <c r="K17">
        <v>-1107.22</v>
      </c>
      <c r="L17">
        <v>-3025</v>
      </c>
      <c r="M17">
        <v>-21.78</v>
      </c>
    </row>
    <row r="18" spans="1:13">
      <c r="A18">
        <v>1</v>
      </c>
      <c r="B18" t="s">
        <v>257</v>
      </c>
      <c r="C18">
        <v>4</v>
      </c>
      <c r="D18">
        <v>13</v>
      </c>
      <c r="E18">
        <v>13</v>
      </c>
      <c r="F18" t="s">
        <v>259</v>
      </c>
      <c r="G18">
        <v>7.5</v>
      </c>
      <c r="H18">
        <v>3304.09</v>
      </c>
      <c r="I18">
        <v>-4676.1099999999997</v>
      </c>
      <c r="J18">
        <v>16.25</v>
      </c>
      <c r="K18">
        <v>-4229.1400000000003</v>
      </c>
      <c r="L18">
        <v>-6394.49</v>
      </c>
      <c r="M18">
        <v>-21.78</v>
      </c>
    </row>
    <row r="19" spans="1:13">
      <c r="A19">
        <v>1</v>
      </c>
      <c r="B19" t="s">
        <v>257</v>
      </c>
      <c r="C19">
        <v>5</v>
      </c>
      <c r="D19">
        <v>0</v>
      </c>
      <c r="E19">
        <v>1</v>
      </c>
      <c r="F19" t="s">
        <v>258</v>
      </c>
      <c r="G19">
        <v>0</v>
      </c>
      <c r="H19">
        <v>0</v>
      </c>
      <c r="I19">
        <v>0</v>
      </c>
      <c r="J19">
        <v>0</v>
      </c>
      <c r="K19">
        <v>-413.33</v>
      </c>
      <c r="L19">
        <v>684.84</v>
      </c>
      <c r="M19">
        <v>0</v>
      </c>
    </row>
    <row r="20" spans="1:13">
      <c r="A20">
        <v>1</v>
      </c>
      <c r="B20" t="s">
        <v>257</v>
      </c>
      <c r="C20">
        <v>5</v>
      </c>
      <c r="D20">
        <v>1</v>
      </c>
      <c r="E20">
        <v>13</v>
      </c>
      <c r="F20" t="s">
        <v>259</v>
      </c>
      <c r="G20">
        <v>0.95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>
      <c r="A21">
        <v>1</v>
      </c>
      <c r="B21" t="s">
        <v>257</v>
      </c>
      <c r="C21">
        <v>6</v>
      </c>
      <c r="D21">
        <v>13</v>
      </c>
      <c r="E21">
        <v>13</v>
      </c>
      <c r="F21" t="s">
        <v>258</v>
      </c>
      <c r="G21">
        <v>0</v>
      </c>
      <c r="H21">
        <v>4552.26</v>
      </c>
      <c r="I21">
        <v>-441</v>
      </c>
      <c r="J21">
        <v>-9341.1299999999992</v>
      </c>
      <c r="K21">
        <v>-3822.57</v>
      </c>
      <c r="L21">
        <v>405.16</v>
      </c>
      <c r="M21">
        <v>-7124.59</v>
      </c>
    </row>
    <row r="22" spans="1:13">
      <c r="A22">
        <v>1</v>
      </c>
      <c r="B22" t="s">
        <v>257</v>
      </c>
      <c r="C22">
        <v>6</v>
      </c>
      <c r="D22">
        <v>13</v>
      </c>
      <c r="E22">
        <v>13</v>
      </c>
      <c r="F22" t="s">
        <v>259</v>
      </c>
      <c r="G22">
        <v>1.5249999999999999</v>
      </c>
      <c r="H22">
        <v>3879.74</v>
      </c>
      <c r="I22">
        <v>-441</v>
      </c>
      <c r="J22">
        <v>-9341.1299999999992</v>
      </c>
      <c r="K22">
        <v>-3204.7</v>
      </c>
      <c r="L22">
        <v>405.16</v>
      </c>
      <c r="M22">
        <v>-7124.59</v>
      </c>
    </row>
    <row r="23" spans="1:13">
      <c r="A23">
        <v>1</v>
      </c>
      <c r="B23" t="s">
        <v>257</v>
      </c>
      <c r="C23">
        <v>7</v>
      </c>
      <c r="D23">
        <v>13</v>
      </c>
      <c r="E23">
        <v>13</v>
      </c>
      <c r="F23" t="s">
        <v>258</v>
      </c>
      <c r="G23">
        <v>0</v>
      </c>
      <c r="H23">
        <v>3879.74</v>
      </c>
      <c r="I23">
        <v>-441</v>
      </c>
      <c r="J23">
        <v>-9341.1299999999992</v>
      </c>
      <c r="K23">
        <v>-3204.7</v>
      </c>
      <c r="L23">
        <v>405.16</v>
      </c>
      <c r="M23">
        <v>-7124.59</v>
      </c>
    </row>
    <row r="24" spans="1:13">
      <c r="A24">
        <v>1</v>
      </c>
      <c r="B24" t="s">
        <v>257</v>
      </c>
      <c r="C24">
        <v>7</v>
      </c>
      <c r="D24">
        <v>13</v>
      </c>
      <c r="E24">
        <v>13</v>
      </c>
      <c r="F24" t="s">
        <v>259</v>
      </c>
      <c r="G24">
        <v>17.074999999999999</v>
      </c>
      <c r="H24">
        <v>3060.91</v>
      </c>
      <c r="I24">
        <v>-441</v>
      </c>
      <c r="J24">
        <v>-12637.06</v>
      </c>
      <c r="K24">
        <v>-3621.6</v>
      </c>
      <c r="L24">
        <v>405.16</v>
      </c>
      <c r="M24">
        <v>-10420.52</v>
      </c>
    </row>
    <row r="25" spans="1:13">
      <c r="A25">
        <v>1</v>
      </c>
      <c r="B25" t="s">
        <v>257</v>
      </c>
      <c r="C25">
        <v>8</v>
      </c>
      <c r="D25">
        <v>13</v>
      </c>
      <c r="E25">
        <v>13</v>
      </c>
      <c r="F25" t="s">
        <v>258</v>
      </c>
      <c r="G25">
        <v>0</v>
      </c>
      <c r="H25">
        <v>4064.35</v>
      </c>
      <c r="I25">
        <v>431.73</v>
      </c>
      <c r="J25">
        <v>-8626.59</v>
      </c>
      <c r="K25">
        <v>-3299.4</v>
      </c>
      <c r="L25">
        <v>-414.43</v>
      </c>
      <c r="M25">
        <v>-10843.13</v>
      </c>
    </row>
    <row r="26" spans="1:13">
      <c r="A26">
        <v>1</v>
      </c>
      <c r="B26" t="s">
        <v>257</v>
      </c>
      <c r="C26">
        <v>8</v>
      </c>
      <c r="D26">
        <v>13</v>
      </c>
      <c r="E26">
        <v>13</v>
      </c>
      <c r="F26" t="s">
        <v>259</v>
      </c>
      <c r="G26">
        <v>1.5249999999999999</v>
      </c>
      <c r="H26">
        <v>3938.9</v>
      </c>
      <c r="I26">
        <v>-393.4</v>
      </c>
      <c r="J26">
        <v>-11250.82</v>
      </c>
      <c r="K26">
        <v>-3786.74</v>
      </c>
      <c r="L26">
        <v>381.21</v>
      </c>
      <c r="M26">
        <v>-10868.79</v>
      </c>
    </row>
    <row r="27" spans="1:13">
      <c r="A27">
        <v>1</v>
      </c>
      <c r="B27" t="s">
        <v>257</v>
      </c>
      <c r="C27">
        <v>9</v>
      </c>
      <c r="D27">
        <v>13</v>
      </c>
      <c r="E27">
        <v>13</v>
      </c>
      <c r="F27" t="s">
        <v>258</v>
      </c>
      <c r="G27">
        <v>0</v>
      </c>
      <c r="H27">
        <v>3354.43</v>
      </c>
      <c r="I27">
        <v>-393.4</v>
      </c>
      <c r="J27">
        <v>-11250.82</v>
      </c>
      <c r="K27">
        <v>-3189.93</v>
      </c>
      <c r="L27">
        <v>381.21</v>
      </c>
      <c r="M27">
        <v>-10868.79</v>
      </c>
    </row>
    <row r="28" spans="1:13">
      <c r="A28">
        <v>1</v>
      </c>
      <c r="B28" t="s">
        <v>257</v>
      </c>
      <c r="C28">
        <v>9</v>
      </c>
      <c r="D28">
        <v>13</v>
      </c>
      <c r="E28">
        <v>13</v>
      </c>
      <c r="F28" t="s">
        <v>259</v>
      </c>
      <c r="G28">
        <v>17.074999999999999</v>
      </c>
      <c r="H28">
        <v>3181.28</v>
      </c>
      <c r="I28">
        <v>-393.4</v>
      </c>
      <c r="J28">
        <v>-14546.75</v>
      </c>
      <c r="K28">
        <v>-3363.08</v>
      </c>
      <c r="L28">
        <v>381.21</v>
      </c>
      <c r="M28">
        <v>-14164.72</v>
      </c>
    </row>
    <row r="29" spans="1:13">
      <c r="A29">
        <v>1</v>
      </c>
      <c r="B29" t="s">
        <v>257</v>
      </c>
      <c r="C29">
        <v>10</v>
      </c>
      <c r="D29">
        <v>13</v>
      </c>
      <c r="E29">
        <v>13</v>
      </c>
      <c r="F29" t="s">
        <v>258</v>
      </c>
      <c r="G29">
        <v>0</v>
      </c>
      <c r="H29">
        <v>2926.86</v>
      </c>
      <c r="I29">
        <v>-372.51</v>
      </c>
      <c r="J29">
        <v>-11136.07</v>
      </c>
      <c r="K29">
        <v>-3249.56</v>
      </c>
      <c r="L29">
        <v>402.1</v>
      </c>
      <c r="M29">
        <v>-10754.05</v>
      </c>
    </row>
    <row r="30" spans="1:13">
      <c r="A30">
        <v>1</v>
      </c>
      <c r="B30" t="s">
        <v>257</v>
      </c>
      <c r="C30">
        <v>10</v>
      </c>
      <c r="D30">
        <v>13</v>
      </c>
      <c r="E30">
        <v>13</v>
      </c>
      <c r="F30" t="s">
        <v>259</v>
      </c>
      <c r="G30">
        <v>1.5249999999999999</v>
      </c>
      <c r="H30">
        <v>3263.25</v>
      </c>
      <c r="I30">
        <v>402.1</v>
      </c>
      <c r="J30">
        <v>-10754.05</v>
      </c>
      <c r="K30">
        <v>-3418.79</v>
      </c>
      <c r="L30">
        <v>-372.51</v>
      </c>
      <c r="M30">
        <v>-11136.07</v>
      </c>
    </row>
    <row r="31" spans="1:13">
      <c r="A31">
        <v>1</v>
      </c>
      <c r="B31" t="s">
        <v>257</v>
      </c>
      <c r="C31">
        <v>11</v>
      </c>
      <c r="D31">
        <v>13</v>
      </c>
      <c r="E31">
        <v>13</v>
      </c>
      <c r="F31" t="s">
        <v>258</v>
      </c>
      <c r="G31">
        <v>0</v>
      </c>
      <c r="H31">
        <v>3614.12</v>
      </c>
      <c r="I31">
        <v>-370.89</v>
      </c>
      <c r="J31">
        <v>-9652.6</v>
      </c>
      <c r="K31">
        <v>-4232.07</v>
      </c>
      <c r="L31">
        <v>413.39</v>
      </c>
      <c r="M31">
        <v>-10124.77</v>
      </c>
    </row>
    <row r="32" spans="1:13">
      <c r="A32">
        <v>1</v>
      </c>
      <c r="B32" t="s">
        <v>257</v>
      </c>
      <c r="C32">
        <v>11</v>
      </c>
      <c r="D32">
        <v>13</v>
      </c>
      <c r="E32">
        <v>13</v>
      </c>
      <c r="F32" t="s">
        <v>259</v>
      </c>
      <c r="G32">
        <v>17.074999999999999</v>
      </c>
      <c r="H32">
        <v>3215.6</v>
      </c>
      <c r="I32">
        <v>-370.89</v>
      </c>
      <c r="J32">
        <v>-12948.53</v>
      </c>
      <c r="K32">
        <v>-3434.56</v>
      </c>
      <c r="L32">
        <v>413.39</v>
      </c>
      <c r="M32">
        <v>-13420.7</v>
      </c>
    </row>
    <row r="33" spans="1:13">
      <c r="A33">
        <v>1</v>
      </c>
      <c r="B33" t="s">
        <v>257</v>
      </c>
      <c r="C33">
        <v>12</v>
      </c>
      <c r="D33">
        <v>13</v>
      </c>
      <c r="E33">
        <v>13</v>
      </c>
      <c r="F33" t="s">
        <v>258</v>
      </c>
      <c r="G33">
        <v>0</v>
      </c>
      <c r="H33">
        <v>2699.04</v>
      </c>
      <c r="I33">
        <v>-345.54</v>
      </c>
      <c r="J33">
        <v>-8202.3700000000008</v>
      </c>
      <c r="K33">
        <v>-3951.11</v>
      </c>
      <c r="L33">
        <v>438.75</v>
      </c>
      <c r="M33">
        <v>-8674.5499999999993</v>
      </c>
    </row>
    <row r="34" spans="1:13">
      <c r="A34">
        <v>1</v>
      </c>
      <c r="B34" t="s">
        <v>257</v>
      </c>
      <c r="C34">
        <v>12</v>
      </c>
      <c r="D34">
        <v>13</v>
      </c>
      <c r="E34">
        <v>13</v>
      </c>
      <c r="F34" t="s">
        <v>259</v>
      </c>
      <c r="G34">
        <v>1.5249999999999999</v>
      </c>
      <c r="H34">
        <v>2572.8200000000002</v>
      </c>
      <c r="I34">
        <v>-345.54</v>
      </c>
      <c r="J34">
        <v>-8202.3700000000008</v>
      </c>
      <c r="K34">
        <v>-3704.79</v>
      </c>
      <c r="L34">
        <v>438.75</v>
      </c>
      <c r="M34">
        <v>-8674.5499999999993</v>
      </c>
    </row>
    <row r="35" spans="1:13">
      <c r="A35">
        <v>1</v>
      </c>
      <c r="B35" t="s">
        <v>257</v>
      </c>
      <c r="C35">
        <v>13</v>
      </c>
      <c r="D35">
        <v>13</v>
      </c>
      <c r="E35">
        <v>13</v>
      </c>
      <c r="F35" t="s">
        <v>258</v>
      </c>
      <c r="G35">
        <v>0</v>
      </c>
      <c r="H35">
        <v>2979.17</v>
      </c>
      <c r="I35">
        <v>438.75</v>
      </c>
      <c r="J35">
        <v>-8674.5499999999993</v>
      </c>
      <c r="K35">
        <v>-3762.39</v>
      </c>
      <c r="L35">
        <v>-345.54</v>
      </c>
      <c r="M35">
        <v>-8202.3700000000008</v>
      </c>
    </row>
    <row r="36" spans="1:13">
      <c r="A36">
        <v>1</v>
      </c>
      <c r="B36" t="s">
        <v>257</v>
      </c>
      <c r="C36">
        <v>13</v>
      </c>
      <c r="D36">
        <v>13</v>
      </c>
      <c r="E36">
        <v>13</v>
      </c>
      <c r="F36" t="s">
        <v>259</v>
      </c>
      <c r="G36">
        <v>17.074999999999999</v>
      </c>
      <c r="H36">
        <v>4212.88</v>
      </c>
      <c r="I36">
        <v>-376.89</v>
      </c>
      <c r="J36">
        <v>-8375.43</v>
      </c>
      <c r="K36">
        <v>-3320.36</v>
      </c>
      <c r="L36">
        <v>382.42</v>
      </c>
      <c r="M36">
        <v>-10286.049999999999</v>
      </c>
    </row>
    <row r="37" spans="1:13">
      <c r="A37">
        <v>1</v>
      </c>
      <c r="B37" t="s">
        <v>260</v>
      </c>
      <c r="C37">
        <v>1</v>
      </c>
      <c r="D37">
        <v>0</v>
      </c>
      <c r="E37">
        <v>1</v>
      </c>
      <c r="F37" t="s">
        <v>258</v>
      </c>
      <c r="G37">
        <v>0</v>
      </c>
      <c r="H37">
        <v>0</v>
      </c>
      <c r="I37">
        <v>0</v>
      </c>
      <c r="J37">
        <v>0</v>
      </c>
      <c r="K37">
        <v>0</v>
      </c>
      <c r="L37">
        <v>-29.21</v>
      </c>
      <c r="M37">
        <v>0</v>
      </c>
    </row>
    <row r="38" spans="1:13">
      <c r="A38">
        <v>1</v>
      </c>
      <c r="B38" t="s">
        <v>260</v>
      </c>
      <c r="C38">
        <v>1</v>
      </c>
      <c r="D38">
        <v>0</v>
      </c>
      <c r="E38">
        <v>1</v>
      </c>
      <c r="F38" t="s">
        <v>259</v>
      </c>
      <c r="G38">
        <v>0.95</v>
      </c>
      <c r="H38">
        <v>0</v>
      </c>
      <c r="I38">
        <v>0</v>
      </c>
      <c r="J38">
        <v>0</v>
      </c>
      <c r="K38">
        <v>-265.02</v>
      </c>
      <c r="L38">
        <v>-528.72</v>
      </c>
      <c r="M38">
        <v>0</v>
      </c>
    </row>
    <row r="39" spans="1:13">
      <c r="A39">
        <v>1</v>
      </c>
      <c r="B39" t="s">
        <v>260</v>
      </c>
      <c r="C39">
        <v>2</v>
      </c>
      <c r="D39">
        <v>2</v>
      </c>
      <c r="E39">
        <v>0</v>
      </c>
      <c r="F39" t="s">
        <v>258</v>
      </c>
      <c r="G39">
        <v>0</v>
      </c>
      <c r="H39">
        <v>-3213.06</v>
      </c>
      <c r="I39">
        <v>10560.94</v>
      </c>
      <c r="J39">
        <v>-90.97</v>
      </c>
      <c r="K39">
        <v>0</v>
      </c>
      <c r="L39">
        <v>0</v>
      </c>
      <c r="M39">
        <v>0</v>
      </c>
    </row>
    <row r="40" spans="1:13">
      <c r="A40">
        <v>1</v>
      </c>
      <c r="B40" t="s">
        <v>260</v>
      </c>
      <c r="C40">
        <v>2</v>
      </c>
      <c r="D40">
        <v>10</v>
      </c>
      <c r="E40">
        <v>0</v>
      </c>
      <c r="F40">
        <v>1</v>
      </c>
      <c r="G40">
        <v>0.95</v>
      </c>
      <c r="H40">
        <v>2810.51</v>
      </c>
      <c r="I40">
        <v>5999.89</v>
      </c>
      <c r="J40">
        <v>-92.33</v>
      </c>
      <c r="K40">
        <v>0</v>
      </c>
      <c r="L40">
        <v>0</v>
      </c>
      <c r="M40">
        <v>0</v>
      </c>
    </row>
    <row r="41" spans="1:13">
      <c r="A41">
        <v>1</v>
      </c>
      <c r="B41" t="s">
        <v>260</v>
      </c>
      <c r="C41">
        <v>2</v>
      </c>
      <c r="D41">
        <v>13</v>
      </c>
      <c r="E41">
        <v>0</v>
      </c>
      <c r="F41">
        <v>2</v>
      </c>
      <c r="G41">
        <v>3.7509999999999999</v>
      </c>
      <c r="H41">
        <v>7135.62</v>
      </c>
      <c r="I41">
        <v>1741.31</v>
      </c>
      <c r="J41">
        <v>-80.349999999999994</v>
      </c>
      <c r="K41">
        <v>0</v>
      </c>
      <c r="L41">
        <v>0</v>
      </c>
      <c r="M41">
        <v>0</v>
      </c>
    </row>
    <row r="42" spans="1:13">
      <c r="A42">
        <v>1</v>
      </c>
      <c r="B42" t="s">
        <v>260</v>
      </c>
      <c r="C42">
        <v>2</v>
      </c>
      <c r="D42">
        <v>0</v>
      </c>
      <c r="E42">
        <v>10</v>
      </c>
      <c r="F42">
        <v>3</v>
      </c>
      <c r="G42">
        <v>6.5510000000000002</v>
      </c>
      <c r="H42">
        <v>0</v>
      </c>
      <c r="I42">
        <v>0</v>
      </c>
      <c r="J42">
        <v>0</v>
      </c>
      <c r="K42">
        <v>6386.06</v>
      </c>
      <c r="L42">
        <v>-3990.36</v>
      </c>
      <c r="M42">
        <v>38.96</v>
      </c>
    </row>
    <row r="43" spans="1:13">
      <c r="A43">
        <v>1</v>
      </c>
      <c r="B43" t="s">
        <v>260</v>
      </c>
      <c r="C43">
        <v>2</v>
      </c>
      <c r="D43">
        <v>0</v>
      </c>
      <c r="E43">
        <v>10</v>
      </c>
      <c r="F43" t="s">
        <v>259</v>
      </c>
      <c r="G43">
        <v>7.5</v>
      </c>
      <c r="H43">
        <v>0</v>
      </c>
      <c r="I43">
        <v>0</v>
      </c>
      <c r="J43">
        <v>0</v>
      </c>
      <c r="K43">
        <v>2362.39</v>
      </c>
      <c r="L43">
        <v>-4489.3500000000004</v>
      </c>
      <c r="M43">
        <v>38.96</v>
      </c>
    </row>
    <row r="44" spans="1:13">
      <c r="A44">
        <v>1</v>
      </c>
      <c r="B44" t="s">
        <v>260</v>
      </c>
      <c r="C44">
        <v>3</v>
      </c>
      <c r="D44">
        <v>10</v>
      </c>
      <c r="E44">
        <v>0</v>
      </c>
      <c r="F44" t="s">
        <v>258</v>
      </c>
      <c r="G44">
        <v>0</v>
      </c>
      <c r="H44">
        <v>953.94</v>
      </c>
      <c r="I44">
        <v>8992.4599999999991</v>
      </c>
      <c r="J44">
        <v>19.440000000000001</v>
      </c>
      <c r="K44">
        <v>0</v>
      </c>
      <c r="L44">
        <v>0</v>
      </c>
      <c r="M44">
        <v>0</v>
      </c>
    </row>
    <row r="45" spans="1:13">
      <c r="A45">
        <v>1</v>
      </c>
      <c r="B45" t="s">
        <v>260</v>
      </c>
      <c r="C45">
        <v>3</v>
      </c>
      <c r="D45">
        <v>12</v>
      </c>
      <c r="E45">
        <v>0</v>
      </c>
      <c r="F45">
        <v>1</v>
      </c>
      <c r="G45">
        <v>0.95</v>
      </c>
      <c r="H45">
        <v>4302.79</v>
      </c>
      <c r="I45">
        <v>3717.46</v>
      </c>
      <c r="J45">
        <v>16.47</v>
      </c>
      <c r="K45">
        <v>0</v>
      </c>
      <c r="L45">
        <v>0</v>
      </c>
      <c r="M45">
        <v>0</v>
      </c>
    </row>
    <row r="46" spans="1:13">
      <c r="A46">
        <v>1</v>
      </c>
      <c r="B46" t="s">
        <v>260</v>
      </c>
      <c r="C46">
        <v>3</v>
      </c>
      <c r="D46">
        <v>13</v>
      </c>
      <c r="E46">
        <v>13</v>
      </c>
      <c r="F46">
        <v>2</v>
      </c>
      <c r="G46">
        <v>3.75</v>
      </c>
      <c r="H46">
        <v>7017.05</v>
      </c>
      <c r="I46">
        <v>531.54999999999995</v>
      </c>
      <c r="J46">
        <v>26.49</v>
      </c>
      <c r="K46">
        <v>8323.56</v>
      </c>
      <c r="L46">
        <v>-760.88</v>
      </c>
      <c r="M46">
        <v>-74.52</v>
      </c>
    </row>
    <row r="47" spans="1:13">
      <c r="A47">
        <v>1</v>
      </c>
      <c r="B47" t="s">
        <v>260</v>
      </c>
      <c r="C47">
        <v>3</v>
      </c>
      <c r="D47">
        <v>0</v>
      </c>
      <c r="E47">
        <v>13</v>
      </c>
      <c r="F47">
        <v>3</v>
      </c>
      <c r="G47">
        <v>6.55</v>
      </c>
      <c r="H47">
        <v>0</v>
      </c>
      <c r="I47">
        <v>0</v>
      </c>
      <c r="J47">
        <v>0</v>
      </c>
      <c r="K47">
        <v>1233.01</v>
      </c>
      <c r="L47">
        <v>-4435.01</v>
      </c>
      <c r="M47">
        <v>-74.52</v>
      </c>
    </row>
    <row r="48" spans="1:13">
      <c r="A48">
        <v>1</v>
      </c>
      <c r="B48" t="s">
        <v>260</v>
      </c>
      <c r="C48">
        <v>3</v>
      </c>
      <c r="D48">
        <v>0</v>
      </c>
      <c r="E48">
        <v>11</v>
      </c>
      <c r="F48" t="s">
        <v>259</v>
      </c>
      <c r="G48">
        <v>7.5</v>
      </c>
      <c r="H48">
        <v>0</v>
      </c>
      <c r="I48">
        <v>0</v>
      </c>
      <c r="J48">
        <v>0</v>
      </c>
      <c r="K48">
        <v>-2168.88</v>
      </c>
      <c r="L48">
        <v>-9464.2900000000009</v>
      </c>
      <c r="M48">
        <v>-78.459999999999994</v>
      </c>
    </row>
    <row r="49" spans="1:13">
      <c r="A49">
        <v>1</v>
      </c>
      <c r="B49" t="s">
        <v>260</v>
      </c>
      <c r="C49">
        <v>4</v>
      </c>
      <c r="D49">
        <v>11</v>
      </c>
      <c r="E49">
        <v>0</v>
      </c>
      <c r="F49" t="s">
        <v>258</v>
      </c>
      <c r="G49">
        <v>0</v>
      </c>
      <c r="H49">
        <v>-1210.06</v>
      </c>
      <c r="I49">
        <v>3173.6</v>
      </c>
      <c r="J49">
        <v>11.81</v>
      </c>
      <c r="K49">
        <v>0</v>
      </c>
      <c r="L49">
        <v>0</v>
      </c>
      <c r="M49">
        <v>0</v>
      </c>
    </row>
    <row r="50" spans="1:13">
      <c r="A50">
        <v>1</v>
      </c>
      <c r="B50" t="s">
        <v>260</v>
      </c>
      <c r="C50">
        <v>4</v>
      </c>
      <c r="D50">
        <v>11</v>
      </c>
      <c r="E50">
        <v>0</v>
      </c>
      <c r="F50">
        <v>1</v>
      </c>
      <c r="G50">
        <v>0.95</v>
      </c>
      <c r="H50">
        <v>1804.87</v>
      </c>
      <c r="I50">
        <v>3173.6</v>
      </c>
      <c r="J50">
        <v>11.81</v>
      </c>
      <c r="K50">
        <v>0</v>
      </c>
      <c r="L50">
        <v>0</v>
      </c>
      <c r="M50">
        <v>0</v>
      </c>
    </row>
    <row r="51" spans="1:13">
      <c r="A51">
        <v>1</v>
      </c>
      <c r="B51" t="s">
        <v>260</v>
      </c>
      <c r="C51">
        <v>4</v>
      </c>
      <c r="D51">
        <v>2</v>
      </c>
      <c r="E51">
        <v>13</v>
      </c>
      <c r="F51">
        <v>2</v>
      </c>
      <c r="G51">
        <v>3.7509999999999999</v>
      </c>
      <c r="H51">
        <v>6187.85</v>
      </c>
      <c r="I51">
        <v>196.59</v>
      </c>
      <c r="J51">
        <v>18.510000000000002</v>
      </c>
      <c r="K51">
        <v>4404.21</v>
      </c>
      <c r="L51">
        <v>-204.63</v>
      </c>
      <c r="M51">
        <v>-21.78</v>
      </c>
    </row>
    <row r="52" spans="1:13">
      <c r="A52">
        <v>1</v>
      </c>
      <c r="B52" t="s">
        <v>260</v>
      </c>
      <c r="C52">
        <v>4</v>
      </c>
      <c r="D52">
        <v>0</v>
      </c>
      <c r="E52">
        <v>9</v>
      </c>
      <c r="F52">
        <v>3</v>
      </c>
      <c r="G52">
        <v>6.5510000000000002</v>
      </c>
      <c r="H52">
        <v>0</v>
      </c>
      <c r="I52">
        <v>0</v>
      </c>
      <c r="J52">
        <v>0</v>
      </c>
      <c r="K52">
        <v>991.57</v>
      </c>
      <c r="L52">
        <v>-3291.81</v>
      </c>
      <c r="M52">
        <v>-33.51</v>
      </c>
    </row>
    <row r="53" spans="1:13">
      <c r="A53">
        <v>1</v>
      </c>
      <c r="B53" t="s">
        <v>260</v>
      </c>
      <c r="C53">
        <v>4</v>
      </c>
      <c r="D53">
        <v>0</v>
      </c>
      <c r="E53">
        <v>11</v>
      </c>
      <c r="F53" t="s">
        <v>259</v>
      </c>
      <c r="G53">
        <v>7.5</v>
      </c>
      <c r="H53">
        <v>0</v>
      </c>
      <c r="I53">
        <v>0</v>
      </c>
      <c r="J53">
        <v>0</v>
      </c>
      <c r="K53">
        <v>-2757.45</v>
      </c>
      <c r="L53">
        <v>-7697.49</v>
      </c>
      <c r="M53">
        <v>-30.8</v>
      </c>
    </row>
    <row r="54" spans="1:13">
      <c r="A54">
        <v>1</v>
      </c>
      <c r="B54" t="s">
        <v>260</v>
      </c>
      <c r="C54">
        <v>5</v>
      </c>
      <c r="D54">
        <v>1</v>
      </c>
      <c r="E54">
        <v>0</v>
      </c>
      <c r="F54" t="s">
        <v>258</v>
      </c>
      <c r="G54">
        <v>0</v>
      </c>
      <c r="H54">
        <v>-413.33</v>
      </c>
      <c r="I54">
        <v>684.84</v>
      </c>
      <c r="J54">
        <v>0</v>
      </c>
      <c r="K54">
        <v>0</v>
      </c>
      <c r="L54">
        <v>0</v>
      </c>
      <c r="M54">
        <v>0</v>
      </c>
    </row>
    <row r="55" spans="1:13">
      <c r="A55">
        <v>1</v>
      </c>
      <c r="B55" t="s">
        <v>260</v>
      </c>
      <c r="C55">
        <v>5</v>
      </c>
      <c r="D55">
        <v>1</v>
      </c>
      <c r="E55">
        <v>1</v>
      </c>
      <c r="F55" t="s">
        <v>259</v>
      </c>
      <c r="G55">
        <v>0.95</v>
      </c>
      <c r="H55">
        <v>0</v>
      </c>
      <c r="I55">
        <v>185.33</v>
      </c>
      <c r="J55">
        <v>0</v>
      </c>
      <c r="K55">
        <v>0</v>
      </c>
      <c r="L55">
        <v>0</v>
      </c>
      <c r="M55">
        <v>0</v>
      </c>
    </row>
    <row r="56" spans="1:13">
      <c r="A56">
        <v>1</v>
      </c>
      <c r="B56" t="s">
        <v>260</v>
      </c>
      <c r="C56">
        <v>6</v>
      </c>
      <c r="D56">
        <v>13</v>
      </c>
      <c r="E56">
        <v>13</v>
      </c>
      <c r="F56" t="s">
        <v>258</v>
      </c>
      <c r="G56">
        <v>0</v>
      </c>
      <c r="H56">
        <v>-3822.57</v>
      </c>
      <c r="I56">
        <v>405.16</v>
      </c>
      <c r="J56">
        <v>-7124.59</v>
      </c>
      <c r="K56">
        <v>4552.26</v>
      </c>
      <c r="L56">
        <v>-441</v>
      </c>
      <c r="M56">
        <v>-9341.1299999999992</v>
      </c>
    </row>
    <row r="57" spans="1:13">
      <c r="A57">
        <v>1</v>
      </c>
      <c r="B57" t="s">
        <v>260</v>
      </c>
      <c r="C57">
        <v>6</v>
      </c>
      <c r="D57">
        <v>13</v>
      </c>
      <c r="E57">
        <v>13</v>
      </c>
      <c r="F57" t="s">
        <v>259</v>
      </c>
      <c r="G57">
        <v>1.5249999999999999</v>
      </c>
      <c r="H57">
        <v>-3204.7</v>
      </c>
      <c r="I57">
        <v>405.16</v>
      </c>
      <c r="J57">
        <v>-7124.59</v>
      </c>
      <c r="K57">
        <v>3879.74</v>
      </c>
      <c r="L57">
        <v>-441</v>
      </c>
      <c r="M57">
        <v>-9341.1299999999992</v>
      </c>
    </row>
    <row r="58" spans="1:13">
      <c r="A58">
        <v>1</v>
      </c>
      <c r="B58" t="s">
        <v>260</v>
      </c>
      <c r="C58">
        <v>7</v>
      </c>
      <c r="D58">
        <v>13</v>
      </c>
      <c r="E58">
        <v>13</v>
      </c>
      <c r="F58" t="s">
        <v>258</v>
      </c>
      <c r="G58">
        <v>0</v>
      </c>
      <c r="H58">
        <v>-3204.7</v>
      </c>
      <c r="I58">
        <v>405.16</v>
      </c>
      <c r="J58">
        <v>-7124.59</v>
      </c>
      <c r="K58">
        <v>3879.74</v>
      </c>
      <c r="L58">
        <v>-441</v>
      </c>
      <c r="M58">
        <v>-9341.1299999999992</v>
      </c>
    </row>
    <row r="59" spans="1:13">
      <c r="A59">
        <v>1</v>
      </c>
      <c r="B59" t="s">
        <v>260</v>
      </c>
      <c r="C59">
        <v>7</v>
      </c>
      <c r="D59">
        <v>13</v>
      </c>
      <c r="E59">
        <v>13</v>
      </c>
      <c r="F59" t="s">
        <v>259</v>
      </c>
      <c r="G59">
        <v>17.074999999999999</v>
      </c>
      <c r="H59">
        <v>-3621.6</v>
      </c>
      <c r="I59">
        <v>405.16</v>
      </c>
      <c r="J59">
        <v>-10420.52</v>
      </c>
      <c r="K59">
        <v>3060.91</v>
      </c>
      <c r="L59">
        <v>-441</v>
      </c>
      <c r="M59">
        <v>-12637.06</v>
      </c>
    </row>
    <row r="60" spans="1:13">
      <c r="A60">
        <v>1</v>
      </c>
      <c r="B60" t="s">
        <v>260</v>
      </c>
      <c r="C60">
        <v>8</v>
      </c>
      <c r="D60">
        <v>13</v>
      </c>
      <c r="E60">
        <v>13</v>
      </c>
      <c r="F60" t="s">
        <v>258</v>
      </c>
      <c r="G60">
        <v>0</v>
      </c>
      <c r="H60">
        <v>4064.35</v>
      </c>
      <c r="I60">
        <v>431.73</v>
      </c>
      <c r="J60">
        <v>-8626.59</v>
      </c>
      <c r="K60">
        <v>-3299.4</v>
      </c>
      <c r="L60">
        <v>-414.43</v>
      </c>
      <c r="M60">
        <v>-10843.13</v>
      </c>
    </row>
    <row r="61" spans="1:13">
      <c r="A61">
        <v>1</v>
      </c>
      <c r="B61" t="s">
        <v>260</v>
      </c>
      <c r="C61">
        <v>8</v>
      </c>
      <c r="D61">
        <v>13</v>
      </c>
      <c r="E61">
        <v>13</v>
      </c>
      <c r="F61" t="s">
        <v>259</v>
      </c>
      <c r="G61">
        <v>1.5249999999999999</v>
      </c>
      <c r="H61">
        <v>-3786.74</v>
      </c>
      <c r="I61">
        <v>381.21</v>
      </c>
      <c r="J61">
        <v>-10868.79</v>
      </c>
      <c r="K61">
        <v>3938.9</v>
      </c>
      <c r="L61">
        <v>-393.4</v>
      </c>
      <c r="M61">
        <v>-11250.82</v>
      </c>
    </row>
    <row r="62" spans="1:13">
      <c r="A62">
        <v>1</v>
      </c>
      <c r="B62" t="s">
        <v>260</v>
      </c>
      <c r="C62">
        <v>9</v>
      </c>
      <c r="D62">
        <v>13</v>
      </c>
      <c r="E62">
        <v>13</v>
      </c>
      <c r="F62" t="s">
        <v>258</v>
      </c>
      <c r="G62">
        <v>0</v>
      </c>
      <c r="H62">
        <v>-3189.93</v>
      </c>
      <c r="I62">
        <v>381.21</v>
      </c>
      <c r="J62">
        <v>-10868.79</v>
      </c>
      <c r="K62">
        <v>3354.43</v>
      </c>
      <c r="L62">
        <v>-393.4</v>
      </c>
      <c r="M62">
        <v>-11250.82</v>
      </c>
    </row>
    <row r="63" spans="1:13">
      <c r="A63">
        <v>1</v>
      </c>
      <c r="B63" t="s">
        <v>260</v>
      </c>
      <c r="C63">
        <v>9</v>
      </c>
      <c r="D63">
        <v>13</v>
      </c>
      <c r="E63">
        <v>13</v>
      </c>
      <c r="F63" t="s">
        <v>259</v>
      </c>
      <c r="G63">
        <v>17.074999999999999</v>
      </c>
      <c r="H63">
        <v>-3363.08</v>
      </c>
      <c r="I63">
        <v>381.21</v>
      </c>
      <c r="J63">
        <v>-14164.72</v>
      </c>
      <c r="K63">
        <v>3181.28</v>
      </c>
      <c r="L63">
        <v>-393.4</v>
      </c>
      <c r="M63">
        <v>-14546.75</v>
      </c>
    </row>
    <row r="64" spans="1:13">
      <c r="A64">
        <v>1</v>
      </c>
      <c r="B64" t="s">
        <v>260</v>
      </c>
      <c r="C64">
        <v>10</v>
      </c>
      <c r="D64">
        <v>13</v>
      </c>
      <c r="E64">
        <v>13</v>
      </c>
      <c r="F64" t="s">
        <v>258</v>
      </c>
      <c r="G64">
        <v>0</v>
      </c>
      <c r="H64">
        <v>-3249.56</v>
      </c>
      <c r="I64">
        <v>402.1</v>
      </c>
      <c r="J64">
        <v>-10754.05</v>
      </c>
      <c r="K64">
        <v>2926.86</v>
      </c>
      <c r="L64">
        <v>-372.51</v>
      </c>
      <c r="M64">
        <v>-11136.07</v>
      </c>
    </row>
    <row r="65" spans="1:13">
      <c r="A65">
        <v>1</v>
      </c>
      <c r="B65" t="s">
        <v>260</v>
      </c>
      <c r="C65">
        <v>10</v>
      </c>
      <c r="D65">
        <v>13</v>
      </c>
      <c r="E65">
        <v>13</v>
      </c>
      <c r="F65" t="s">
        <v>259</v>
      </c>
      <c r="G65">
        <v>1.5249999999999999</v>
      </c>
      <c r="H65">
        <v>3263.25</v>
      </c>
      <c r="I65">
        <v>402.1</v>
      </c>
      <c r="J65">
        <v>-10754.05</v>
      </c>
      <c r="K65">
        <v>-3418.79</v>
      </c>
      <c r="L65">
        <v>-372.51</v>
      </c>
      <c r="M65">
        <v>-11136.07</v>
      </c>
    </row>
    <row r="66" spans="1:13">
      <c r="A66">
        <v>1</v>
      </c>
      <c r="B66" t="s">
        <v>260</v>
      </c>
      <c r="C66">
        <v>11</v>
      </c>
      <c r="D66">
        <v>13</v>
      </c>
      <c r="E66">
        <v>13</v>
      </c>
      <c r="F66" t="s">
        <v>258</v>
      </c>
      <c r="G66">
        <v>0</v>
      </c>
      <c r="H66">
        <v>-4232.07</v>
      </c>
      <c r="I66">
        <v>413.39</v>
      </c>
      <c r="J66">
        <v>-10124.77</v>
      </c>
      <c r="K66">
        <v>3614.12</v>
      </c>
      <c r="L66">
        <v>-370.89</v>
      </c>
      <c r="M66">
        <v>-9652.6</v>
      </c>
    </row>
    <row r="67" spans="1:13">
      <c r="A67">
        <v>1</v>
      </c>
      <c r="B67" t="s">
        <v>260</v>
      </c>
      <c r="C67">
        <v>11</v>
      </c>
      <c r="D67">
        <v>13</v>
      </c>
      <c r="E67">
        <v>13</v>
      </c>
      <c r="F67" t="s">
        <v>259</v>
      </c>
      <c r="G67">
        <v>17.074999999999999</v>
      </c>
      <c r="H67">
        <v>-3434.56</v>
      </c>
      <c r="I67">
        <v>413.39</v>
      </c>
      <c r="J67">
        <v>-13420.7</v>
      </c>
      <c r="K67">
        <v>3215.6</v>
      </c>
      <c r="L67">
        <v>-370.89</v>
      </c>
      <c r="M67">
        <v>-12948.53</v>
      </c>
    </row>
    <row r="68" spans="1:13">
      <c r="A68">
        <v>1</v>
      </c>
      <c r="B68" t="s">
        <v>260</v>
      </c>
      <c r="C68">
        <v>12</v>
      </c>
      <c r="D68">
        <v>13</v>
      </c>
      <c r="E68">
        <v>13</v>
      </c>
      <c r="F68" t="s">
        <v>258</v>
      </c>
      <c r="G68">
        <v>0</v>
      </c>
      <c r="H68">
        <v>-3951.11</v>
      </c>
      <c r="I68">
        <v>438.75</v>
      </c>
      <c r="J68">
        <v>-8674.5499999999993</v>
      </c>
      <c r="K68">
        <v>2699.04</v>
      </c>
      <c r="L68">
        <v>-345.54</v>
      </c>
      <c r="M68">
        <v>-8202.3700000000008</v>
      </c>
    </row>
    <row r="69" spans="1:13">
      <c r="A69">
        <v>1</v>
      </c>
      <c r="B69" t="s">
        <v>260</v>
      </c>
      <c r="C69">
        <v>12</v>
      </c>
      <c r="D69">
        <v>13</v>
      </c>
      <c r="E69">
        <v>13</v>
      </c>
      <c r="F69" t="s">
        <v>259</v>
      </c>
      <c r="G69">
        <v>1.5249999999999999</v>
      </c>
      <c r="H69">
        <v>-3704.79</v>
      </c>
      <c r="I69">
        <v>438.75</v>
      </c>
      <c r="J69">
        <v>-8674.5499999999993</v>
      </c>
      <c r="K69">
        <v>2572.8200000000002</v>
      </c>
      <c r="L69">
        <v>-345.54</v>
      </c>
      <c r="M69">
        <v>-8202.3700000000008</v>
      </c>
    </row>
    <row r="70" spans="1:13">
      <c r="A70">
        <v>1</v>
      </c>
      <c r="B70" t="s">
        <v>260</v>
      </c>
      <c r="C70">
        <v>13</v>
      </c>
      <c r="D70">
        <v>13</v>
      </c>
      <c r="E70">
        <v>13</v>
      </c>
      <c r="F70" t="s">
        <v>258</v>
      </c>
      <c r="G70">
        <v>0</v>
      </c>
      <c r="H70">
        <v>2979.17</v>
      </c>
      <c r="I70">
        <v>438.75</v>
      </c>
      <c r="J70">
        <v>-8674.5499999999993</v>
      </c>
      <c r="K70">
        <v>-3762.39</v>
      </c>
      <c r="L70">
        <v>-345.54</v>
      </c>
      <c r="M70">
        <v>-8202.3700000000008</v>
      </c>
    </row>
    <row r="71" spans="1:13">
      <c r="A71">
        <v>1</v>
      </c>
      <c r="B71" t="s">
        <v>260</v>
      </c>
      <c r="C71">
        <v>13</v>
      </c>
      <c r="D71">
        <v>13</v>
      </c>
      <c r="E71">
        <v>13</v>
      </c>
      <c r="F71" t="s">
        <v>259</v>
      </c>
      <c r="G71">
        <v>17.074999999999999</v>
      </c>
      <c r="H71">
        <v>-3320.36</v>
      </c>
      <c r="I71">
        <v>382.42</v>
      </c>
      <c r="J71">
        <v>-10286.049999999999</v>
      </c>
      <c r="K71">
        <v>4212.88</v>
      </c>
      <c r="L71">
        <v>-376.89</v>
      </c>
      <c r="M71">
        <v>-8375.43</v>
      </c>
    </row>
    <row r="72" spans="1:13">
      <c r="A72">
        <v>1</v>
      </c>
      <c r="B72" t="s">
        <v>261</v>
      </c>
      <c r="C72">
        <v>1</v>
      </c>
      <c r="D72">
        <v>0</v>
      </c>
      <c r="E72">
        <v>1</v>
      </c>
      <c r="F72" t="s">
        <v>258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</row>
    <row r="73" spans="1:13">
      <c r="A73">
        <v>1</v>
      </c>
      <c r="B73" t="s">
        <v>261</v>
      </c>
      <c r="C73">
        <v>1</v>
      </c>
      <c r="D73">
        <v>0</v>
      </c>
      <c r="E73">
        <v>1</v>
      </c>
      <c r="F73" t="s">
        <v>259</v>
      </c>
      <c r="G73">
        <v>0.95</v>
      </c>
      <c r="H73">
        <v>0</v>
      </c>
      <c r="I73">
        <v>0</v>
      </c>
      <c r="J73">
        <v>0</v>
      </c>
      <c r="K73">
        <v>-237.27</v>
      </c>
      <c r="L73">
        <v>-499.51</v>
      </c>
      <c r="M73">
        <v>0</v>
      </c>
    </row>
    <row r="74" spans="1:13">
      <c r="A74">
        <v>1</v>
      </c>
      <c r="B74" t="s">
        <v>261</v>
      </c>
      <c r="C74">
        <v>2</v>
      </c>
      <c r="D74">
        <v>13</v>
      </c>
      <c r="E74">
        <v>10</v>
      </c>
      <c r="F74" t="s">
        <v>258</v>
      </c>
      <c r="G74">
        <v>0</v>
      </c>
      <c r="H74">
        <v>-3408.01</v>
      </c>
      <c r="I74">
        <v>8641.41</v>
      </c>
      <c r="J74">
        <v>59.24</v>
      </c>
      <c r="K74">
        <v>418.82</v>
      </c>
      <c r="L74">
        <v>9470.59</v>
      </c>
      <c r="M74">
        <v>-100.64</v>
      </c>
    </row>
    <row r="75" spans="1:13">
      <c r="A75">
        <v>1</v>
      </c>
      <c r="B75" t="s">
        <v>261</v>
      </c>
      <c r="C75">
        <v>2</v>
      </c>
      <c r="D75">
        <v>13</v>
      </c>
      <c r="E75">
        <v>10</v>
      </c>
      <c r="F75">
        <v>1</v>
      </c>
      <c r="G75">
        <v>0.95</v>
      </c>
      <c r="H75">
        <v>1885.79</v>
      </c>
      <c r="I75">
        <v>5309.36</v>
      </c>
      <c r="J75">
        <v>59.24</v>
      </c>
      <c r="K75">
        <v>5480.6</v>
      </c>
      <c r="L75">
        <v>4973.12</v>
      </c>
      <c r="M75">
        <v>-100.64</v>
      </c>
    </row>
    <row r="76" spans="1:13">
      <c r="A76">
        <v>1</v>
      </c>
      <c r="B76" t="s">
        <v>261</v>
      </c>
      <c r="C76">
        <v>2</v>
      </c>
      <c r="D76">
        <v>13</v>
      </c>
      <c r="E76">
        <v>10</v>
      </c>
      <c r="F76">
        <v>2</v>
      </c>
      <c r="G76">
        <v>3.7509999999999999</v>
      </c>
      <c r="H76">
        <v>8119.47</v>
      </c>
      <c r="I76">
        <v>1635.23</v>
      </c>
      <c r="J76">
        <v>59.24</v>
      </c>
      <c r="K76">
        <v>10188.43</v>
      </c>
      <c r="L76">
        <v>1050.6099999999999</v>
      </c>
      <c r="M76">
        <v>-100.64</v>
      </c>
    </row>
    <row r="77" spans="1:13">
      <c r="A77">
        <v>1</v>
      </c>
      <c r="B77" t="s">
        <v>261</v>
      </c>
      <c r="C77">
        <v>2</v>
      </c>
      <c r="D77">
        <v>13</v>
      </c>
      <c r="E77">
        <v>10</v>
      </c>
      <c r="F77">
        <v>3</v>
      </c>
      <c r="G77">
        <v>6.5510000000000002</v>
      </c>
      <c r="H77">
        <v>6329.84</v>
      </c>
      <c r="I77">
        <v>-2656.03</v>
      </c>
      <c r="J77">
        <v>59.24</v>
      </c>
      <c r="K77">
        <v>5699.26</v>
      </c>
      <c r="L77">
        <v>-3884.28</v>
      </c>
      <c r="M77">
        <v>-100.64</v>
      </c>
    </row>
    <row r="78" spans="1:13">
      <c r="A78">
        <v>1</v>
      </c>
      <c r="B78" t="s">
        <v>261</v>
      </c>
      <c r="C78">
        <v>2</v>
      </c>
      <c r="D78">
        <v>13</v>
      </c>
      <c r="E78">
        <v>10</v>
      </c>
      <c r="F78" t="s">
        <v>259</v>
      </c>
      <c r="G78">
        <v>7.5</v>
      </c>
      <c r="H78">
        <v>3572.44</v>
      </c>
      <c r="I78">
        <v>-3155.02</v>
      </c>
      <c r="J78">
        <v>59.24</v>
      </c>
      <c r="K78">
        <v>1776.37</v>
      </c>
      <c r="L78">
        <v>-4383.26</v>
      </c>
      <c r="M78">
        <v>-100.64</v>
      </c>
    </row>
    <row r="79" spans="1:13">
      <c r="A79">
        <v>1</v>
      </c>
      <c r="B79" t="s">
        <v>261</v>
      </c>
      <c r="C79">
        <v>3</v>
      </c>
      <c r="D79">
        <v>13</v>
      </c>
      <c r="E79">
        <v>12</v>
      </c>
      <c r="F79" t="s">
        <v>258</v>
      </c>
      <c r="G79">
        <v>0</v>
      </c>
      <c r="H79">
        <v>-381.91</v>
      </c>
      <c r="I79">
        <v>8063.76</v>
      </c>
      <c r="J79">
        <v>26.49</v>
      </c>
      <c r="K79">
        <v>3559.43</v>
      </c>
      <c r="L79">
        <v>8453.75</v>
      </c>
      <c r="M79">
        <v>-81.510000000000005</v>
      </c>
    </row>
    <row r="80" spans="1:13">
      <c r="A80">
        <v>1</v>
      </c>
      <c r="B80" t="s">
        <v>261</v>
      </c>
      <c r="C80">
        <v>3</v>
      </c>
      <c r="D80">
        <v>13</v>
      </c>
      <c r="E80">
        <v>12</v>
      </c>
      <c r="F80">
        <v>1</v>
      </c>
      <c r="G80">
        <v>0.95</v>
      </c>
      <c r="H80">
        <v>3192.59</v>
      </c>
      <c r="I80">
        <v>3646.39</v>
      </c>
      <c r="J80">
        <v>26.49</v>
      </c>
      <c r="K80">
        <v>6760.25</v>
      </c>
      <c r="L80">
        <v>3231.88</v>
      </c>
      <c r="M80">
        <v>-81.510000000000005</v>
      </c>
    </row>
    <row r="81" spans="1:13">
      <c r="A81">
        <v>1</v>
      </c>
      <c r="B81" t="s">
        <v>261</v>
      </c>
      <c r="C81">
        <v>3</v>
      </c>
      <c r="D81">
        <v>13</v>
      </c>
      <c r="E81">
        <v>12</v>
      </c>
      <c r="F81">
        <v>2</v>
      </c>
      <c r="G81">
        <v>3.75</v>
      </c>
      <c r="H81">
        <v>7017.05</v>
      </c>
      <c r="I81">
        <v>531.54999999999995</v>
      </c>
      <c r="J81">
        <v>26.49</v>
      </c>
      <c r="K81">
        <v>8278.35</v>
      </c>
      <c r="L81">
        <v>-441.86</v>
      </c>
      <c r="M81">
        <v>-81.510000000000005</v>
      </c>
    </row>
    <row r="82" spans="1:13">
      <c r="A82">
        <v>1</v>
      </c>
      <c r="B82" t="s">
        <v>261</v>
      </c>
      <c r="C82">
        <v>3</v>
      </c>
      <c r="D82">
        <v>13</v>
      </c>
      <c r="E82">
        <v>12</v>
      </c>
      <c r="F82">
        <v>3</v>
      </c>
      <c r="G82">
        <v>6.55</v>
      </c>
      <c r="H82">
        <v>4639.17</v>
      </c>
      <c r="I82">
        <v>-2332.3200000000002</v>
      </c>
      <c r="J82">
        <v>26.49</v>
      </c>
      <c r="K82">
        <v>2052.96</v>
      </c>
      <c r="L82">
        <v>-4136.8</v>
      </c>
      <c r="M82">
        <v>-81.510000000000005</v>
      </c>
    </row>
    <row r="83" spans="1:13">
      <c r="A83">
        <v>1</v>
      </c>
      <c r="B83" t="s">
        <v>261</v>
      </c>
      <c r="C83">
        <v>3</v>
      </c>
      <c r="D83">
        <v>13</v>
      </c>
      <c r="E83">
        <v>12</v>
      </c>
      <c r="F83" t="s">
        <v>259</v>
      </c>
      <c r="G83">
        <v>7.5</v>
      </c>
      <c r="H83">
        <v>2313.04</v>
      </c>
      <c r="I83">
        <v>-6755.95</v>
      </c>
      <c r="J83">
        <v>26.49</v>
      </c>
      <c r="K83">
        <v>-2008.47</v>
      </c>
      <c r="L83">
        <v>-9402.2199999999993</v>
      </c>
      <c r="M83">
        <v>-81.510000000000005</v>
      </c>
    </row>
    <row r="84" spans="1:13">
      <c r="A84">
        <v>1</v>
      </c>
      <c r="B84" t="s">
        <v>261</v>
      </c>
      <c r="C84">
        <v>4</v>
      </c>
      <c r="D84">
        <v>13</v>
      </c>
      <c r="E84">
        <v>9</v>
      </c>
      <c r="F84" t="s">
        <v>258</v>
      </c>
      <c r="G84">
        <v>0</v>
      </c>
      <c r="H84">
        <v>977.5</v>
      </c>
      <c r="I84">
        <v>1312.81</v>
      </c>
      <c r="J84">
        <v>23.64</v>
      </c>
      <c r="K84">
        <v>-301.66000000000003</v>
      </c>
      <c r="L84">
        <v>2996.18</v>
      </c>
      <c r="M84">
        <v>-36.590000000000003</v>
      </c>
    </row>
    <row r="85" spans="1:13">
      <c r="A85">
        <v>1</v>
      </c>
      <c r="B85" t="s">
        <v>261</v>
      </c>
      <c r="C85">
        <v>4</v>
      </c>
      <c r="D85">
        <v>13</v>
      </c>
      <c r="E85">
        <v>9</v>
      </c>
      <c r="F85">
        <v>1</v>
      </c>
      <c r="G85">
        <v>0.95</v>
      </c>
      <c r="H85">
        <v>2224.6799999999998</v>
      </c>
      <c r="I85">
        <v>1312.81</v>
      </c>
      <c r="J85">
        <v>23.64</v>
      </c>
      <c r="K85">
        <v>2544.71</v>
      </c>
      <c r="L85">
        <v>2996.18</v>
      </c>
      <c r="M85">
        <v>-36.590000000000003</v>
      </c>
    </row>
    <row r="86" spans="1:13">
      <c r="A86">
        <v>1</v>
      </c>
      <c r="B86" t="s">
        <v>261</v>
      </c>
      <c r="C86">
        <v>4</v>
      </c>
      <c r="D86">
        <v>13</v>
      </c>
      <c r="E86">
        <v>9</v>
      </c>
      <c r="F86">
        <v>2</v>
      </c>
      <c r="G86">
        <v>3.7509999999999999</v>
      </c>
      <c r="H86">
        <v>4538.3599999999997</v>
      </c>
      <c r="I86">
        <v>-120.82</v>
      </c>
      <c r="J86">
        <v>23.64</v>
      </c>
      <c r="K86">
        <v>7992.3</v>
      </c>
      <c r="L86">
        <v>-100.26</v>
      </c>
      <c r="M86">
        <v>-36.590000000000003</v>
      </c>
    </row>
    <row r="87" spans="1:13">
      <c r="A87">
        <v>1</v>
      </c>
      <c r="B87" t="s">
        <v>261</v>
      </c>
      <c r="C87">
        <v>4</v>
      </c>
      <c r="D87">
        <v>13</v>
      </c>
      <c r="E87">
        <v>9</v>
      </c>
      <c r="F87">
        <v>3</v>
      </c>
      <c r="G87">
        <v>6.5510000000000002</v>
      </c>
      <c r="H87">
        <v>-738.4</v>
      </c>
      <c r="I87">
        <v>-2941.19</v>
      </c>
      <c r="J87">
        <v>23.64</v>
      </c>
      <c r="K87">
        <v>3301.4</v>
      </c>
      <c r="L87">
        <v>-2618.92</v>
      </c>
      <c r="M87">
        <v>-36.590000000000003</v>
      </c>
    </row>
    <row r="88" spans="1:13">
      <c r="A88">
        <v>1</v>
      </c>
      <c r="B88" t="s">
        <v>261</v>
      </c>
      <c r="C88">
        <v>4</v>
      </c>
      <c r="D88">
        <v>13</v>
      </c>
      <c r="E88">
        <v>9</v>
      </c>
      <c r="F88" t="s">
        <v>259</v>
      </c>
      <c r="G88">
        <v>7.5</v>
      </c>
      <c r="H88">
        <v>-3780.85</v>
      </c>
      <c r="I88">
        <v>-6312.68</v>
      </c>
      <c r="J88">
        <v>23.64</v>
      </c>
      <c r="K88">
        <v>495.56</v>
      </c>
      <c r="L88">
        <v>-6911.7</v>
      </c>
      <c r="M88">
        <v>-36.590000000000003</v>
      </c>
    </row>
    <row r="89" spans="1:13">
      <c r="A89">
        <v>1</v>
      </c>
      <c r="B89" t="s">
        <v>261</v>
      </c>
      <c r="C89">
        <v>5</v>
      </c>
      <c r="D89">
        <v>1</v>
      </c>
      <c r="E89">
        <v>9</v>
      </c>
      <c r="F89" t="s">
        <v>258</v>
      </c>
      <c r="G89">
        <v>0</v>
      </c>
      <c r="H89">
        <v>-237.27</v>
      </c>
      <c r="I89">
        <v>499.51</v>
      </c>
      <c r="J89">
        <v>0</v>
      </c>
      <c r="K89">
        <v>-237.27</v>
      </c>
      <c r="L89">
        <v>499.51</v>
      </c>
      <c r="M89">
        <v>0</v>
      </c>
    </row>
    <row r="90" spans="1:13">
      <c r="A90">
        <v>1</v>
      </c>
      <c r="B90" t="s">
        <v>261</v>
      </c>
      <c r="C90">
        <v>5</v>
      </c>
      <c r="D90">
        <v>1</v>
      </c>
      <c r="E90">
        <v>9</v>
      </c>
      <c r="F90" t="s">
        <v>259</v>
      </c>
      <c r="G90">
        <v>0.95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1:13">
      <c r="A91">
        <v>1</v>
      </c>
      <c r="B91" t="s">
        <v>261</v>
      </c>
      <c r="C91">
        <v>6</v>
      </c>
      <c r="D91">
        <v>0</v>
      </c>
      <c r="E91">
        <v>2</v>
      </c>
      <c r="F91" t="s">
        <v>258</v>
      </c>
      <c r="G91">
        <v>0</v>
      </c>
      <c r="H91">
        <v>0</v>
      </c>
      <c r="I91">
        <v>0</v>
      </c>
      <c r="J91">
        <v>0</v>
      </c>
      <c r="K91">
        <v>2951.73</v>
      </c>
      <c r="L91">
        <v>-279.55</v>
      </c>
      <c r="M91">
        <v>-11138.09</v>
      </c>
    </row>
    <row r="92" spans="1:13">
      <c r="A92">
        <v>1</v>
      </c>
      <c r="B92" t="s">
        <v>261</v>
      </c>
      <c r="C92">
        <v>6</v>
      </c>
      <c r="D92">
        <v>0</v>
      </c>
      <c r="E92">
        <v>2</v>
      </c>
      <c r="F92" t="s">
        <v>259</v>
      </c>
      <c r="G92">
        <v>1.5249999999999999</v>
      </c>
      <c r="H92">
        <v>0</v>
      </c>
      <c r="I92">
        <v>0</v>
      </c>
      <c r="J92">
        <v>0</v>
      </c>
      <c r="K92">
        <v>2525.41</v>
      </c>
      <c r="L92">
        <v>-279.55</v>
      </c>
      <c r="M92">
        <v>-11138.09</v>
      </c>
    </row>
    <row r="93" spans="1:13">
      <c r="A93">
        <v>1</v>
      </c>
      <c r="B93" t="s">
        <v>261</v>
      </c>
      <c r="C93">
        <v>7</v>
      </c>
      <c r="D93">
        <v>0</v>
      </c>
      <c r="E93">
        <v>2</v>
      </c>
      <c r="F93" t="s">
        <v>258</v>
      </c>
      <c r="G93">
        <v>0</v>
      </c>
      <c r="H93">
        <v>0</v>
      </c>
      <c r="I93">
        <v>0</v>
      </c>
      <c r="J93">
        <v>0</v>
      </c>
      <c r="K93">
        <v>2525.41</v>
      </c>
      <c r="L93">
        <v>-279.55</v>
      </c>
      <c r="M93">
        <v>-11138.09</v>
      </c>
    </row>
    <row r="94" spans="1:13">
      <c r="A94">
        <v>1</v>
      </c>
      <c r="B94" t="s">
        <v>261</v>
      </c>
      <c r="C94">
        <v>7</v>
      </c>
      <c r="D94">
        <v>0</v>
      </c>
      <c r="E94">
        <v>2</v>
      </c>
      <c r="F94" t="s">
        <v>259</v>
      </c>
      <c r="G94">
        <v>17.074999999999999</v>
      </c>
      <c r="H94">
        <v>0</v>
      </c>
      <c r="I94">
        <v>0</v>
      </c>
      <c r="J94">
        <v>0</v>
      </c>
      <c r="K94">
        <v>1783.28</v>
      </c>
      <c r="L94">
        <v>-279.55</v>
      </c>
      <c r="M94">
        <v>-14434.02</v>
      </c>
    </row>
    <row r="95" spans="1:13">
      <c r="A95">
        <v>1</v>
      </c>
      <c r="B95" t="s">
        <v>261</v>
      </c>
      <c r="C95">
        <v>8</v>
      </c>
      <c r="D95">
        <v>0</v>
      </c>
      <c r="E95">
        <v>2</v>
      </c>
      <c r="F95" t="s">
        <v>258</v>
      </c>
      <c r="G95">
        <v>0</v>
      </c>
      <c r="H95">
        <v>0</v>
      </c>
      <c r="I95">
        <v>0</v>
      </c>
      <c r="J95">
        <v>0</v>
      </c>
      <c r="K95">
        <v>-1896.96</v>
      </c>
      <c r="L95">
        <v>-252.98</v>
      </c>
      <c r="M95">
        <v>-12640.09</v>
      </c>
    </row>
    <row r="96" spans="1:13">
      <c r="A96">
        <v>1</v>
      </c>
      <c r="B96" t="s">
        <v>261</v>
      </c>
      <c r="C96">
        <v>8</v>
      </c>
      <c r="D96">
        <v>0</v>
      </c>
      <c r="E96">
        <v>10</v>
      </c>
      <c r="F96" t="s">
        <v>259</v>
      </c>
      <c r="G96">
        <v>1.5249999999999999</v>
      </c>
      <c r="H96">
        <v>0</v>
      </c>
      <c r="I96">
        <v>0</v>
      </c>
      <c r="J96">
        <v>0</v>
      </c>
      <c r="K96">
        <v>2145.9499999999998</v>
      </c>
      <c r="L96">
        <v>-216.4</v>
      </c>
      <c r="M96">
        <v>-13115.52</v>
      </c>
    </row>
    <row r="97" spans="1:13">
      <c r="A97">
        <v>1</v>
      </c>
      <c r="B97" t="s">
        <v>261</v>
      </c>
      <c r="C97">
        <v>9</v>
      </c>
      <c r="D97">
        <v>0</v>
      </c>
      <c r="E97">
        <v>10</v>
      </c>
      <c r="F97" t="s">
        <v>258</v>
      </c>
      <c r="G97">
        <v>0</v>
      </c>
      <c r="H97">
        <v>0</v>
      </c>
      <c r="I97">
        <v>0</v>
      </c>
      <c r="J97">
        <v>0</v>
      </c>
      <c r="K97">
        <v>1831.41</v>
      </c>
      <c r="L97">
        <v>-216.4</v>
      </c>
      <c r="M97">
        <v>-13115.52</v>
      </c>
    </row>
    <row r="98" spans="1:13">
      <c r="A98">
        <v>1</v>
      </c>
      <c r="B98" t="s">
        <v>261</v>
      </c>
      <c r="C98">
        <v>9</v>
      </c>
      <c r="D98">
        <v>0</v>
      </c>
      <c r="E98">
        <v>10</v>
      </c>
      <c r="F98" t="s">
        <v>259</v>
      </c>
      <c r="G98">
        <v>17.074999999999999</v>
      </c>
      <c r="H98">
        <v>0</v>
      </c>
      <c r="I98">
        <v>0</v>
      </c>
      <c r="J98">
        <v>0</v>
      </c>
      <c r="K98">
        <v>1658.26</v>
      </c>
      <c r="L98">
        <v>-216.4</v>
      </c>
      <c r="M98">
        <v>-16411.45</v>
      </c>
    </row>
    <row r="99" spans="1:13">
      <c r="A99">
        <v>1</v>
      </c>
      <c r="B99" t="s">
        <v>261</v>
      </c>
      <c r="C99">
        <v>10</v>
      </c>
      <c r="D99">
        <v>0</v>
      </c>
      <c r="E99">
        <v>10</v>
      </c>
      <c r="F99" t="s">
        <v>258</v>
      </c>
      <c r="G99">
        <v>0</v>
      </c>
      <c r="H99">
        <v>0</v>
      </c>
      <c r="I99">
        <v>0</v>
      </c>
      <c r="J99">
        <v>0</v>
      </c>
      <c r="K99">
        <v>1487.91</v>
      </c>
      <c r="L99">
        <v>-195.51</v>
      </c>
      <c r="M99">
        <v>-13000.78</v>
      </c>
    </row>
    <row r="100" spans="1:13">
      <c r="A100">
        <v>1</v>
      </c>
      <c r="B100" t="s">
        <v>261</v>
      </c>
      <c r="C100">
        <v>10</v>
      </c>
      <c r="D100">
        <v>0</v>
      </c>
      <c r="E100">
        <v>10</v>
      </c>
      <c r="F100" t="s">
        <v>259</v>
      </c>
      <c r="G100">
        <v>1.5249999999999999</v>
      </c>
      <c r="H100">
        <v>0</v>
      </c>
      <c r="I100">
        <v>0</v>
      </c>
      <c r="J100">
        <v>0</v>
      </c>
      <c r="K100">
        <v>-1919.59</v>
      </c>
      <c r="L100">
        <v>-195.51</v>
      </c>
      <c r="M100">
        <v>-13000.78</v>
      </c>
    </row>
    <row r="101" spans="1:13">
      <c r="A101">
        <v>1</v>
      </c>
      <c r="B101" t="s">
        <v>261</v>
      </c>
      <c r="C101">
        <v>11</v>
      </c>
      <c r="D101">
        <v>0</v>
      </c>
      <c r="E101">
        <v>11</v>
      </c>
      <c r="F101" t="s">
        <v>258</v>
      </c>
      <c r="G101">
        <v>0</v>
      </c>
      <c r="H101">
        <v>0</v>
      </c>
      <c r="I101">
        <v>0</v>
      </c>
      <c r="J101">
        <v>0</v>
      </c>
      <c r="K101">
        <v>-1986.24</v>
      </c>
      <c r="L101">
        <v>190.05</v>
      </c>
      <c r="M101">
        <v>-11808.09</v>
      </c>
    </row>
    <row r="102" spans="1:13">
      <c r="A102">
        <v>1</v>
      </c>
      <c r="B102" t="s">
        <v>261</v>
      </c>
      <c r="C102">
        <v>11</v>
      </c>
      <c r="D102">
        <v>0</v>
      </c>
      <c r="E102">
        <v>11</v>
      </c>
      <c r="F102" t="s">
        <v>259</v>
      </c>
      <c r="G102">
        <v>17.074999999999999</v>
      </c>
      <c r="H102">
        <v>0</v>
      </c>
      <c r="I102">
        <v>0</v>
      </c>
      <c r="J102">
        <v>0</v>
      </c>
      <c r="K102">
        <v>-1529.33</v>
      </c>
      <c r="L102">
        <v>190.05</v>
      </c>
      <c r="M102">
        <v>-15104.02</v>
      </c>
    </row>
    <row r="103" spans="1:13">
      <c r="A103">
        <v>1</v>
      </c>
      <c r="B103" t="s">
        <v>261</v>
      </c>
      <c r="C103">
        <v>12</v>
      </c>
      <c r="D103">
        <v>0</v>
      </c>
      <c r="E103">
        <v>11</v>
      </c>
      <c r="F103" t="s">
        <v>258</v>
      </c>
      <c r="G103">
        <v>0</v>
      </c>
      <c r="H103">
        <v>0</v>
      </c>
      <c r="I103">
        <v>0</v>
      </c>
      <c r="J103">
        <v>0</v>
      </c>
      <c r="K103">
        <v>-2045.88</v>
      </c>
      <c r="L103">
        <v>215.41</v>
      </c>
      <c r="M103">
        <v>-10357.86</v>
      </c>
    </row>
    <row r="104" spans="1:13">
      <c r="A104">
        <v>1</v>
      </c>
      <c r="B104" t="s">
        <v>261</v>
      </c>
      <c r="C104">
        <v>12</v>
      </c>
      <c r="D104">
        <v>0</v>
      </c>
      <c r="E104">
        <v>11</v>
      </c>
      <c r="F104" t="s">
        <v>259</v>
      </c>
      <c r="G104">
        <v>1.5249999999999999</v>
      </c>
      <c r="H104">
        <v>0</v>
      </c>
      <c r="I104">
        <v>0</v>
      </c>
      <c r="J104">
        <v>0</v>
      </c>
      <c r="K104">
        <v>-1905.65</v>
      </c>
      <c r="L104">
        <v>215.41</v>
      </c>
      <c r="M104">
        <v>-10357.86</v>
      </c>
    </row>
    <row r="105" spans="1:13">
      <c r="A105">
        <v>1</v>
      </c>
      <c r="B105" t="s">
        <v>261</v>
      </c>
      <c r="C105">
        <v>13</v>
      </c>
      <c r="D105">
        <v>0</v>
      </c>
      <c r="E105">
        <v>11</v>
      </c>
      <c r="F105" t="s">
        <v>258</v>
      </c>
      <c r="G105">
        <v>0</v>
      </c>
      <c r="H105">
        <v>0</v>
      </c>
      <c r="I105">
        <v>0</v>
      </c>
      <c r="J105">
        <v>0</v>
      </c>
      <c r="K105">
        <v>1070.81</v>
      </c>
      <c r="L105">
        <v>215.41</v>
      </c>
      <c r="M105">
        <v>-10357.86</v>
      </c>
    </row>
    <row r="106" spans="1:13">
      <c r="A106">
        <v>1</v>
      </c>
      <c r="B106" t="s">
        <v>261</v>
      </c>
      <c r="C106">
        <v>13</v>
      </c>
      <c r="D106">
        <v>0</v>
      </c>
      <c r="E106">
        <v>3</v>
      </c>
      <c r="F106" t="s">
        <v>259</v>
      </c>
      <c r="G106">
        <v>17.074999999999999</v>
      </c>
      <c r="H106">
        <v>0</v>
      </c>
      <c r="I106">
        <v>0</v>
      </c>
      <c r="J106">
        <v>0</v>
      </c>
      <c r="K106">
        <v>-1687.2</v>
      </c>
      <c r="L106">
        <v>217.66</v>
      </c>
      <c r="M106">
        <v>-11693.34</v>
      </c>
    </row>
    <row r="107" spans="1:13">
      <c r="A107">
        <v>2</v>
      </c>
      <c r="B107" t="s">
        <v>257</v>
      </c>
      <c r="C107">
        <v>1</v>
      </c>
      <c r="D107">
        <v>0</v>
      </c>
      <c r="E107">
        <v>1</v>
      </c>
      <c r="F107" t="s">
        <v>258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</row>
    <row r="108" spans="1:13">
      <c r="A108">
        <v>2</v>
      </c>
      <c r="B108" t="s">
        <v>257</v>
      </c>
      <c r="C108">
        <v>1</v>
      </c>
      <c r="D108">
        <v>0</v>
      </c>
      <c r="E108">
        <v>1</v>
      </c>
      <c r="F108" t="s">
        <v>259</v>
      </c>
      <c r="G108">
        <v>0.95</v>
      </c>
      <c r="H108">
        <v>0</v>
      </c>
      <c r="I108">
        <v>0</v>
      </c>
      <c r="J108">
        <v>0</v>
      </c>
      <c r="K108">
        <v>-215.7</v>
      </c>
      <c r="L108">
        <v>-454.1</v>
      </c>
      <c r="M108">
        <v>0</v>
      </c>
    </row>
    <row r="109" spans="1:13">
      <c r="A109">
        <v>2</v>
      </c>
      <c r="B109" t="s">
        <v>257</v>
      </c>
      <c r="C109">
        <v>2</v>
      </c>
      <c r="D109">
        <v>1</v>
      </c>
      <c r="E109">
        <v>1</v>
      </c>
      <c r="F109" t="s">
        <v>258</v>
      </c>
      <c r="G109">
        <v>0</v>
      </c>
      <c r="H109">
        <v>228.03</v>
      </c>
      <c r="I109">
        <v>6805.21</v>
      </c>
      <c r="J109">
        <v>61.6</v>
      </c>
      <c r="K109">
        <v>-1153.49</v>
      </c>
      <c r="L109">
        <v>6909.29</v>
      </c>
      <c r="M109">
        <v>-77.989999999999995</v>
      </c>
    </row>
    <row r="110" spans="1:13">
      <c r="A110">
        <v>2</v>
      </c>
      <c r="B110" t="s">
        <v>257</v>
      </c>
      <c r="C110">
        <v>2</v>
      </c>
      <c r="D110">
        <v>1</v>
      </c>
      <c r="E110">
        <v>0</v>
      </c>
      <c r="F110">
        <v>1</v>
      </c>
      <c r="G110">
        <v>0.95</v>
      </c>
      <c r="H110">
        <v>4068.94</v>
      </c>
      <c r="I110">
        <v>3806.31</v>
      </c>
      <c r="J110">
        <v>61.6</v>
      </c>
      <c r="K110">
        <v>0</v>
      </c>
      <c r="L110">
        <v>0</v>
      </c>
      <c r="M110">
        <v>0</v>
      </c>
    </row>
    <row r="111" spans="1:13">
      <c r="A111">
        <v>2</v>
      </c>
      <c r="B111" t="s">
        <v>257</v>
      </c>
      <c r="C111">
        <v>2</v>
      </c>
      <c r="D111">
        <v>1</v>
      </c>
      <c r="E111">
        <v>0</v>
      </c>
      <c r="F111">
        <v>2</v>
      </c>
      <c r="G111">
        <v>3.7509999999999999</v>
      </c>
      <c r="H111">
        <v>8006.59</v>
      </c>
      <c r="I111">
        <v>946.3</v>
      </c>
      <c r="J111">
        <v>61.6</v>
      </c>
      <c r="K111">
        <v>0</v>
      </c>
      <c r="L111">
        <v>0</v>
      </c>
      <c r="M111">
        <v>0</v>
      </c>
    </row>
    <row r="112" spans="1:13">
      <c r="A112">
        <v>2</v>
      </c>
      <c r="B112" t="s">
        <v>257</v>
      </c>
      <c r="C112">
        <v>2</v>
      </c>
      <c r="D112">
        <v>1</v>
      </c>
      <c r="E112">
        <v>0</v>
      </c>
      <c r="F112">
        <v>3</v>
      </c>
      <c r="G112">
        <v>6.5510000000000002</v>
      </c>
      <c r="H112">
        <v>5282.92</v>
      </c>
      <c r="I112">
        <v>-2702.87</v>
      </c>
      <c r="J112">
        <v>61.6</v>
      </c>
      <c r="K112">
        <v>0</v>
      </c>
      <c r="L112">
        <v>0</v>
      </c>
      <c r="M112">
        <v>0</v>
      </c>
    </row>
    <row r="113" spans="1:13">
      <c r="A113">
        <v>2</v>
      </c>
      <c r="B113" t="s">
        <v>257</v>
      </c>
      <c r="C113">
        <v>2</v>
      </c>
      <c r="D113">
        <v>1</v>
      </c>
      <c r="E113">
        <v>0</v>
      </c>
      <c r="F113" t="s">
        <v>259</v>
      </c>
      <c r="G113">
        <v>7.5</v>
      </c>
      <c r="H113">
        <v>2502.6</v>
      </c>
      <c r="I113">
        <v>-3156.5</v>
      </c>
      <c r="J113">
        <v>61.6</v>
      </c>
      <c r="K113">
        <v>0</v>
      </c>
      <c r="L113">
        <v>0</v>
      </c>
      <c r="M113">
        <v>0</v>
      </c>
    </row>
    <row r="114" spans="1:13">
      <c r="A114">
        <v>2</v>
      </c>
      <c r="B114" t="s">
        <v>257</v>
      </c>
      <c r="C114">
        <v>3</v>
      </c>
      <c r="D114">
        <v>1</v>
      </c>
      <c r="E114">
        <v>0</v>
      </c>
      <c r="F114" t="s">
        <v>258</v>
      </c>
      <c r="G114">
        <v>0</v>
      </c>
      <c r="H114">
        <v>2195.98</v>
      </c>
      <c r="I114">
        <v>6752.12</v>
      </c>
      <c r="J114">
        <v>33.89</v>
      </c>
      <c r="K114">
        <v>0</v>
      </c>
      <c r="L114">
        <v>0</v>
      </c>
      <c r="M114">
        <v>0</v>
      </c>
    </row>
    <row r="115" spans="1:13">
      <c r="A115">
        <v>2</v>
      </c>
      <c r="B115" t="s">
        <v>257</v>
      </c>
      <c r="C115">
        <v>3</v>
      </c>
      <c r="D115">
        <v>1</v>
      </c>
      <c r="E115">
        <v>0</v>
      </c>
      <c r="F115">
        <v>1</v>
      </c>
      <c r="G115">
        <v>0.95</v>
      </c>
      <c r="H115">
        <v>4929.55</v>
      </c>
      <c r="I115">
        <v>2772.72</v>
      </c>
      <c r="J115">
        <v>33.89</v>
      </c>
      <c r="K115">
        <v>0</v>
      </c>
      <c r="L115">
        <v>0</v>
      </c>
      <c r="M115">
        <v>0</v>
      </c>
    </row>
    <row r="116" spans="1:13">
      <c r="A116">
        <v>2</v>
      </c>
      <c r="B116" t="s">
        <v>257</v>
      </c>
      <c r="C116">
        <v>3</v>
      </c>
      <c r="D116">
        <v>1</v>
      </c>
      <c r="E116">
        <v>0</v>
      </c>
      <c r="F116">
        <v>2</v>
      </c>
      <c r="G116">
        <v>3.75</v>
      </c>
      <c r="H116">
        <v>6830.16</v>
      </c>
      <c r="I116">
        <v>-87.28</v>
      </c>
      <c r="J116">
        <v>33.89</v>
      </c>
      <c r="K116">
        <v>0</v>
      </c>
      <c r="L116">
        <v>0</v>
      </c>
      <c r="M116">
        <v>0</v>
      </c>
    </row>
    <row r="117" spans="1:13">
      <c r="A117">
        <v>2</v>
      </c>
      <c r="B117" t="s">
        <v>257</v>
      </c>
      <c r="C117">
        <v>3</v>
      </c>
      <c r="D117">
        <v>1</v>
      </c>
      <c r="E117">
        <v>0</v>
      </c>
      <c r="F117">
        <v>3</v>
      </c>
      <c r="G117">
        <v>6.55</v>
      </c>
      <c r="H117">
        <v>2724.78</v>
      </c>
      <c r="I117">
        <v>-2947.28</v>
      </c>
      <c r="J117">
        <v>33.89</v>
      </c>
      <c r="K117">
        <v>0</v>
      </c>
      <c r="L117">
        <v>0</v>
      </c>
      <c r="M117">
        <v>0</v>
      </c>
    </row>
    <row r="118" spans="1:13">
      <c r="A118">
        <v>2</v>
      </c>
      <c r="B118" t="s">
        <v>257</v>
      </c>
      <c r="C118">
        <v>3</v>
      </c>
      <c r="D118">
        <v>0</v>
      </c>
      <c r="E118">
        <v>1</v>
      </c>
      <c r="F118" t="s">
        <v>259</v>
      </c>
      <c r="G118">
        <v>7.5</v>
      </c>
      <c r="H118">
        <v>0</v>
      </c>
      <c r="I118">
        <v>0</v>
      </c>
      <c r="J118">
        <v>0</v>
      </c>
      <c r="K118">
        <v>-453.97</v>
      </c>
      <c r="L118">
        <v>-6960.17</v>
      </c>
      <c r="M118">
        <v>-57.73</v>
      </c>
    </row>
    <row r="119" spans="1:13">
      <c r="A119">
        <v>2</v>
      </c>
      <c r="B119" t="s">
        <v>257</v>
      </c>
      <c r="C119">
        <v>4</v>
      </c>
      <c r="D119">
        <v>1</v>
      </c>
      <c r="E119">
        <v>1</v>
      </c>
      <c r="F119" t="s">
        <v>258</v>
      </c>
      <c r="G119">
        <v>0</v>
      </c>
      <c r="H119">
        <v>38.67</v>
      </c>
      <c r="I119">
        <v>1863.25</v>
      </c>
      <c r="J119">
        <v>-18.079999999999998</v>
      </c>
      <c r="K119">
        <v>-141.47</v>
      </c>
      <c r="L119">
        <v>1947.06</v>
      </c>
      <c r="M119">
        <v>27.34</v>
      </c>
    </row>
    <row r="120" spans="1:13">
      <c r="A120">
        <v>2</v>
      </c>
      <c r="B120" t="s">
        <v>257</v>
      </c>
      <c r="C120">
        <v>4</v>
      </c>
      <c r="D120">
        <v>1</v>
      </c>
      <c r="E120">
        <v>0</v>
      </c>
      <c r="F120">
        <v>1</v>
      </c>
      <c r="G120">
        <v>0.95</v>
      </c>
      <c r="H120">
        <v>1808.76</v>
      </c>
      <c r="I120">
        <v>1863.25</v>
      </c>
      <c r="J120">
        <v>-18.079999999999998</v>
      </c>
      <c r="K120">
        <v>0</v>
      </c>
      <c r="L120">
        <v>0</v>
      </c>
      <c r="M120">
        <v>0</v>
      </c>
    </row>
    <row r="121" spans="1:13">
      <c r="A121">
        <v>2</v>
      </c>
      <c r="B121" t="s">
        <v>257</v>
      </c>
      <c r="C121">
        <v>4</v>
      </c>
      <c r="D121">
        <v>1</v>
      </c>
      <c r="E121">
        <v>0</v>
      </c>
      <c r="F121">
        <v>2</v>
      </c>
      <c r="G121">
        <v>3.7509999999999999</v>
      </c>
      <c r="H121">
        <v>5316.91</v>
      </c>
      <c r="I121">
        <v>7.06</v>
      </c>
      <c r="J121">
        <v>27.34</v>
      </c>
      <c r="K121">
        <v>0</v>
      </c>
      <c r="L121">
        <v>0</v>
      </c>
      <c r="M121">
        <v>0</v>
      </c>
    </row>
    <row r="122" spans="1:13">
      <c r="A122">
        <v>2</v>
      </c>
      <c r="B122" t="s">
        <v>257</v>
      </c>
      <c r="C122">
        <v>4</v>
      </c>
      <c r="D122">
        <v>1</v>
      </c>
      <c r="E122">
        <v>0</v>
      </c>
      <c r="F122">
        <v>3</v>
      </c>
      <c r="G122">
        <v>6.5510000000000002</v>
      </c>
      <c r="H122">
        <v>1939.75</v>
      </c>
      <c r="I122">
        <v>-1932.94</v>
      </c>
      <c r="J122">
        <v>27.34</v>
      </c>
      <c r="K122">
        <v>0</v>
      </c>
      <c r="L122">
        <v>0</v>
      </c>
      <c r="M122">
        <v>0</v>
      </c>
    </row>
    <row r="123" spans="1:13">
      <c r="A123">
        <v>2</v>
      </c>
      <c r="B123" t="s">
        <v>257</v>
      </c>
      <c r="C123">
        <v>4</v>
      </c>
      <c r="D123">
        <v>0</v>
      </c>
      <c r="E123">
        <v>1</v>
      </c>
      <c r="F123" t="s">
        <v>259</v>
      </c>
      <c r="G123">
        <v>7.5</v>
      </c>
      <c r="H123">
        <v>0</v>
      </c>
      <c r="I123">
        <v>0</v>
      </c>
      <c r="J123">
        <v>0</v>
      </c>
      <c r="K123">
        <v>-569.04</v>
      </c>
      <c r="L123">
        <v>-5049.5</v>
      </c>
      <c r="M123">
        <v>-18.079999999999998</v>
      </c>
    </row>
    <row r="124" spans="1:13">
      <c r="A124">
        <v>2</v>
      </c>
      <c r="B124" t="s">
        <v>257</v>
      </c>
      <c r="C124">
        <v>5</v>
      </c>
      <c r="D124">
        <v>0</v>
      </c>
      <c r="E124">
        <v>1</v>
      </c>
      <c r="F124" t="s">
        <v>258</v>
      </c>
      <c r="G124">
        <v>0</v>
      </c>
      <c r="H124">
        <v>0</v>
      </c>
      <c r="I124">
        <v>0</v>
      </c>
      <c r="J124">
        <v>0</v>
      </c>
      <c r="K124">
        <v>-215.7</v>
      </c>
      <c r="L124">
        <v>454.1</v>
      </c>
      <c r="M124">
        <v>0</v>
      </c>
    </row>
    <row r="125" spans="1:13">
      <c r="A125">
        <v>2</v>
      </c>
      <c r="B125" t="s">
        <v>257</v>
      </c>
      <c r="C125">
        <v>5</v>
      </c>
      <c r="D125">
        <v>1</v>
      </c>
      <c r="E125">
        <v>0</v>
      </c>
      <c r="F125" t="s">
        <v>259</v>
      </c>
      <c r="G125">
        <v>0.95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1:13">
      <c r="A126">
        <v>2</v>
      </c>
      <c r="B126" t="s">
        <v>257</v>
      </c>
      <c r="C126">
        <v>6</v>
      </c>
      <c r="D126">
        <v>1</v>
      </c>
      <c r="E126">
        <v>1</v>
      </c>
      <c r="F126" t="s">
        <v>258</v>
      </c>
      <c r="G126">
        <v>0</v>
      </c>
      <c r="H126">
        <v>937.79</v>
      </c>
      <c r="I126">
        <v>-77.989999999999995</v>
      </c>
      <c r="J126">
        <v>-7363.39</v>
      </c>
      <c r="K126">
        <v>-443.73</v>
      </c>
      <c r="L126">
        <v>61.6</v>
      </c>
      <c r="M126">
        <v>-7259.31</v>
      </c>
    </row>
    <row r="127" spans="1:13">
      <c r="A127">
        <v>2</v>
      </c>
      <c r="B127" t="s">
        <v>257</v>
      </c>
      <c r="C127">
        <v>6</v>
      </c>
      <c r="D127">
        <v>1</v>
      </c>
      <c r="E127">
        <v>1</v>
      </c>
      <c r="F127" t="s">
        <v>259</v>
      </c>
      <c r="G127">
        <v>1.5249999999999999</v>
      </c>
      <c r="H127">
        <v>818.86</v>
      </c>
      <c r="I127">
        <v>-77.989999999999995</v>
      </c>
      <c r="J127">
        <v>-7363.39</v>
      </c>
      <c r="K127">
        <v>-349.78</v>
      </c>
      <c r="L127">
        <v>61.6</v>
      </c>
      <c r="M127">
        <v>-7259.31</v>
      </c>
    </row>
    <row r="128" spans="1:13">
      <c r="A128">
        <v>2</v>
      </c>
      <c r="B128" t="s">
        <v>257</v>
      </c>
      <c r="C128">
        <v>7</v>
      </c>
      <c r="D128">
        <v>1</v>
      </c>
      <c r="E128">
        <v>1</v>
      </c>
      <c r="F128" t="s">
        <v>258</v>
      </c>
      <c r="G128">
        <v>0</v>
      </c>
      <c r="H128">
        <v>818.86</v>
      </c>
      <c r="I128">
        <v>-77.989999999999995</v>
      </c>
      <c r="J128">
        <v>-7363.39</v>
      </c>
      <c r="K128">
        <v>-349.78</v>
      </c>
      <c r="L128">
        <v>61.6</v>
      </c>
      <c r="M128">
        <v>-7259.31</v>
      </c>
    </row>
    <row r="129" spans="1:13">
      <c r="A129">
        <v>2</v>
      </c>
      <c r="B129" t="s">
        <v>257</v>
      </c>
      <c r="C129">
        <v>7</v>
      </c>
      <c r="D129">
        <v>1</v>
      </c>
      <c r="E129">
        <v>1</v>
      </c>
      <c r="F129" t="s">
        <v>259</v>
      </c>
      <c r="G129">
        <v>17.074999999999999</v>
      </c>
      <c r="H129">
        <v>227.86</v>
      </c>
      <c r="I129">
        <v>-77.989999999999995</v>
      </c>
      <c r="J129">
        <v>-10359.69</v>
      </c>
      <c r="K129">
        <v>-874.47</v>
      </c>
      <c r="L129">
        <v>61.6</v>
      </c>
      <c r="M129">
        <v>-10255.61</v>
      </c>
    </row>
    <row r="130" spans="1:13">
      <c r="A130">
        <v>2</v>
      </c>
      <c r="B130" t="s">
        <v>257</v>
      </c>
      <c r="C130">
        <v>8</v>
      </c>
      <c r="D130">
        <v>1</v>
      </c>
      <c r="E130">
        <v>1</v>
      </c>
      <c r="F130" t="s">
        <v>258</v>
      </c>
      <c r="G130">
        <v>0</v>
      </c>
      <c r="H130">
        <v>1021.16</v>
      </c>
      <c r="I130">
        <v>85.76</v>
      </c>
      <c r="J130">
        <v>-8624.76</v>
      </c>
      <c r="K130">
        <v>-193.76</v>
      </c>
      <c r="L130">
        <v>-53.84</v>
      </c>
      <c r="M130">
        <v>-8728.85</v>
      </c>
    </row>
    <row r="131" spans="1:13">
      <c r="A131">
        <v>2</v>
      </c>
      <c r="B131" t="s">
        <v>257</v>
      </c>
      <c r="C131">
        <v>8</v>
      </c>
      <c r="D131">
        <v>1</v>
      </c>
      <c r="E131">
        <v>1</v>
      </c>
      <c r="F131" t="s">
        <v>259</v>
      </c>
      <c r="G131">
        <v>1.5249999999999999</v>
      </c>
      <c r="H131">
        <v>292.56</v>
      </c>
      <c r="I131">
        <v>-27.72</v>
      </c>
      <c r="J131">
        <v>-9908.6200000000008</v>
      </c>
      <c r="K131">
        <v>-189.32</v>
      </c>
      <c r="L131">
        <v>20.260000000000002</v>
      </c>
      <c r="M131">
        <v>-9777.39</v>
      </c>
    </row>
    <row r="132" spans="1:13">
      <c r="A132">
        <v>2</v>
      </c>
      <c r="B132" t="s">
        <v>257</v>
      </c>
      <c r="C132">
        <v>9</v>
      </c>
      <c r="D132">
        <v>1</v>
      </c>
      <c r="E132">
        <v>1</v>
      </c>
      <c r="F132" t="s">
        <v>258</v>
      </c>
      <c r="G132">
        <v>0</v>
      </c>
      <c r="H132">
        <v>264.35000000000002</v>
      </c>
      <c r="I132">
        <v>-27.72</v>
      </c>
      <c r="J132">
        <v>-9908.6200000000008</v>
      </c>
      <c r="K132">
        <v>-144.37</v>
      </c>
      <c r="L132">
        <v>20.260000000000002</v>
      </c>
      <c r="M132">
        <v>-9777.39</v>
      </c>
    </row>
    <row r="133" spans="1:13">
      <c r="A133">
        <v>2</v>
      </c>
      <c r="B133" t="s">
        <v>257</v>
      </c>
      <c r="C133">
        <v>9</v>
      </c>
      <c r="D133">
        <v>1</v>
      </c>
      <c r="E133">
        <v>1</v>
      </c>
      <c r="F133" t="s">
        <v>259</v>
      </c>
      <c r="G133">
        <v>17.074999999999999</v>
      </c>
      <c r="H133">
        <v>106.94</v>
      </c>
      <c r="I133">
        <v>-27.72</v>
      </c>
      <c r="J133">
        <v>-12904.92</v>
      </c>
      <c r="K133">
        <v>-301.77</v>
      </c>
      <c r="L133">
        <v>20.260000000000002</v>
      </c>
      <c r="M133">
        <v>-12773.69</v>
      </c>
    </row>
    <row r="134" spans="1:13">
      <c r="A134">
        <v>2</v>
      </c>
      <c r="B134" t="s">
        <v>257</v>
      </c>
      <c r="C134">
        <v>10</v>
      </c>
      <c r="D134">
        <v>1</v>
      </c>
      <c r="E134">
        <v>1</v>
      </c>
      <c r="F134" t="s">
        <v>258</v>
      </c>
      <c r="G134">
        <v>0</v>
      </c>
      <c r="H134">
        <v>32.36</v>
      </c>
      <c r="I134">
        <v>-8.73</v>
      </c>
      <c r="J134">
        <v>-9804.2999999999993</v>
      </c>
      <c r="K134">
        <v>-353.57</v>
      </c>
      <c r="L134">
        <v>39.25</v>
      </c>
      <c r="M134">
        <v>-9673.07</v>
      </c>
    </row>
    <row r="135" spans="1:13">
      <c r="A135">
        <v>2</v>
      </c>
      <c r="B135" t="s">
        <v>257</v>
      </c>
      <c r="C135">
        <v>10</v>
      </c>
      <c r="D135">
        <v>1</v>
      </c>
      <c r="E135">
        <v>1</v>
      </c>
      <c r="F135" t="s">
        <v>259</v>
      </c>
      <c r="G135">
        <v>1.5249999999999999</v>
      </c>
      <c r="H135">
        <v>150.69999999999999</v>
      </c>
      <c r="I135">
        <v>39.25</v>
      </c>
      <c r="J135">
        <v>-9673.07</v>
      </c>
      <c r="K135">
        <v>-259.81</v>
      </c>
      <c r="L135">
        <v>-8.73</v>
      </c>
      <c r="M135">
        <v>-9804.2999999999993</v>
      </c>
    </row>
    <row r="136" spans="1:13">
      <c r="A136">
        <v>2</v>
      </c>
      <c r="B136" t="s">
        <v>257</v>
      </c>
      <c r="C136">
        <v>11</v>
      </c>
      <c r="D136">
        <v>0</v>
      </c>
      <c r="E136">
        <v>1</v>
      </c>
      <c r="F136" t="s">
        <v>258</v>
      </c>
      <c r="G136">
        <v>0</v>
      </c>
      <c r="H136">
        <v>0</v>
      </c>
      <c r="I136">
        <v>0</v>
      </c>
      <c r="J136">
        <v>0</v>
      </c>
      <c r="K136">
        <v>-477.75</v>
      </c>
      <c r="L136">
        <v>39.65</v>
      </c>
      <c r="M136">
        <v>-8823.43</v>
      </c>
    </row>
    <row r="137" spans="1:13">
      <c r="A137">
        <v>2</v>
      </c>
      <c r="B137" t="s">
        <v>257</v>
      </c>
      <c r="C137">
        <v>11</v>
      </c>
      <c r="D137">
        <v>1</v>
      </c>
      <c r="E137">
        <v>1</v>
      </c>
      <c r="F137" t="s">
        <v>259</v>
      </c>
      <c r="G137">
        <v>17.074999999999999</v>
      </c>
      <c r="H137">
        <v>123.51</v>
      </c>
      <c r="I137">
        <v>-6.55</v>
      </c>
      <c r="J137">
        <v>-11882</v>
      </c>
      <c r="K137">
        <v>-265.38</v>
      </c>
      <c r="L137">
        <v>39.65</v>
      </c>
      <c r="M137">
        <v>-11819.73</v>
      </c>
    </row>
    <row r="138" spans="1:13">
      <c r="A138">
        <v>2</v>
      </c>
      <c r="B138" t="s">
        <v>257</v>
      </c>
      <c r="C138">
        <v>12</v>
      </c>
      <c r="D138">
        <v>0</v>
      </c>
      <c r="E138">
        <v>1</v>
      </c>
      <c r="F138" t="s">
        <v>258</v>
      </c>
      <c r="G138">
        <v>0</v>
      </c>
      <c r="H138">
        <v>0</v>
      </c>
      <c r="I138">
        <v>0</v>
      </c>
      <c r="J138">
        <v>0</v>
      </c>
      <c r="K138">
        <v>-734.98</v>
      </c>
      <c r="L138">
        <v>62.7</v>
      </c>
      <c r="M138">
        <v>-7505.04</v>
      </c>
    </row>
    <row r="139" spans="1:13">
      <c r="A139">
        <v>2</v>
      </c>
      <c r="B139" t="s">
        <v>257</v>
      </c>
      <c r="C139">
        <v>12</v>
      </c>
      <c r="D139">
        <v>0</v>
      </c>
      <c r="E139">
        <v>1</v>
      </c>
      <c r="F139" t="s">
        <v>259</v>
      </c>
      <c r="G139">
        <v>1.5249999999999999</v>
      </c>
      <c r="H139">
        <v>0</v>
      </c>
      <c r="I139">
        <v>0</v>
      </c>
      <c r="J139">
        <v>0</v>
      </c>
      <c r="K139">
        <v>-670.73</v>
      </c>
      <c r="L139">
        <v>62.7</v>
      </c>
      <c r="M139">
        <v>-7505.04</v>
      </c>
    </row>
    <row r="140" spans="1:13">
      <c r="A140">
        <v>2</v>
      </c>
      <c r="B140" t="s">
        <v>257</v>
      </c>
      <c r="C140">
        <v>13</v>
      </c>
      <c r="D140">
        <v>0</v>
      </c>
      <c r="E140">
        <v>1</v>
      </c>
      <c r="F140" t="s">
        <v>258</v>
      </c>
      <c r="G140">
        <v>0</v>
      </c>
      <c r="H140">
        <v>0</v>
      </c>
      <c r="I140">
        <v>0</v>
      </c>
      <c r="J140">
        <v>0</v>
      </c>
      <c r="K140">
        <v>-574.64</v>
      </c>
      <c r="L140">
        <v>16.5</v>
      </c>
      <c r="M140">
        <v>-7567.31</v>
      </c>
    </row>
    <row r="141" spans="1:13">
      <c r="A141">
        <v>2</v>
      </c>
      <c r="B141" t="s">
        <v>257</v>
      </c>
      <c r="C141">
        <v>13</v>
      </c>
      <c r="D141">
        <v>1</v>
      </c>
      <c r="E141">
        <v>0</v>
      </c>
      <c r="F141" t="s">
        <v>259</v>
      </c>
      <c r="G141">
        <v>17.074999999999999</v>
      </c>
      <c r="H141">
        <v>705.42</v>
      </c>
      <c r="I141">
        <v>-27.34</v>
      </c>
      <c r="J141">
        <v>-8418.09</v>
      </c>
      <c r="K141">
        <v>0</v>
      </c>
      <c r="L141">
        <v>0</v>
      </c>
      <c r="M141">
        <v>0</v>
      </c>
    </row>
    <row r="142" spans="1:13">
      <c r="A142">
        <v>2</v>
      </c>
      <c r="B142" t="s">
        <v>260</v>
      </c>
      <c r="C142">
        <v>1</v>
      </c>
      <c r="D142">
        <v>0</v>
      </c>
      <c r="E142">
        <v>1</v>
      </c>
      <c r="F142" t="s">
        <v>258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1:13">
      <c r="A143">
        <v>2</v>
      </c>
      <c r="B143" t="s">
        <v>260</v>
      </c>
      <c r="C143">
        <v>1</v>
      </c>
      <c r="D143">
        <v>0</v>
      </c>
      <c r="E143">
        <v>1</v>
      </c>
      <c r="F143" t="s">
        <v>259</v>
      </c>
      <c r="G143">
        <v>0.95</v>
      </c>
      <c r="H143">
        <v>0</v>
      </c>
      <c r="I143">
        <v>0</v>
      </c>
      <c r="J143">
        <v>0</v>
      </c>
      <c r="K143">
        <v>-215.7</v>
      </c>
      <c r="L143">
        <v>-454.1</v>
      </c>
      <c r="M143">
        <v>0</v>
      </c>
    </row>
    <row r="144" spans="1:13">
      <c r="A144">
        <v>2</v>
      </c>
      <c r="B144" t="s">
        <v>260</v>
      </c>
      <c r="C144">
        <v>2</v>
      </c>
      <c r="D144">
        <v>1</v>
      </c>
      <c r="E144">
        <v>0</v>
      </c>
      <c r="F144" t="s">
        <v>258</v>
      </c>
      <c r="G144">
        <v>0</v>
      </c>
      <c r="H144">
        <v>-1153.49</v>
      </c>
      <c r="I144">
        <v>6909.29</v>
      </c>
      <c r="J144">
        <v>-77.989999999999995</v>
      </c>
      <c r="K144">
        <v>0</v>
      </c>
      <c r="L144">
        <v>0</v>
      </c>
      <c r="M144">
        <v>0</v>
      </c>
    </row>
    <row r="145" spans="1:13">
      <c r="A145">
        <v>2</v>
      </c>
      <c r="B145" t="s">
        <v>260</v>
      </c>
      <c r="C145">
        <v>2</v>
      </c>
      <c r="D145">
        <v>1</v>
      </c>
      <c r="E145">
        <v>0</v>
      </c>
      <c r="F145">
        <v>1</v>
      </c>
      <c r="G145">
        <v>0.95</v>
      </c>
      <c r="H145">
        <v>2788.05</v>
      </c>
      <c r="I145">
        <v>3912.39</v>
      </c>
      <c r="J145">
        <v>-77.989999999999995</v>
      </c>
      <c r="K145">
        <v>0</v>
      </c>
      <c r="L145">
        <v>0</v>
      </c>
      <c r="M145">
        <v>0</v>
      </c>
    </row>
    <row r="146" spans="1:13">
      <c r="A146">
        <v>2</v>
      </c>
      <c r="B146" t="s">
        <v>260</v>
      </c>
      <c r="C146">
        <v>2</v>
      </c>
      <c r="D146">
        <v>1</v>
      </c>
      <c r="E146">
        <v>0</v>
      </c>
      <c r="F146">
        <v>2</v>
      </c>
      <c r="G146">
        <v>3.7509999999999999</v>
      </c>
      <c r="H146">
        <v>7022.75</v>
      </c>
      <c r="I146">
        <v>1052.3900000000001</v>
      </c>
      <c r="J146">
        <v>-77.989999999999995</v>
      </c>
      <c r="K146">
        <v>0</v>
      </c>
      <c r="L146">
        <v>0</v>
      </c>
      <c r="M146">
        <v>0</v>
      </c>
    </row>
    <row r="147" spans="1:13">
      <c r="A147">
        <v>2</v>
      </c>
      <c r="B147" t="s">
        <v>260</v>
      </c>
      <c r="C147">
        <v>2</v>
      </c>
      <c r="D147">
        <v>0</v>
      </c>
      <c r="E147">
        <v>1</v>
      </c>
      <c r="F147">
        <v>3</v>
      </c>
      <c r="G147">
        <v>6.5510000000000002</v>
      </c>
      <c r="H147">
        <v>0</v>
      </c>
      <c r="I147">
        <v>0</v>
      </c>
      <c r="J147">
        <v>0</v>
      </c>
      <c r="K147">
        <v>5282.92</v>
      </c>
      <c r="L147">
        <v>-2702.87</v>
      </c>
      <c r="M147">
        <v>61.6</v>
      </c>
    </row>
    <row r="148" spans="1:13">
      <c r="A148">
        <v>2</v>
      </c>
      <c r="B148" t="s">
        <v>260</v>
      </c>
      <c r="C148">
        <v>2</v>
      </c>
      <c r="D148">
        <v>0</v>
      </c>
      <c r="E148">
        <v>1</v>
      </c>
      <c r="F148" t="s">
        <v>259</v>
      </c>
      <c r="G148">
        <v>7.5</v>
      </c>
      <c r="H148">
        <v>0</v>
      </c>
      <c r="I148">
        <v>0</v>
      </c>
      <c r="J148">
        <v>0</v>
      </c>
      <c r="K148">
        <v>2502.6</v>
      </c>
      <c r="L148">
        <v>-3156.5</v>
      </c>
      <c r="M148">
        <v>61.6</v>
      </c>
    </row>
    <row r="149" spans="1:13">
      <c r="A149">
        <v>2</v>
      </c>
      <c r="B149" t="s">
        <v>260</v>
      </c>
      <c r="C149">
        <v>3</v>
      </c>
      <c r="D149">
        <v>1</v>
      </c>
      <c r="E149">
        <v>0</v>
      </c>
      <c r="F149" t="s">
        <v>258</v>
      </c>
      <c r="G149">
        <v>0</v>
      </c>
      <c r="H149">
        <v>2195.98</v>
      </c>
      <c r="I149">
        <v>6752.12</v>
      </c>
      <c r="J149">
        <v>33.89</v>
      </c>
      <c r="K149">
        <v>0</v>
      </c>
      <c r="L149">
        <v>0</v>
      </c>
      <c r="M149">
        <v>0</v>
      </c>
    </row>
    <row r="150" spans="1:13">
      <c r="A150">
        <v>2</v>
      </c>
      <c r="B150" t="s">
        <v>260</v>
      </c>
      <c r="C150">
        <v>3</v>
      </c>
      <c r="D150">
        <v>1</v>
      </c>
      <c r="E150">
        <v>0</v>
      </c>
      <c r="F150">
        <v>1</v>
      </c>
      <c r="G150">
        <v>0.95</v>
      </c>
      <c r="H150">
        <v>4929.55</v>
      </c>
      <c r="I150">
        <v>2772.72</v>
      </c>
      <c r="J150">
        <v>33.89</v>
      </c>
      <c r="K150">
        <v>0</v>
      </c>
      <c r="L150">
        <v>0</v>
      </c>
      <c r="M150">
        <v>0</v>
      </c>
    </row>
    <row r="151" spans="1:13">
      <c r="A151">
        <v>2</v>
      </c>
      <c r="B151" t="s">
        <v>260</v>
      </c>
      <c r="C151">
        <v>3</v>
      </c>
      <c r="D151">
        <v>0</v>
      </c>
      <c r="E151">
        <v>1</v>
      </c>
      <c r="F151">
        <v>2</v>
      </c>
      <c r="G151">
        <v>3.75</v>
      </c>
      <c r="H151">
        <v>0</v>
      </c>
      <c r="I151">
        <v>0</v>
      </c>
      <c r="J151">
        <v>0</v>
      </c>
      <c r="K151">
        <v>6638.45</v>
      </c>
      <c r="L151">
        <v>-110.62</v>
      </c>
      <c r="M151">
        <v>-57.73</v>
      </c>
    </row>
    <row r="152" spans="1:13">
      <c r="A152">
        <v>2</v>
      </c>
      <c r="B152" t="s">
        <v>260</v>
      </c>
      <c r="C152">
        <v>3</v>
      </c>
      <c r="D152">
        <v>0</v>
      </c>
      <c r="E152">
        <v>1</v>
      </c>
      <c r="F152">
        <v>3</v>
      </c>
      <c r="G152">
        <v>6.55</v>
      </c>
      <c r="H152">
        <v>0</v>
      </c>
      <c r="I152">
        <v>0</v>
      </c>
      <c r="J152">
        <v>0</v>
      </c>
      <c r="K152">
        <v>2467.71</v>
      </c>
      <c r="L152">
        <v>-2970.62</v>
      </c>
      <c r="M152">
        <v>-57.73</v>
      </c>
    </row>
    <row r="153" spans="1:13">
      <c r="A153">
        <v>2</v>
      </c>
      <c r="B153" t="s">
        <v>260</v>
      </c>
      <c r="C153">
        <v>3</v>
      </c>
      <c r="D153">
        <v>0</v>
      </c>
      <c r="E153">
        <v>1</v>
      </c>
      <c r="F153" t="s">
        <v>259</v>
      </c>
      <c r="G153">
        <v>7.5</v>
      </c>
      <c r="H153">
        <v>0</v>
      </c>
      <c r="I153">
        <v>0</v>
      </c>
      <c r="J153">
        <v>0</v>
      </c>
      <c r="K153">
        <v>-453.97</v>
      </c>
      <c r="L153">
        <v>-6960.17</v>
      </c>
      <c r="M153">
        <v>-57.73</v>
      </c>
    </row>
    <row r="154" spans="1:13">
      <c r="A154">
        <v>2</v>
      </c>
      <c r="B154" t="s">
        <v>260</v>
      </c>
      <c r="C154">
        <v>4</v>
      </c>
      <c r="D154">
        <v>1</v>
      </c>
      <c r="E154">
        <v>0</v>
      </c>
      <c r="F154" t="s">
        <v>258</v>
      </c>
      <c r="G154">
        <v>0</v>
      </c>
      <c r="H154">
        <v>-141.47</v>
      </c>
      <c r="I154">
        <v>1947.06</v>
      </c>
      <c r="J154">
        <v>27.34</v>
      </c>
      <c r="K154">
        <v>0</v>
      </c>
      <c r="L154">
        <v>0</v>
      </c>
      <c r="M154">
        <v>0</v>
      </c>
    </row>
    <row r="155" spans="1:13">
      <c r="A155">
        <v>2</v>
      </c>
      <c r="B155" t="s">
        <v>260</v>
      </c>
      <c r="C155">
        <v>4</v>
      </c>
      <c r="D155">
        <v>1</v>
      </c>
      <c r="E155">
        <v>0</v>
      </c>
      <c r="F155">
        <v>1</v>
      </c>
      <c r="G155">
        <v>0.95</v>
      </c>
      <c r="H155">
        <v>1708.24</v>
      </c>
      <c r="I155">
        <v>1947.06</v>
      </c>
      <c r="J155">
        <v>27.34</v>
      </c>
      <c r="K155">
        <v>0</v>
      </c>
      <c r="L155">
        <v>0</v>
      </c>
      <c r="M155">
        <v>0</v>
      </c>
    </row>
    <row r="156" spans="1:13">
      <c r="A156">
        <v>2</v>
      </c>
      <c r="B156" t="s">
        <v>260</v>
      </c>
      <c r="C156">
        <v>4</v>
      </c>
      <c r="D156">
        <v>1</v>
      </c>
      <c r="E156">
        <v>1</v>
      </c>
      <c r="F156">
        <v>2</v>
      </c>
      <c r="G156">
        <v>3.7509999999999999</v>
      </c>
      <c r="H156">
        <v>5316.91</v>
      </c>
      <c r="I156">
        <v>7.06</v>
      </c>
      <c r="J156">
        <v>27.34</v>
      </c>
      <c r="K156">
        <v>5182.7700000000004</v>
      </c>
      <c r="L156">
        <v>-76.75</v>
      </c>
      <c r="M156">
        <v>-18.079999999999998</v>
      </c>
    </row>
    <row r="157" spans="1:13">
      <c r="A157">
        <v>2</v>
      </c>
      <c r="B157" t="s">
        <v>260</v>
      </c>
      <c r="C157">
        <v>4</v>
      </c>
      <c r="D157">
        <v>0</v>
      </c>
      <c r="E157">
        <v>1</v>
      </c>
      <c r="F157">
        <v>3</v>
      </c>
      <c r="G157">
        <v>6.5510000000000002</v>
      </c>
      <c r="H157">
        <v>0</v>
      </c>
      <c r="I157">
        <v>0</v>
      </c>
      <c r="J157">
        <v>0</v>
      </c>
      <c r="K157">
        <v>1570.94</v>
      </c>
      <c r="L157">
        <v>-2016.75</v>
      </c>
      <c r="M157">
        <v>-18.079999999999998</v>
      </c>
    </row>
    <row r="158" spans="1:13">
      <c r="A158">
        <v>2</v>
      </c>
      <c r="B158" t="s">
        <v>260</v>
      </c>
      <c r="C158">
        <v>4</v>
      </c>
      <c r="D158">
        <v>0</v>
      </c>
      <c r="E158">
        <v>1</v>
      </c>
      <c r="F158" t="s">
        <v>259</v>
      </c>
      <c r="G158">
        <v>7.5</v>
      </c>
      <c r="H158">
        <v>0</v>
      </c>
      <c r="I158">
        <v>0</v>
      </c>
      <c r="J158">
        <v>0</v>
      </c>
      <c r="K158">
        <v>-569.04</v>
      </c>
      <c r="L158">
        <v>-5049.5</v>
      </c>
      <c r="M158">
        <v>-18.079999999999998</v>
      </c>
    </row>
    <row r="159" spans="1:13">
      <c r="A159">
        <v>2</v>
      </c>
      <c r="B159" t="s">
        <v>260</v>
      </c>
      <c r="C159">
        <v>5</v>
      </c>
      <c r="D159">
        <v>1</v>
      </c>
      <c r="E159">
        <v>0</v>
      </c>
      <c r="F159" t="s">
        <v>258</v>
      </c>
      <c r="G159">
        <v>0</v>
      </c>
      <c r="H159">
        <v>-215.7</v>
      </c>
      <c r="I159">
        <v>454.1</v>
      </c>
      <c r="J159">
        <v>0</v>
      </c>
      <c r="K159">
        <v>0</v>
      </c>
      <c r="L159">
        <v>0</v>
      </c>
      <c r="M159">
        <v>0</v>
      </c>
    </row>
    <row r="160" spans="1:13">
      <c r="A160">
        <v>2</v>
      </c>
      <c r="B160" t="s">
        <v>260</v>
      </c>
      <c r="C160">
        <v>5</v>
      </c>
      <c r="D160">
        <v>0</v>
      </c>
      <c r="E160">
        <v>1</v>
      </c>
      <c r="F160" t="s">
        <v>259</v>
      </c>
      <c r="G160">
        <v>0.95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1:13">
      <c r="A161">
        <v>2</v>
      </c>
      <c r="B161" t="s">
        <v>260</v>
      </c>
      <c r="C161">
        <v>6</v>
      </c>
      <c r="D161">
        <v>1</v>
      </c>
      <c r="E161">
        <v>1</v>
      </c>
      <c r="F161" t="s">
        <v>258</v>
      </c>
      <c r="G161">
        <v>0</v>
      </c>
      <c r="H161">
        <v>-443.73</v>
      </c>
      <c r="I161">
        <v>61.6</v>
      </c>
      <c r="J161">
        <v>-7259.31</v>
      </c>
      <c r="K161">
        <v>937.79</v>
      </c>
      <c r="L161">
        <v>-77.989999999999995</v>
      </c>
      <c r="M161">
        <v>-7363.39</v>
      </c>
    </row>
    <row r="162" spans="1:13">
      <c r="A162">
        <v>2</v>
      </c>
      <c r="B162" t="s">
        <v>260</v>
      </c>
      <c r="C162">
        <v>6</v>
      </c>
      <c r="D162">
        <v>1</v>
      </c>
      <c r="E162">
        <v>1</v>
      </c>
      <c r="F162" t="s">
        <v>259</v>
      </c>
      <c r="G162">
        <v>1.5249999999999999</v>
      </c>
      <c r="H162">
        <v>-349.78</v>
      </c>
      <c r="I162">
        <v>61.6</v>
      </c>
      <c r="J162">
        <v>-7259.31</v>
      </c>
      <c r="K162">
        <v>818.86</v>
      </c>
      <c r="L162">
        <v>-77.989999999999995</v>
      </c>
      <c r="M162">
        <v>-7363.39</v>
      </c>
    </row>
    <row r="163" spans="1:13">
      <c r="A163">
        <v>2</v>
      </c>
      <c r="B163" t="s">
        <v>260</v>
      </c>
      <c r="C163">
        <v>7</v>
      </c>
      <c r="D163">
        <v>1</v>
      </c>
      <c r="E163">
        <v>1</v>
      </c>
      <c r="F163" t="s">
        <v>258</v>
      </c>
      <c r="G163">
        <v>0</v>
      </c>
      <c r="H163">
        <v>-349.78</v>
      </c>
      <c r="I163">
        <v>61.6</v>
      </c>
      <c r="J163">
        <v>-7259.31</v>
      </c>
      <c r="K163">
        <v>818.86</v>
      </c>
      <c r="L163">
        <v>-77.989999999999995</v>
      </c>
      <c r="M163">
        <v>-7363.39</v>
      </c>
    </row>
    <row r="164" spans="1:13">
      <c r="A164">
        <v>2</v>
      </c>
      <c r="B164" t="s">
        <v>260</v>
      </c>
      <c r="C164">
        <v>7</v>
      </c>
      <c r="D164">
        <v>1</v>
      </c>
      <c r="E164">
        <v>1</v>
      </c>
      <c r="F164" t="s">
        <v>259</v>
      </c>
      <c r="G164">
        <v>17.074999999999999</v>
      </c>
      <c r="H164">
        <v>-874.47</v>
      </c>
      <c r="I164">
        <v>61.6</v>
      </c>
      <c r="J164">
        <v>-10255.61</v>
      </c>
      <c r="K164">
        <v>227.86</v>
      </c>
      <c r="L164">
        <v>-77.989999999999995</v>
      </c>
      <c r="M164">
        <v>-10359.69</v>
      </c>
    </row>
    <row r="165" spans="1:13">
      <c r="A165">
        <v>2</v>
      </c>
      <c r="B165" t="s">
        <v>260</v>
      </c>
      <c r="C165">
        <v>8</v>
      </c>
      <c r="D165">
        <v>1</v>
      </c>
      <c r="E165">
        <v>1</v>
      </c>
      <c r="F165" t="s">
        <v>258</v>
      </c>
      <c r="G165">
        <v>0</v>
      </c>
      <c r="H165">
        <v>1021.16</v>
      </c>
      <c r="I165">
        <v>85.76</v>
      </c>
      <c r="J165">
        <v>-8624.76</v>
      </c>
      <c r="K165">
        <v>-193.76</v>
      </c>
      <c r="L165">
        <v>-53.84</v>
      </c>
      <c r="M165">
        <v>-8728.85</v>
      </c>
    </row>
    <row r="166" spans="1:13">
      <c r="A166">
        <v>2</v>
      </c>
      <c r="B166" t="s">
        <v>260</v>
      </c>
      <c r="C166">
        <v>8</v>
      </c>
      <c r="D166">
        <v>1</v>
      </c>
      <c r="E166">
        <v>1</v>
      </c>
      <c r="F166" t="s">
        <v>259</v>
      </c>
      <c r="G166">
        <v>1.5249999999999999</v>
      </c>
      <c r="H166">
        <v>-189.32</v>
      </c>
      <c r="I166">
        <v>20.260000000000002</v>
      </c>
      <c r="J166">
        <v>-9777.39</v>
      </c>
      <c r="K166">
        <v>292.56</v>
      </c>
      <c r="L166">
        <v>-27.72</v>
      </c>
      <c r="M166">
        <v>-9908.6200000000008</v>
      </c>
    </row>
    <row r="167" spans="1:13">
      <c r="A167">
        <v>2</v>
      </c>
      <c r="B167" t="s">
        <v>260</v>
      </c>
      <c r="C167">
        <v>9</v>
      </c>
      <c r="D167">
        <v>1</v>
      </c>
      <c r="E167">
        <v>1</v>
      </c>
      <c r="F167" t="s">
        <v>258</v>
      </c>
      <c r="G167">
        <v>0</v>
      </c>
      <c r="H167">
        <v>-144.37</v>
      </c>
      <c r="I167">
        <v>20.260000000000002</v>
      </c>
      <c r="J167">
        <v>-9777.39</v>
      </c>
      <c r="K167">
        <v>264.35000000000002</v>
      </c>
      <c r="L167">
        <v>-27.72</v>
      </c>
      <c r="M167">
        <v>-9908.6200000000008</v>
      </c>
    </row>
    <row r="168" spans="1:13">
      <c r="A168">
        <v>2</v>
      </c>
      <c r="B168" t="s">
        <v>260</v>
      </c>
      <c r="C168">
        <v>9</v>
      </c>
      <c r="D168">
        <v>1</v>
      </c>
      <c r="E168">
        <v>1</v>
      </c>
      <c r="F168" t="s">
        <v>259</v>
      </c>
      <c r="G168">
        <v>17.074999999999999</v>
      </c>
      <c r="H168">
        <v>-301.77</v>
      </c>
      <c r="I168">
        <v>20.260000000000002</v>
      </c>
      <c r="J168">
        <v>-12773.69</v>
      </c>
      <c r="K168">
        <v>106.94</v>
      </c>
      <c r="L168">
        <v>-27.72</v>
      </c>
      <c r="M168">
        <v>-12904.92</v>
      </c>
    </row>
    <row r="169" spans="1:13">
      <c r="A169">
        <v>2</v>
      </c>
      <c r="B169" t="s">
        <v>260</v>
      </c>
      <c r="C169">
        <v>10</v>
      </c>
      <c r="D169">
        <v>1</v>
      </c>
      <c r="E169">
        <v>1</v>
      </c>
      <c r="F169" t="s">
        <v>258</v>
      </c>
      <c r="G169">
        <v>0</v>
      </c>
      <c r="H169">
        <v>-353.57</v>
      </c>
      <c r="I169">
        <v>39.25</v>
      </c>
      <c r="J169">
        <v>-9673.07</v>
      </c>
      <c r="K169">
        <v>32.36</v>
      </c>
      <c r="L169">
        <v>-8.73</v>
      </c>
      <c r="M169">
        <v>-9804.2999999999993</v>
      </c>
    </row>
    <row r="170" spans="1:13">
      <c r="A170">
        <v>2</v>
      </c>
      <c r="B170" t="s">
        <v>260</v>
      </c>
      <c r="C170">
        <v>10</v>
      </c>
      <c r="D170">
        <v>1</v>
      </c>
      <c r="E170">
        <v>1</v>
      </c>
      <c r="F170" t="s">
        <v>259</v>
      </c>
      <c r="G170">
        <v>1.5249999999999999</v>
      </c>
      <c r="H170">
        <v>150.69999999999999</v>
      </c>
      <c r="I170">
        <v>39.25</v>
      </c>
      <c r="J170">
        <v>-9673.07</v>
      </c>
      <c r="K170">
        <v>-259.81</v>
      </c>
      <c r="L170">
        <v>-8.73</v>
      </c>
      <c r="M170">
        <v>-9804.2999999999993</v>
      </c>
    </row>
    <row r="171" spans="1:13">
      <c r="A171">
        <v>2</v>
      </c>
      <c r="B171" t="s">
        <v>260</v>
      </c>
      <c r="C171">
        <v>11</v>
      </c>
      <c r="D171">
        <v>1</v>
      </c>
      <c r="E171">
        <v>1</v>
      </c>
      <c r="F171" t="s">
        <v>258</v>
      </c>
      <c r="G171">
        <v>0</v>
      </c>
      <c r="H171">
        <v>-477.75</v>
      </c>
      <c r="I171">
        <v>39.65</v>
      </c>
      <c r="J171">
        <v>-8823.43</v>
      </c>
      <c r="K171">
        <v>-18.41</v>
      </c>
      <c r="L171">
        <v>-6.55</v>
      </c>
      <c r="M171">
        <v>-8885.7000000000007</v>
      </c>
    </row>
    <row r="172" spans="1:13">
      <c r="A172">
        <v>2</v>
      </c>
      <c r="B172" t="s">
        <v>260</v>
      </c>
      <c r="C172">
        <v>11</v>
      </c>
      <c r="D172">
        <v>1</v>
      </c>
      <c r="E172">
        <v>1</v>
      </c>
      <c r="F172" t="s">
        <v>259</v>
      </c>
      <c r="G172">
        <v>17.074999999999999</v>
      </c>
      <c r="H172">
        <v>-265.38</v>
      </c>
      <c r="I172">
        <v>39.65</v>
      </c>
      <c r="J172">
        <v>-11819.73</v>
      </c>
      <c r="K172">
        <v>123.51</v>
      </c>
      <c r="L172">
        <v>-6.55</v>
      </c>
      <c r="M172">
        <v>-11882</v>
      </c>
    </row>
    <row r="173" spans="1:13">
      <c r="A173">
        <v>2</v>
      </c>
      <c r="B173" t="s">
        <v>260</v>
      </c>
      <c r="C173">
        <v>12</v>
      </c>
      <c r="D173">
        <v>1</v>
      </c>
      <c r="E173">
        <v>0</v>
      </c>
      <c r="F173" t="s">
        <v>258</v>
      </c>
      <c r="G173">
        <v>0</v>
      </c>
      <c r="H173">
        <v>-734.98</v>
      </c>
      <c r="I173">
        <v>62.7</v>
      </c>
      <c r="J173">
        <v>-7505.04</v>
      </c>
      <c r="K173">
        <v>0</v>
      </c>
      <c r="L173">
        <v>0</v>
      </c>
      <c r="M173">
        <v>0</v>
      </c>
    </row>
    <row r="174" spans="1:13">
      <c r="A174">
        <v>2</v>
      </c>
      <c r="B174" t="s">
        <v>260</v>
      </c>
      <c r="C174">
        <v>12</v>
      </c>
      <c r="D174">
        <v>1</v>
      </c>
      <c r="E174">
        <v>0</v>
      </c>
      <c r="F174" t="s">
        <v>259</v>
      </c>
      <c r="G174">
        <v>1.5249999999999999</v>
      </c>
      <c r="H174">
        <v>-670.73</v>
      </c>
      <c r="I174">
        <v>62.7</v>
      </c>
      <c r="J174">
        <v>-7505.04</v>
      </c>
      <c r="K174">
        <v>0</v>
      </c>
      <c r="L174">
        <v>0</v>
      </c>
      <c r="M174">
        <v>0</v>
      </c>
    </row>
    <row r="175" spans="1:13">
      <c r="A175">
        <v>2</v>
      </c>
      <c r="B175" t="s">
        <v>260</v>
      </c>
      <c r="C175">
        <v>13</v>
      </c>
      <c r="D175">
        <v>1</v>
      </c>
      <c r="E175">
        <v>0</v>
      </c>
      <c r="F175" t="s">
        <v>258</v>
      </c>
      <c r="G175">
        <v>0</v>
      </c>
      <c r="H175">
        <v>-174.72</v>
      </c>
      <c r="I175">
        <v>62.7</v>
      </c>
      <c r="J175">
        <v>-7505.04</v>
      </c>
      <c r="K175">
        <v>0</v>
      </c>
      <c r="L175">
        <v>0</v>
      </c>
      <c r="M175">
        <v>0</v>
      </c>
    </row>
    <row r="176" spans="1:13">
      <c r="A176">
        <v>2</v>
      </c>
      <c r="B176" t="s">
        <v>260</v>
      </c>
      <c r="C176">
        <v>13</v>
      </c>
      <c r="D176">
        <v>1</v>
      </c>
      <c r="E176">
        <v>1</v>
      </c>
      <c r="F176" t="s">
        <v>259</v>
      </c>
      <c r="G176">
        <v>17.074999999999999</v>
      </c>
      <c r="H176">
        <v>257.13</v>
      </c>
      <c r="I176">
        <v>18.079999999999998</v>
      </c>
      <c r="J176">
        <v>-8499.9</v>
      </c>
      <c r="K176">
        <v>705.42</v>
      </c>
      <c r="L176">
        <v>-27.34</v>
      </c>
      <c r="M176">
        <v>-8418.09</v>
      </c>
    </row>
    <row r="177" spans="1:13">
      <c r="A177">
        <v>2</v>
      </c>
      <c r="B177" t="s">
        <v>261</v>
      </c>
      <c r="C177">
        <v>1</v>
      </c>
      <c r="D177">
        <v>0</v>
      </c>
      <c r="E177">
        <v>1</v>
      </c>
      <c r="F177" t="s">
        <v>258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</row>
    <row r="178" spans="1:13">
      <c r="A178">
        <v>2</v>
      </c>
      <c r="B178" t="s">
        <v>261</v>
      </c>
      <c r="C178">
        <v>1</v>
      </c>
      <c r="D178">
        <v>0</v>
      </c>
      <c r="E178">
        <v>1</v>
      </c>
      <c r="F178" t="s">
        <v>259</v>
      </c>
      <c r="G178">
        <v>0.95</v>
      </c>
      <c r="H178">
        <v>0</v>
      </c>
      <c r="I178">
        <v>0</v>
      </c>
      <c r="J178">
        <v>0</v>
      </c>
      <c r="K178">
        <v>-215.7</v>
      </c>
      <c r="L178">
        <v>-454.1</v>
      </c>
      <c r="M178">
        <v>0</v>
      </c>
    </row>
    <row r="179" spans="1:13">
      <c r="A179">
        <v>2</v>
      </c>
      <c r="B179" t="s">
        <v>261</v>
      </c>
      <c r="C179">
        <v>2</v>
      </c>
      <c r="D179">
        <v>1</v>
      </c>
      <c r="E179">
        <v>1</v>
      </c>
      <c r="F179" t="s">
        <v>258</v>
      </c>
      <c r="G179">
        <v>0</v>
      </c>
      <c r="H179">
        <v>228.03</v>
      </c>
      <c r="I179">
        <v>6805.21</v>
      </c>
      <c r="J179">
        <v>61.6</v>
      </c>
      <c r="K179">
        <v>-1153.49</v>
      </c>
      <c r="L179">
        <v>6909.29</v>
      </c>
      <c r="M179">
        <v>-77.989999999999995</v>
      </c>
    </row>
    <row r="180" spans="1:13">
      <c r="A180">
        <v>2</v>
      </c>
      <c r="B180" t="s">
        <v>261</v>
      </c>
      <c r="C180">
        <v>2</v>
      </c>
      <c r="D180">
        <v>1</v>
      </c>
      <c r="E180">
        <v>1</v>
      </c>
      <c r="F180">
        <v>1</v>
      </c>
      <c r="G180">
        <v>0.95</v>
      </c>
      <c r="H180">
        <v>4068.94</v>
      </c>
      <c r="I180">
        <v>3806.31</v>
      </c>
      <c r="J180">
        <v>61.6</v>
      </c>
      <c r="K180">
        <v>2788.05</v>
      </c>
      <c r="L180">
        <v>3912.39</v>
      </c>
      <c r="M180">
        <v>-77.989999999999995</v>
      </c>
    </row>
    <row r="181" spans="1:13">
      <c r="A181">
        <v>2</v>
      </c>
      <c r="B181" t="s">
        <v>261</v>
      </c>
      <c r="C181">
        <v>2</v>
      </c>
      <c r="D181">
        <v>1</v>
      </c>
      <c r="E181">
        <v>1</v>
      </c>
      <c r="F181">
        <v>2</v>
      </c>
      <c r="G181">
        <v>3.7509999999999999</v>
      </c>
      <c r="H181">
        <v>8006.59</v>
      </c>
      <c r="I181">
        <v>946.3</v>
      </c>
      <c r="J181">
        <v>61.6</v>
      </c>
      <c r="K181">
        <v>7022.75</v>
      </c>
      <c r="L181">
        <v>1052.3900000000001</v>
      </c>
      <c r="M181">
        <v>-77.989999999999995</v>
      </c>
    </row>
    <row r="182" spans="1:13">
      <c r="A182">
        <v>2</v>
      </c>
      <c r="B182" t="s">
        <v>261</v>
      </c>
      <c r="C182">
        <v>2</v>
      </c>
      <c r="D182">
        <v>1</v>
      </c>
      <c r="E182">
        <v>1</v>
      </c>
      <c r="F182">
        <v>3</v>
      </c>
      <c r="G182">
        <v>6.5510000000000002</v>
      </c>
      <c r="H182">
        <v>5282.92</v>
      </c>
      <c r="I182">
        <v>-2702.87</v>
      </c>
      <c r="J182">
        <v>61.6</v>
      </c>
      <c r="K182">
        <v>4596.12</v>
      </c>
      <c r="L182">
        <v>-2596.79</v>
      </c>
      <c r="M182">
        <v>-77.989999999999995</v>
      </c>
    </row>
    <row r="183" spans="1:13">
      <c r="A183">
        <v>2</v>
      </c>
      <c r="B183" t="s">
        <v>261</v>
      </c>
      <c r="C183">
        <v>2</v>
      </c>
      <c r="D183">
        <v>1</v>
      </c>
      <c r="E183">
        <v>1</v>
      </c>
      <c r="F183" t="s">
        <v>259</v>
      </c>
      <c r="G183">
        <v>7.5</v>
      </c>
      <c r="H183">
        <v>2502.6</v>
      </c>
      <c r="I183">
        <v>-3156.5</v>
      </c>
      <c r="J183">
        <v>61.6</v>
      </c>
      <c r="K183">
        <v>1916.58</v>
      </c>
      <c r="L183">
        <v>-3050.41</v>
      </c>
      <c r="M183">
        <v>-77.989999999999995</v>
      </c>
    </row>
    <row r="184" spans="1:13">
      <c r="A184">
        <v>2</v>
      </c>
      <c r="B184" t="s">
        <v>261</v>
      </c>
      <c r="C184">
        <v>3</v>
      </c>
      <c r="D184">
        <v>1</v>
      </c>
      <c r="E184">
        <v>1</v>
      </c>
      <c r="F184" t="s">
        <v>258</v>
      </c>
      <c r="G184">
        <v>0</v>
      </c>
      <c r="H184">
        <v>2195.98</v>
      </c>
      <c r="I184">
        <v>6752.12</v>
      </c>
      <c r="J184">
        <v>33.89</v>
      </c>
      <c r="K184">
        <v>2091.84</v>
      </c>
      <c r="L184">
        <v>6726.98</v>
      </c>
      <c r="M184">
        <v>-57.73</v>
      </c>
    </row>
    <row r="185" spans="1:13">
      <c r="A185">
        <v>2</v>
      </c>
      <c r="B185" t="s">
        <v>261</v>
      </c>
      <c r="C185">
        <v>3</v>
      </c>
      <c r="D185">
        <v>1</v>
      </c>
      <c r="E185">
        <v>1</v>
      </c>
      <c r="F185">
        <v>1</v>
      </c>
      <c r="G185">
        <v>0.95</v>
      </c>
      <c r="H185">
        <v>4929.55</v>
      </c>
      <c r="I185">
        <v>2772.72</v>
      </c>
      <c r="J185">
        <v>33.89</v>
      </c>
      <c r="K185">
        <v>4803.1899999999996</v>
      </c>
      <c r="L185">
        <v>2749.38</v>
      </c>
      <c r="M185">
        <v>-57.73</v>
      </c>
    </row>
    <row r="186" spans="1:13">
      <c r="A186">
        <v>2</v>
      </c>
      <c r="B186" t="s">
        <v>261</v>
      </c>
      <c r="C186">
        <v>3</v>
      </c>
      <c r="D186">
        <v>1</v>
      </c>
      <c r="E186">
        <v>1</v>
      </c>
      <c r="F186">
        <v>2</v>
      </c>
      <c r="G186">
        <v>3.75</v>
      </c>
      <c r="H186">
        <v>6830.16</v>
      </c>
      <c r="I186">
        <v>-87.28</v>
      </c>
      <c r="J186">
        <v>33.89</v>
      </c>
      <c r="K186">
        <v>6638.45</v>
      </c>
      <c r="L186">
        <v>-110.62</v>
      </c>
      <c r="M186">
        <v>-57.73</v>
      </c>
    </row>
    <row r="187" spans="1:13">
      <c r="A187">
        <v>2</v>
      </c>
      <c r="B187" t="s">
        <v>261</v>
      </c>
      <c r="C187">
        <v>3</v>
      </c>
      <c r="D187">
        <v>1</v>
      </c>
      <c r="E187">
        <v>1</v>
      </c>
      <c r="F187">
        <v>3</v>
      </c>
      <c r="G187">
        <v>6.55</v>
      </c>
      <c r="H187">
        <v>2724.78</v>
      </c>
      <c r="I187">
        <v>-2947.28</v>
      </c>
      <c r="J187">
        <v>33.89</v>
      </c>
      <c r="K187">
        <v>2467.71</v>
      </c>
      <c r="L187">
        <v>-2970.62</v>
      </c>
      <c r="M187">
        <v>-57.73</v>
      </c>
    </row>
    <row r="188" spans="1:13">
      <c r="A188">
        <v>2</v>
      </c>
      <c r="B188" t="s">
        <v>261</v>
      </c>
      <c r="C188">
        <v>3</v>
      </c>
      <c r="D188">
        <v>1</v>
      </c>
      <c r="E188">
        <v>1</v>
      </c>
      <c r="F188" t="s">
        <v>259</v>
      </c>
      <c r="G188">
        <v>7.5</v>
      </c>
      <c r="H188">
        <v>-174.77</v>
      </c>
      <c r="I188">
        <v>-6938.63</v>
      </c>
      <c r="J188">
        <v>33.89</v>
      </c>
      <c r="K188">
        <v>-453.97</v>
      </c>
      <c r="L188">
        <v>-6960.17</v>
      </c>
      <c r="M188">
        <v>-57.73</v>
      </c>
    </row>
    <row r="189" spans="1:13">
      <c r="A189">
        <v>2</v>
      </c>
      <c r="B189" t="s">
        <v>261</v>
      </c>
      <c r="C189">
        <v>4</v>
      </c>
      <c r="D189">
        <v>1</v>
      </c>
      <c r="E189">
        <v>1</v>
      </c>
      <c r="F189" t="s">
        <v>258</v>
      </c>
      <c r="G189">
        <v>0</v>
      </c>
      <c r="H189">
        <v>-141.47</v>
      </c>
      <c r="I189">
        <v>1947.06</v>
      </c>
      <c r="J189">
        <v>27.34</v>
      </c>
      <c r="K189">
        <v>38.67</v>
      </c>
      <c r="L189">
        <v>1863.25</v>
      </c>
      <c r="M189">
        <v>-18.079999999999998</v>
      </c>
    </row>
    <row r="190" spans="1:13">
      <c r="A190">
        <v>2</v>
      </c>
      <c r="B190" t="s">
        <v>261</v>
      </c>
      <c r="C190">
        <v>4</v>
      </c>
      <c r="D190">
        <v>1</v>
      </c>
      <c r="E190">
        <v>1</v>
      </c>
      <c r="F190">
        <v>1</v>
      </c>
      <c r="G190">
        <v>0.95</v>
      </c>
      <c r="H190">
        <v>1708.24</v>
      </c>
      <c r="I190">
        <v>1947.06</v>
      </c>
      <c r="J190">
        <v>27.34</v>
      </c>
      <c r="K190">
        <v>1808.76</v>
      </c>
      <c r="L190">
        <v>1863.25</v>
      </c>
      <c r="M190">
        <v>-18.079999999999998</v>
      </c>
    </row>
    <row r="191" spans="1:13">
      <c r="A191">
        <v>2</v>
      </c>
      <c r="B191" t="s">
        <v>261</v>
      </c>
      <c r="C191">
        <v>4</v>
      </c>
      <c r="D191">
        <v>1</v>
      </c>
      <c r="E191">
        <v>1</v>
      </c>
      <c r="F191">
        <v>2</v>
      </c>
      <c r="G191">
        <v>3.7509999999999999</v>
      </c>
      <c r="H191">
        <v>5316.91</v>
      </c>
      <c r="I191">
        <v>7.06</v>
      </c>
      <c r="J191">
        <v>27.34</v>
      </c>
      <c r="K191">
        <v>5182.7700000000004</v>
      </c>
      <c r="L191">
        <v>-76.75</v>
      </c>
      <c r="M191">
        <v>-18.079999999999998</v>
      </c>
    </row>
    <row r="192" spans="1:13">
      <c r="A192">
        <v>2</v>
      </c>
      <c r="B192" t="s">
        <v>261</v>
      </c>
      <c r="C192">
        <v>4</v>
      </c>
      <c r="D192">
        <v>1</v>
      </c>
      <c r="E192">
        <v>1</v>
      </c>
      <c r="F192">
        <v>3</v>
      </c>
      <c r="G192">
        <v>6.5510000000000002</v>
      </c>
      <c r="H192">
        <v>1939.75</v>
      </c>
      <c r="I192">
        <v>-1932.94</v>
      </c>
      <c r="J192">
        <v>27.34</v>
      </c>
      <c r="K192">
        <v>1570.94</v>
      </c>
      <c r="L192">
        <v>-2016.75</v>
      </c>
      <c r="M192">
        <v>-18.079999999999998</v>
      </c>
    </row>
    <row r="193" spans="1:13">
      <c r="A193">
        <v>2</v>
      </c>
      <c r="B193" t="s">
        <v>261</v>
      </c>
      <c r="C193">
        <v>4</v>
      </c>
      <c r="D193">
        <v>1</v>
      </c>
      <c r="E193">
        <v>1</v>
      </c>
      <c r="F193" t="s">
        <v>259</v>
      </c>
      <c r="G193">
        <v>7.5</v>
      </c>
      <c r="H193">
        <v>-120.75</v>
      </c>
      <c r="I193">
        <v>-4967.6899999999996</v>
      </c>
      <c r="J193">
        <v>27.34</v>
      </c>
      <c r="K193">
        <v>-569.04</v>
      </c>
      <c r="L193">
        <v>-5049.5</v>
      </c>
      <c r="M193">
        <v>-18.079999999999998</v>
      </c>
    </row>
    <row r="194" spans="1:13">
      <c r="A194">
        <v>2</v>
      </c>
      <c r="B194" t="s">
        <v>261</v>
      </c>
      <c r="C194">
        <v>5</v>
      </c>
      <c r="D194">
        <v>1</v>
      </c>
      <c r="E194">
        <v>1</v>
      </c>
      <c r="F194" t="s">
        <v>258</v>
      </c>
      <c r="G194">
        <v>0</v>
      </c>
      <c r="H194">
        <v>-215.7</v>
      </c>
      <c r="I194">
        <v>454.1</v>
      </c>
      <c r="J194">
        <v>0</v>
      </c>
      <c r="K194">
        <v>-215.7</v>
      </c>
      <c r="L194">
        <v>454.1</v>
      </c>
      <c r="M194">
        <v>0</v>
      </c>
    </row>
    <row r="195" spans="1:13">
      <c r="A195">
        <v>2</v>
      </c>
      <c r="B195" t="s">
        <v>261</v>
      </c>
      <c r="C195">
        <v>5</v>
      </c>
      <c r="D195">
        <v>1</v>
      </c>
      <c r="E195">
        <v>1</v>
      </c>
      <c r="F195" t="s">
        <v>259</v>
      </c>
      <c r="G195">
        <v>0.95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</row>
    <row r="196" spans="1:13">
      <c r="A196">
        <v>2</v>
      </c>
      <c r="B196" t="s">
        <v>261</v>
      </c>
      <c r="C196">
        <v>6</v>
      </c>
      <c r="D196">
        <v>0</v>
      </c>
      <c r="E196">
        <v>1</v>
      </c>
      <c r="F196" t="s">
        <v>258</v>
      </c>
      <c r="G196">
        <v>0</v>
      </c>
      <c r="H196">
        <v>0</v>
      </c>
      <c r="I196">
        <v>0</v>
      </c>
      <c r="J196">
        <v>0</v>
      </c>
      <c r="K196">
        <v>937.79</v>
      </c>
      <c r="L196">
        <v>-77.989999999999995</v>
      </c>
      <c r="M196">
        <v>-7363.39</v>
      </c>
    </row>
    <row r="197" spans="1:13">
      <c r="A197">
        <v>2</v>
      </c>
      <c r="B197" t="s">
        <v>261</v>
      </c>
      <c r="C197">
        <v>6</v>
      </c>
      <c r="D197">
        <v>0</v>
      </c>
      <c r="E197">
        <v>1</v>
      </c>
      <c r="F197" t="s">
        <v>259</v>
      </c>
      <c r="G197">
        <v>1.5249999999999999</v>
      </c>
      <c r="H197">
        <v>0</v>
      </c>
      <c r="I197">
        <v>0</v>
      </c>
      <c r="J197">
        <v>0</v>
      </c>
      <c r="K197">
        <v>818.86</v>
      </c>
      <c r="L197">
        <v>-77.989999999999995</v>
      </c>
      <c r="M197">
        <v>-7363.39</v>
      </c>
    </row>
    <row r="198" spans="1:13">
      <c r="A198">
        <v>2</v>
      </c>
      <c r="B198" t="s">
        <v>261</v>
      </c>
      <c r="C198">
        <v>7</v>
      </c>
      <c r="D198">
        <v>0</v>
      </c>
      <c r="E198">
        <v>1</v>
      </c>
      <c r="F198" t="s">
        <v>258</v>
      </c>
      <c r="G198">
        <v>0</v>
      </c>
      <c r="H198">
        <v>0</v>
      </c>
      <c r="I198">
        <v>0</v>
      </c>
      <c r="J198">
        <v>0</v>
      </c>
      <c r="K198">
        <v>818.86</v>
      </c>
      <c r="L198">
        <v>-77.989999999999995</v>
      </c>
      <c r="M198">
        <v>-7363.39</v>
      </c>
    </row>
    <row r="199" spans="1:13">
      <c r="A199">
        <v>2</v>
      </c>
      <c r="B199" t="s">
        <v>261</v>
      </c>
      <c r="C199">
        <v>7</v>
      </c>
      <c r="D199">
        <v>0</v>
      </c>
      <c r="E199">
        <v>1</v>
      </c>
      <c r="F199" t="s">
        <v>259</v>
      </c>
      <c r="G199">
        <v>17.074999999999999</v>
      </c>
      <c r="H199">
        <v>0</v>
      </c>
      <c r="I199">
        <v>0</v>
      </c>
      <c r="J199">
        <v>0</v>
      </c>
      <c r="K199">
        <v>227.86</v>
      </c>
      <c r="L199">
        <v>-77.989999999999995</v>
      </c>
      <c r="M199">
        <v>-10359.69</v>
      </c>
    </row>
    <row r="200" spans="1:13">
      <c r="A200">
        <v>2</v>
      </c>
      <c r="B200" t="s">
        <v>261</v>
      </c>
      <c r="C200">
        <v>8</v>
      </c>
      <c r="D200">
        <v>0</v>
      </c>
      <c r="E200">
        <v>1</v>
      </c>
      <c r="F200" t="s">
        <v>258</v>
      </c>
      <c r="G200">
        <v>0</v>
      </c>
      <c r="H200">
        <v>0</v>
      </c>
      <c r="I200">
        <v>0</v>
      </c>
      <c r="J200">
        <v>0</v>
      </c>
      <c r="K200">
        <v>-193.76</v>
      </c>
      <c r="L200">
        <v>-53.84</v>
      </c>
      <c r="M200">
        <v>-8728.85</v>
      </c>
    </row>
    <row r="201" spans="1:13">
      <c r="A201">
        <v>2</v>
      </c>
      <c r="B201" t="s">
        <v>261</v>
      </c>
      <c r="C201">
        <v>8</v>
      </c>
      <c r="D201">
        <v>0</v>
      </c>
      <c r="E201">
        <v>1</v>
      </c>
      <c r="F201" t="s">
        <v>259</v>
      </c>
      <c r="G201">
        <v>1.5249999999999999</v>
      </c>
      <c r="H201">
        <v>0</v>
      </c>
      <c r="I201">
        <v>0</v>
      </c>
      <c r="J201">
        <v>0</v>
      </c>
      <c r="K201">
        <v>292.56</v>
      </c>
      <c r="L201">
        <v>-27.72</v>
      </c>
      <c r="M201">
        <v>-9908.6200000000008</v>
      </c>
    </row>
    <row r="202" spans="1:13">
      <c r="A202">
        <v>2</v>
      </c>
      <c r="B202" t="s">
        <v>261</v>
      </c>
      <c r="C202">
        <v>9</v>
      </c>
      <c r="D202">
        <v>0</v>
      </c>
      <c r="E202">
        <v>1</v>
      </c>
      <c r="F202" t="s">
        <v>258</v>
      </c>
      <c r="G202">
        <v>0</v>
      </c>
      <c r="H202">
        <v>0</v>
      </c>
      <c r="I202">
        <v>0</v>
      </c>
      <c r="J202">
        <v>0</v>
      </c>
      <c r="K202">
        <v>264.35000000000002</v>
      </c>
      <c r="L202">
        <v>-27.72</v>
      </c>
      <c r="M202">
        <v>-9908.6200000000008</v>
      </c>
    </row>
    <row r="203" spans="1:13">
      <c r="A203">
        <v>2</v>
      </c>
      <c r="B203" t="s">
        <v>261</v>
      </c>
      <c r="C203">
        <v>9</v>
      </c>
      <c r="D203">
        <v>0</v>
      </c>
      <c r="E203">
        <v>1</v>
      </c>
      <c r="F203" t="s">
        <v>259</v>
      </c>
      <c r="G203">
        <v>17.074999999999999</v>
      </c>
      <c r="H203">
        <v>0</v>
      </c>
      <c r="I203">
        <v>0</v>
      </c>
      <c r="J203">
        <v>0</v>
      </c>
      <c r="K203">
        <v>106.94</v>
      </c>
      <c r="L203">
        <v>-27.72</v>
      </c>
      <c r="M203">
        <v>-12904.92</v>
      </c>
    </row>
    <row r="204" spans="1:13">
      <c r="A204">
        <v>2</v>
      </c>
      <c r="B204" t="s">
        <v>261</v>
      </c>
      <c r="C204">
        <v>10</v>
      </c>
      <c r="D204">
        <v>0</v>
      </c>
      <c r="E204">
        <v>1</v>
      </c>
      <c r="F204" t="s">
        <v>258</v>
      </c>
      <c r="G204">
        <v>0</v>
      </c>
      <c r="H204">
        <v>0</v>
      </c>
      <c r="I204">
        <v>0</v>
      </c>
      <c r="J204">
        <v>0</v>
      </c>
      <c r="K204">
        <v>32.36</v>
      </c>
      <c r="L204">
        <v>-8.73</v>
      </c>
      <c r="M204">
        <v>-9804.2999999999993</v>
      </c>
    </row>
    <row r="205" spans="1:13">
      <c r="A205">
        <v>2</v>
      </c>
      <c r="B205" t="s">
        <v>261</v>
      </c>
      <c r="C205">
        <v>10</v>
      </c>
      <c r="D205">
        <v>0</v>
      </c>
      <c r="E205">
        <v>1</v>
      </c>
      <c r="F205" t="s">
        <v>259</v>
      </c>
      <c r="G205">
        <v>1.5249999999999999</v>
      </c>
      <c r="H205">
        <v>0</v>
      </c>
      <c r="I205">
        <v>0</v>
      </c>
      <c r="J205">
        <v>0</v>
      </c>
      <c r="K205">
        <v>-259.81</v>
      </c>
      <c r="L205">
        <v>-8.73</v>
      </c>
      <c r="M205">
        <v>-9804.2999999999993</v>
      </c>
    </row>
    <row r="206" spans="1:13">
      <c r="A206">
        <v>2</v>
      </c>
      <c r="B206" t="s">
        <v>261</v>
      </c>
      <c r="C206">
        <v>11</v>
      </c>
      <c r="D206">
        <v>0</v>
      </c>
      <c r="E206">
        <v>1</v>
      </c>
      <c r="F206" t="s">
        <v>258</v>
      </c>
      <c r="G206">
        <v>0</v>
      </c>
      <c r="H206">
        <v>0</v>
      </c>
      <c r="I206">
        <v>0</v>
      </c>
      <c r="J206">
        <v>0</v>
      </c>
      <c r="K206">
        <v>-18.41</v>
      </c>
      <c r="L206">
        <v>-6.55</v>
      </c>
      <c r="M206">
        <v>-8885.7000000000007</v>
      </c>
    </row>
    <row r="207" spans="1:13">
      <c r="A207">
        <v>2</v>
      </c>
      <c r="B207" t="s">
        <v>261</v>
      </c>
      <c r="C207">
        <v>11</v>
      </c>
      <c r="D207">
        <v>0</v>
      </c>
      <c r="E207">
        <v>1</v>
      </c>
      <c r="F207" t="s">
        <v>259</v>
      </c>
      <c r="G207">
        <v>17.074999999999999</v>
      </c>
      <c r="H207">
        <v>0</v>
      </c>
      <c r="I207">
        <v>0</v>
      </c>
      <c r="J207">
        <v>0</v>
      </c>
      <c r="K207">
        <v>123.51</v>
      </c>
      <c r="L207">
        <v>-6.55</v>
      </c>
      <c r="M207">
        <v>-11882</v>
      </c>
    </row>
    <row r="208" spans="1:13">
      <c r="A208">
        <v>2</v>
      </c>
      <c r="B208" t="s">
        <v>261</v>
      </c>
      <c r="C208">
        <v>12</v>
      </c>
      <c r="D208">
        <v>0</v>
      </c>
      <c r="E208">
        <v>1</v>
      </c>
      <c r="F208" t="s">
        <v>258</v>
      </c>
      <c r="G208">
        <v>0</v>
      </c>
      <c r="H208">
        <v>0</v>
      </c>
      <c r="I208">
        <v>0</v>
      </c>
      <c r="J208">
        <v>0</v>
      </c>
      <c r="K208">
        <v>-346.09</v>
      </c>
      <c r="L208">
        <v>16.5</v>
      </c>
      <c r="M208">
        <v>-7567.31</v>
      </c>
    </row>
    <row r="209" spans="1:13">
      <c r="A209">
        <v>2</v>
      </c>
      <c r="B209" t="s">
        <v>261</v>
      </c>
      <c r="C209">
        <v>12</v>
      </c>
      <c r="D209">
        <v>0</v>
      </c>
      <c r="E209">
        <v>1</v>
      </c>
      <c r="F209" t="s">
        <v>259</v>
      </c>
      <c r="G209">
        <v>1.5249999999999999</v>
      </c>
      <c r="H209">
        <v>0</v>
      </c>
      <c r="I209">
        <v>0</v>
      </c>
      <c r="J209">
        <v>0</v>
      </c>
      <c r="K209">
        <v>-303.77999999999997</v>
      </c>
      <c r="L209">
        <v>16.5</v>
      </c>
      <c r="M209">
        <v>-7567.31</v>
      </c>
    </row>
    <row r="210" spans="1:13">
      <c r="A210">
        <v>2</v>
      </c>
      <c r="B210" t="s">
        <v>261</v>
      </c>
      <c r="C210">
        <v>13</v>
      </c>
      <c r="D210">
        <v>0</v>
      </c>
      <c r="E210">
        <v>1</v>
      </c>
      <c r="F210" t="s">
        <v>258</v>
      </c>
      <c r="G210">
        <v>0</v>
      </c>
      <c r="H210">
        <v>0</v>
      </c>
      <c r="I210">
        <v>0</v>
      </c>
      <c r="J210">
        <v>0</v>
      </c>
      <c r="K210">
        <v>-574.64</v>
      </c>
      <c r="L210">
        <v>16.5</v>
      </c>
      <c r="M210">
        <v>-7567.31</v>
      </c>
    </row>
    <row r="211" spans="1:13">
      <c r="A211">
        <v>2</v>
      </c>
      <c r="B211" t="s">
        <v>261</v>
      </c>
      <c r="C211">
        <v>13</v>
      </c>
      <c r="D211">
        <v>0</v>
      </c>
      <c r="E211">
        <v>1</v>
      </c>
      <c r="F211" t="s">
        <v>259</v>
      </c>
      <c r="G211">
        <v>17.074999999999999</v>
      </c>
      <c r="H211">
        <v>0</v>
      </c>
      <c r="I211">
        <v>0</v>
      </c>
      <c r="J211">
        <v>0</v>
      </c>
      <c r="K211">
        <v>257.13</v>
      </c>
      <c r="L211">
        <v>18.079999999999998</v>
      </c>
      <c r="M211">
        <v>-8499.9</v>
      </c>
    </row>
    <row r="212" spans="1:13">
      <c r="A212">
        <v>3</v>
      </c>
      <c r="B212" t="s">
        <v>257</v>
      </c>
      <c r="C212">
        <v>1</v>
      </c>
      <c r="D212">
        <v>0</v>
      </c>
      <c r="E212">
        <v>1</v>
      </c>
      <c r="F212" t="s">
        <v>258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</row>
    <row r="213" spans="1:13">
      <c r="A213">
        <v>3</v>
      </c>
      <c r="B213" t="s">
        <v>257</v>
      </c>
      <c r="C213">
        <v>1</v>
      </c>
      <c r="D213">
        <v>0</v>
      </c>
      <c r="E213">
        <v>1</v>
      </c>
      <c r="F213" t="s">
        <v>259</v>
      </c>
      <c r="G213">
        <v>0.95</v>
      </c>
      <c r="H213">
        <v>0</v>
      </c>
      <c r="I213">
        <v>0</v>
      </c>
      <c r="J213">
        <v>0</v>
      </c>
      <c r="K213">
        <v>-236.71</v>
      </c>
      <c r="L213">
        <v>-476.22</v>
      </c>
      <c r="M213">
        <v>0</v>
      </c>
    </row>
    <row r="214" spans="1:13">
      <c r="A214">
        <v>3</v>
      </c>
      <c r="B214" t="s">
        <v>257</v>
      </c>
      <c r="C214">
        <v>2</v>
      </c>
      <c r="D214">
        <v>5</v>
      </c>
      <c r="E214">
        <v>2</v>
      </c>
      <c r="F214" t="s">
        <v>258</v>
      </c>
      <c r="G214">
        <v>0</v>
      </c>
      <c r="H214">
        <v>397.47</v>
      </c>
      <c r="I214">
        <v>7382.9</v>
      </c>
      <c r="J214">
        <v>59.68</v>
      </c>
      <c r="K214">
        <v>-1409.04</v>
      </c>
      <c r="L214">
        <v>8555.18</v>
      </c>
      <c r="M214">
        <v>-81.52</v>
      </c>
    </row>
    <row r="215" spans="1:13">
      <c r="A215">
        <v>3</v>
      </c>
      <c r="B215" t="s">
        <v>257</v>
      </c>
      <c r="C215">
        <v>2</v>
      </c>
      <c r="D215">
        <v>2</v>
      </c>
      <c r="E215">
        <v>0</v>
      </c>
      <c r="F215">
        <v>1</v>
      </c>
      <c r="G215">
        <v>0.95</v>
      </c>
      <c r="H215">
        <v>4878.45</v>
      </c>
      <c r="I215">
        <v>4432.33</v>
      </c>
      <c r="J215">
        <v>56.94</v>
      </c>
      <c r="K215">
        <v>0</v>
      </c>
      <c r="L215">
        <v>0</v>
      </c>
      <c r="M215">
        <v>0</v>
      </c>
    </row>
    <row r="216" spans="1:13">
      <c r="A216">
        <v>3</v>
      </c>
      <c r="B216" t="s">
        <v>257</v>
      </c>
      <c r="C216">
        <v>2</v>
      </c>
      <c r="D216">
        <v>2</v>
      </c>
      <c r="E216">
        <v>0</v>
      </c>
      <c r="F216">
        <v>2</v>
      </c>
      <c r="G216">
        <v>3.7509999999999999</v>
      </c>
      <c r="H216">
        <v>9218.36</v>
      </c>
      <c r="I216">
        <v>997.58</v>
      </c>
      <c r="J216">
        <v>56.94</v>
      </c>
      <c r="K216">
        <v>0</v>
      </c>
      <c r="L216">
        <v>0</v>
      </c>
      <c r="M216">
        <v>0</v>
      </c>
    </row>
    <row r="217" spans="1:13">
      <c r="A217">
        <v>3</v>
      </c>
      <c r="B217" t="s">
        <v>257</v>
      </c>
      <c r="C217">
        <v>2</v>
      </c>
      <c r="D217">
        <v>2</v>
      </c>
      <c r="E217">
        <v>0</v>
      </c>
      <c r="F217">
        <v>3</v>
      </c>
      <c r="G217">
        <v>6.5510000000000002</v>
      </c>
      <c r="H217">
        <v>5697.39</v>
      </c>
      <c r="I217">
        <v>-3208.74</v>
      </c>
      <c r="J217">
        <v>58.07</v>
      </c>
      <c r="K217">
        <v>0</v>
      </c>
      <c r="L217">
        <v>0</v>
      </c>
      <c r="M217">
        <v>0</v>
      </c>
    </row>
    <row r="218" spans="1:13">
      <c r="A218">
        <v>3</v>
      </c>
      <c r="B218" t="s">
        <v>257</v>
      </c>
      <c r="C218">
        <v>2</v>
      </c>
      <c r="D218">
        <v>1</v>
      </c>
      <c r="E218">
        <v>0</v>
      </c>
      <c r="F218" t="s">
        <v>259</v>
      </c>
      <c r="G218">
        <v>7.5</v>
      </c>
      <c r="H218">
        <v>2500.84</v>
      </c>
      <c r="I218">
        <v>-3414.6</v>
      </c>
      <c r="J218">
        <v>58.78</v>
      </c>
      <c r="K218">
        <v>0</v>
      </c>
      <c r="L218">
        <v>0</v>
      </c>
      <c r="M218">
        <v>0</v>
      </c>
    </row>
    <row r="219" spans="1:13">
      <c r="A219">
        <v>3</v>
      </c>
      <c r="B219" t="s">
        <v>257</v>
      </c>
      <c r="C219">
        <v>3</v>
      </c>
      <c r="D219">
        <v>2</v>
      </c>
      <c r="E219">
        <v>0</v>
      </c>
      <c r="F219" t="s">
        <v>258</v>
      </c>
      <c r="G219">
        <v>0</v>
      </c>
      <c r="H219">
        <v>2329.64</v>
      </c>
      <c r="I219">
        <v>7415.22</v>
      </c>
      <c r="J219">
        <v>33.21</v>
      </c>
      <c r="K219">
        <v>0</v>
      </c>
      <c r="L219">
        <v>0</v>
      </c>
      <c r="M219">
        <v>0</v>
      </c>
    </row>
    <row r="220" spans="1:13">
      <c r="A220">
        <v>3</v>
      </c>
      <c r="B220" t="s">
        <v>257</v>
      </c>
      <c r="C220">
        <v>3</v>
      </c>
      <c r="D220">
        <v>1</v>
      </c>
      <c r="E220">
        <v>0</v>
      </c>
      <c r="F220">
        <v>1</v>
      </c>
      <c r="G220">
        <v>0.95</v>
      </c>
      <c r="H220">
        <v>5101.0200000000004</v>
      </c>
      <c r="I220">
        <v>2838.01</v>
      </c>
      <c r="J220">
        <v>32.08</v>
      </c>
      <c r="K220">
        <v>0</v>
      </c>
      <c r="L220">
        <v>0</v>
      </c>
      <c r="M220">
        <v>0</v>
      </c>
    </row>
    <row r="221" spans="1:13">
      <c r="A221">
        <v>3</v>
      </c>
      <c r="B221" t="s">
        <v>257</v>
      </c>
      <c r="C221">
        <v>3</v>
      </c>
      <c r="D221">
        <v>1</v>
      </c>
      <c r="E221">
        <v>0</v>
      </c>
      <c r="F221">
        <v>2</v>
      </c>
      <c r="G221">
        <v>3.75</v>
      </c>
      <c r="H221">
        <v>6884.75</v>
      </c>
      <c r="I221">
        <v>-168.18</v>
      </c>
      <c r="J221">
        <v>32.08</v>
      </c>
      <c r="K221">
        <v>0</v>
      </c>
      <c r="L221">
        <v>0</v>
      </c>
      <c r="M221">
        <v>0</v>
      </c>
    </row>
    <row r="222" spans="1:13">
      <c r="A222">
        <v>3</v>
      </c>
      <c r="B222" t="s">
        <v>257</v>
      </c>
      <c r="C222">
        <v>3</v>
      </c>
      <c r="D222">
        <v>1</v>
      </c>
      <c r="E222">
        <v>0</v>
      </c>
      <c r="F222">
        <v>3</v>
      </c>
      <c r="G222">
        <v>6.55</v>
      </c>
      <c r="H222">
        <v>2767.6</v>
      </c>
      <c r="I222">
        <v>-2860.1</v>
      </c>
      <c r="J222">
        <v>32.74</v>
      </c>
      <c r="K222">
        <v>0</v>
      </c>
      <c r="L222">
        <v>0</v>
      </c>
      <c r="M222">
        <v>0</v>
      </c>
    </row>
    <row r="223" spans="1:13">
      <c r="A223">
        <v>3</v>
      </c>
      <c r="B223" t="s">
        <v>257</v>
      </c>
      <c r="C223">
        <v>3</v>
      </c>
      <c r="D223">
        <v>0</v>
      </c>
      <c r="E223">
        <v>2</v>
      </c>
      <c r="F223" t="s">
        <v>259</v>
      </c>
      <c r="G223">
        <v>7.5</v>
      </c>
      <c r="H223">
        <v>0</v>
      </c>
      <c r="I223">
        <v>0</v>
      </c>
      <c r="J223">
        <v>0</v>
      </c>
      <c r="K223">
        <v>-1202.21</v>
      </c>
      <c r="L223">
        <v>-7567</v>
      </c>
      <c r="M223">
        <v>-58.41</v>
      </c>
    </row>
    <row r="224" spans="1:13">
      <c r="A224">
        <v>3</v>
      </c>
      <c r="B224" t="s">
        <v>257</v>
      </c>
      <c r="C224">
        <v>4</v>
      </c>
      <c r="D224">
        <v>1</v>
      </c>
      <c r="E224">
        <v>2</v>
      </c>
      <c r="F224" t="s">
        <v>258</v>
      </c>
      <c r="G224">
        <v>0</v>
      </c>
      <c r="H224">
        <v>93.15</v>
      </c>
      <c r="I224">
        <v>2262.9299999999998</v>
      </c>
      <c r="J224">
        <v>-22.53</v>
      </c>
      <c r="K224">
        <v>-834.8</v>
      </c>
      <c r="L224">
        <v>2054.2800000000002</v>
      </c>
      <c r="M224">
        <v>29.04</v>
      </c>
    </row>
    <row r="225" spans="1:13">
      <c r="A225">
        <v>3</v>
      </c>
      <c r="B225" t="s">
        <v>257</v>
      </c>
      <c r="C225">
        <v>4</v>
      </c>
      <c r="D225">
        <v>1</v>
      </c>
      <c r="E225">
        <v>0</v>
      </c>
      <c r="F225">
        <v>1</v>
      </c>
      <c r="G225">
        <v>0.95</v>
      </c>
      <c r="H225">
        <v>2242.94</v>
      </c>
      <c r="I225">
        <v>2262.9299999999998</v>
      </c>
      <c r="J225">
        <v>-22.53</v>
      </c>
      <c r="K225">
        <v>0</v>
      </c>
      <c r="L225">
        <v>0</v>
      </c>
      <c r="M225">
        <v>0</v>
      </c>
    </row>
    <row r="226" spans="1:13">
      <c r="A226">
        <v>3</v>
      </c>
      <c r="B226" t="s">
        <v>257</v>
      </c>
      <c r="C226">
        <v>4</v>
      </c>
      <c r="D226">
        <v>1</v>
      </c>
      <c r="E226">
        <v>0</v>
      </c>
      <c r="F226">
        <v>2</v>
      </c>
      <c r="G226">
        <v>3.7509999999999999</v>
      </c>
      <c r="H226">
        <v>6521.06</v>
      </c>
      <c r="I226">
        <v>22.61</v>
      </c>
      <c r="J226">
        <v>22.91</v>
      </c>
      <c r="K226">
        <v>0</v>
      </c>
      <c r="L226">
        <v>0</v>
      </c>
      <c r="M226">
        <v>0</v>
      </c>
    </row>
    <row r="227" spans="1:13">
      <c r="A227">
        <v>3</v>
      </c>
      <c r="B227" t="s">
        <v>257</v>
      </c>
      <c r="C227">
        <v>4</v>
      </c>
      <c r="D227">
        <v>1</v>
      </c>
      <c r="E227">
        <v>0</v>
      </c>
      <c r="F227">
        <v>3</v>
      </c>
      <c r="G227">
        <v>6.5510000000000002</v>
      </c>
      <c r="H227">
        <v>2442.9</v>
      </c>
      <c r="I227">
        <v>-2342.59</v>
      </c>
      <c r="J227">
        <v>22.91</v>
      </c>
      <c r="K227">
        <v>0</v>
      </c>
      <c r="L227">
        <v>0</v>
      </c>
      <c r="M227">
        <v>0</v>
      </c>
    </row>
    <row r="228" spans="1:13">
      <c r="A228">
        <v>3</v>
      </c>
      <c r="B228" t="s">
        <v>257</v>
      </c>
      <c r="C228">
        <v>4</v>
      </c>
      <c r="D228">
        <v>4</v>
      </c>
      <c r="E228">
        <v>3</v>
      </c>
      <c r="F228" t="s">
        <v>259</v>
      </c>
      <c r="G228">
        <v>7.5</v>
      </c>
      <c r="H228">
        <v>38.729999999999997</v>
      </c>
      <c r="I228">
        <v>-5844.04</v>
      </c>
      <c r="J228">
        <v>23.37</v>
      </c>
      <c r="K228">
        <v>-912.9</v>
      </c>
      <c r="L228">
        <v>-6250.11</v>
      </c>
      <c r="M228">
        <v>-20.260000000000002</v>
      </c>
    </row>
    <row r="229" spans="1:13">
      <c r="A229">
        <v>3</v>
      </c>
      <c r="B229" t="s">
        <v>257</v>
      </c>
      <c r="C229">
        <v>5</v>
      </c>
      <c r="D229">
        <v>0</v>
      </c>
      <c r="E229">
        <v>1</v>
      </c>
      <c r="F229" t="s">
        <v>258</v>
      </c>
      <c r="G229">
        <v>0</v>
      </c>
      <c r="H229">
        <v>0</v>
      </c>
      <c r="I229">
        <v>0</v>
      </c>
      <c r="J229">
        <v>0</v>
      </c>
      <c r="K229">
        <v>-349</v>
      </c>
      <c r="L229">
        <v>594.41999999999996</v>
      </c>
      <c r="M229">
        <v>0</v>
      </c>
    </row>
    <row r="230" spans="1:13">
      <c r="A230">
        <v>3</v>
      </c>
      <c r="B230" t="s">
        <v>257</v>
      </c>
      <c r="C230">
        <v>5</v>
      </c>
      <c r="D230">
        <v>1</v>
      </c>
      <c r="E230">
        <v>0</v>
      </c>
      <c r="F230" t="s">
        <v>259</v>
      </c>
      <c r="G230">
        <v>0.95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</row>
    <row r="231" spans="1:13">
      <c r="A231">
        <v>3</v>
      </c>
      <c r="B231" t="s">
        <v>257</v>
      </c>
      <c r="C231">
        <v>6</v>
      </c>
      <c r="D231">
        <v>2</v>
      </c>
      <c r="E231">
        <v>5</v>
      </c>
      <c r="F231" t="s">
        <v>258</v>
      </c>
      <c r="G231">
        <v>0</v>
      </c>
      <c r="H231">
        <v>1174.8399999999999</v>
      </c>
      <c r="I231">
        <v>-102.48</v>
      </c>
      <c r="J231">
        <v>-9035.4500000000007</v>
      </c>
      <c r="K231">
        <v>-631.66</v>
      </c>
      <c r="L231">
        <v>80.64</v>
      </c>
      <c r="M231">
        <v>-7849.77</v>
      </c>
    </row>
    <row r="232" spans="1:13">
      <c r="A232">
        <v>3</v>
      </c>
      <c r="B232" t="s">
        <v>257</v>
      </c>
      <c r="C232">
        <v>6</v>
      </c>
      <c r="D232">
        <v>2</v>
      </c>
      <c r="E232">
        <v>5</v>
      </c>
      <c r="F232" t="s">
        <v>259</v>
      </c>
      <c r="G232">
        <v>1.5249999999999999</v>
      </c>
      <c r="H232">
        <v>1018.56</v>
      </c>
      <c r="I232">
        <v>-102.48</v>
      </c>
      <c r="J232">
        <v>-9035.4500000000007</v>
      </c>
      <c r="K232">
        <v>-508.69</v>
      </c>
      <c r="L232">
        <v>80.64</v>
      </c>
      <c r="M232">
        <v>-7849.77</v>
      </c>
    </row>
    <row r="233" spans="1:13">
      <c r="A233">
        <v>3</v>
      </c>
      <c r="B233" t="s">
        <v>257</v>
      </c>
      <c r="C233">
        <v>7</v>
      </c>
      <c r="D233">
        <v>2</v>
      </c>
      <c r="E233">
        <v>5</v>
      </c>
      <c r="F233" t="s">
        <v>258</v>
      </c>
      <c r="G233">
        <v>0</v>
      </c>
      <c r="H233">
        <v>1018.56</v>
      </c>
      <c r="I233">
        <v>-102.48</v>
      </c>
      <c r="J233">
        <v>-9035.4500000000007</v>
      </c>
      <c r="K233">
        <v>-508.69</v>
      </c>
      <c r="L233">
        <v>80.64</v>
      </c>
      <c r="M233">
        <v>-7849.77</v>
      </c>
    </row>
    <row r="234" spans="1:13">
      <c r="A234">
        <v>3</v>
      </c>
      <c r="B234" t="s">
        <v>257</v>
      </c>
      <c r="C234">
        <v>7</v>
      </c>
      <c r="D234">
        <v>4</v>
      </c>
      <c r="E234">
        <v>5</v>
      </c>
      <c r="F234" t="s">
        <v>259</v>
      </c>
      <c r="G234">
        <v>17.074999999999999</v>
      </c>
      <c r="H234">
        <v>416.56</v>
      </c>
      <c r="I234">
        <v>-101.01</v>
      </c>
      <c r="J234">
        <v>-11280.23</v>
      </c>
      <c r="K234">
        <v>-1024.3399999999999</v>
      </c>
      <c r="L234">
        <v>80.64</v>
      </c>
      <c r="M234">
        <v>-10846.07</v>
      </c>
    </row>
    <row r="235" spans="1:13">
      <c r="A235">
        <v>3</v>
      </c>
      <c r="B235" t="s">
        <v>257</v>
      </c>
      <c r="C235">
        <v>8</v>
      </c>
      <c r="D235">
        <v>3</v>
      </c>
      <c r="E235">
        <v>2</v>
      </c>
      <c r="F235" t="s">
        <v>258</v>
      </c>
      <c r="G235">
        <v>0</v>
      </c>
      <c r="H235">
        <v>1200.5999999999999</v>
      </c>
      <c r="I235">
        <v>104.9</v>
      </c>
      <c r="J235">
        <v>-9121.93</v>
      </c>
      <c r="K235">
        <v>-412.25</v>
      </c>
      <c r="L235">
        <v>-78.33</v>
      </c>
      <c r="M235">
        <v>-10400.91</v>
      </c>
    </row>
    <row r="236" spans="1:13">
      <c r="A236">
        <v>3</v>
      </c>
      <c r="B236" t="s">
        <v>257</v>
      </c>
      <c r="C236">
        <v>8</v>
      </c>
      <c r="D236">
        <v>4</v>
      </c>
      <c r="E236">
        <v>2</v>
      </c>
      <c r="F236" t="s">
        <v>259</v>
      </c>
      <c r="G236">
        <v>1.5249999999999999</v>
      </c>
      <c r="H236">
        <v>501</v>
      </c>
      <c r="I236">
        <v>-48.63</v>
      </c>
      <c r="J236">
        <v>-10833.37</v>
      </c>
      <c r="K236">
        <v>-463.16</v>
      </c>
      <c r="L236">
        <v>45.2</v>
      </c>
      <c r="M236">
        <v>-10980.88</v>
      </c>
    </row>
    <row r="237" spans="1:13">
      <c r="A237">
        <v>3</v>
      </c>
      <c r="B237" t="s">
        <v>257</v>
      </c>
      <c r="C237">
        <v>9</v>
      </c>
      <c r="D237">
        <v>4</v>
      </c>
      <c r="E237">
        <v>2</v>
      </c>
      <c r="F237" t="s">
        <v>258</v>
      </c>
      <c r="G237">
        <v>0</v>
      </c>
      <c r="H237">
        <v>440.89</v>
      </c>
      <c r="I237">
        <v>-48.63</v>
      </c>
      <c r="J237">
        <v>-10833.37</v>
      </c>
      <c r="K237">
        <v>-380.17</v>
      </c>
      <c r="L237">
        <v>45.2</v>
      </c>
      <c r="M237">
        <v>-10980.88</v>
      </c>
    </row>
    <row r="238" spans="1:13">
      <c r="A238">
        <v>3</v>
      </c>
      <c r="B238" t="s">
        <v>257</v>
      </c>
      <c r="C238">
        <v>9</v>
      </c>
      <c r="D238">
        <v>4</v>
      </c>
      <c r="E238">
        <v>2</v>
      </c>
      <c r="F238" t="s">
        <v>259</v>
      </c>
      <c r="G238">
        <v>17.074999999999999</v>
      </c>
      <c r="H238">
        <v>283.48</v>
      </c>
      <c r="I238">
        <v>-48.63</v>
      </c>
      <c r="J238">
        <v>-13829.67</v>
      </c>
      <c r="K238">
        <v>-537.58000000000004</v>
      </c>
      <c r="L238">
        <v>45.2</v>
      </c>
      <c r="M238">
        <v>-13977.18</v>
      </c>
    </row>
    <row r="239" spans="1:13">
      <c r="A239">
        <v>3</v>
      </c>
      <c r="B239" t="s">
        <v>257</v>
      </c>
      <c r="C239">
        <v>10</v>
      </c>
      <c r="D239">
        <v>4</v>
      </c>
      <c r="E239">
        <v>2</v>
      </c>
      <c r="F239" t="s">
        <v>258</v>
      </c>
      <c r="G239">
        <v>0</v>
      </c>
      <c r="H239">
        <v>198.97</v>
      </c>
      <c r="I239">
        <v>-29.64</v>
      </c>
      <c r="J239">
        <v>-10729.06</v>
      </c>
      <c r="K239">
        <v>-577.52</v>
      </c>
      <c r="L239">
        <v>64.19</v>
      </c>
      <c r="M239">
        <v>-10876.56</v>
      </c>
    </row>
    <row r="240" spans="1:13">
      <c r="A240">
        <v>3</v>
      </c>
      <c r="B240" t="s">
        <v>257</v>
      </c>
      <c r="C240">
        <v>10</v>
      </c>
      <c r="D240">
        <v>3</v>
      </c>
      <c r="E240">
        <v>4</v>
      </c>
      <c r="F240" t="s">
        <v>259</v>
      </c>
      <c r="G240">
        <v>1.5249999999999999</v>
      </c>
      <c r="H240">
        <v>348.54</v>
      </c>
      <c r="I240">
        <v>61.4</v>
      </c>
      <c r="J240">
        <v>-10448.76</v>
      </c>
      <c r="K240">
        <v>-440.36</v>
      </c>
      <c r="L240">
        <v>-29.64</v>
      </c>
      <c r="M240">
        <v>-10729.06</v>
      </c>
    </row>
    <row r="241" spans="1:13">
      <c r="A241">
        <v>3</v>
      </c>
      <c r="B241" t="s">
        <v>257</v>
      </c>
      <c r="C241">
        <v>11</v>
      </c>
      <c r="D241">
        <v>3</v>
      </c>
      <c r="E241">
        <v>2</v>
      </c>
      <c r="F241" t="s">
        <v>258</v>
      </c>
      <c r="G241">
        <v>0</v>
      </c>
      <c r="H241">
        <v>233</v>
      </c>
      <c r="I241">
        <v>-30.2</v>
      </c>
      <c r="J241">
        <v>-9900.64</v>
      </c>
      <c r="K241">
        <v>-731.08</v>
      </c>
      <c r="L241">
        <v>62.95</v>
      </c>
      <c r="M241">
        <v>-9457.57</v>
      </c>
    </row>
    <row r="242" spans="1:13">
      <c r="A242">
        <v>3</v>
      </c>
      <c r="B242" t="s">
        <v>257</v>
      </c>
      <c r="C242">
        <v>11</v>
      </c>
      <c r="D242">
        <v>3</v>
      </c>
      <c r="E242">
        <v>2</v>
      </c>
      <c r="F242" t="s">
        <v>259</v>
      </c>
      <c r="G242">
        <v>17.074999999999999</v>
      </c>
      <c r="H242">
        <v>338.84</v>
      </c>
      <c r="I242">
        <v>-30.2</v>
      </c>
      <c r="J242">
        <v>-12896.94</v>
      </c>
      <c r="K242">
        <v>-483.19</v>
      </c>
      <c r="L242">
        <v>62.95</v>
      </c>
      <c r="M242">
        <v>-12453.87</v>
      </c>
    </row>
    <row r="243" spans="1:13">
      <c r="A243">
        <v>3</v>
      </c>
      <c r="B243" t="s">
        <v>257</v>
      </c>
      <c r="C243">
        <v>12</v>
      </c>
      <c r="D243">
        <v>0</v>
      </c>
      <c r="E243">
        <v>2</v>
      </c>
      <c r="F243" t="s">
        <v>258</v>
      </c>
      <c r="G243">
        <v>0</v>
      </c>
      <c r="H243">
        <v>0</v>
      </c>
      <c r="I243">
        <v>0</v>
      </c>
      <c r="J243">
        <v>0</v>
      </c>
      <c r="K243">
        <v>-952.78</v>
      </c>
      <c r="L243">
        <v>86</v>
      </c>
      <c r="M243">
        <v>-8139.18</v>
      </c>
    </row>
    <row r="244" spans="1:13">
      <c r="A244">
        <v>3</v>
      </c>
      <c r="B244" t="s">
        <v>257</v>
      </c>
      <c r="C244">
        <v>12</v>
      </c>
      <c r="D244">
        <v>0</v>
      </c>
      <c r="E244">
        <v>2</v>
      </c>
      <c r="F244" t="s">
        <v>259</v>
      </c>
      <c r="G244">
        <v>1.5249999999999999</v>
      </c>
      <c r="H244">
        <v>0</v>
      </c>
      <c r="I244">
        <v>0</v>
      </c>
      <c r="J244">
        <v>0</v>
      </c>
      <c r="K244">
        <v>-877.47</v>
      </c>
      <c r="L244">
        <v>86</v>
      </c>
      <c r="M244">
        <v>-8139.18</v>
      </c>
    </row>
    <row r="245" spans="1:13">
      <c r="A245">
        <v>3</v>
      </c>
      <c r="B245" t="s">
        <v>257</v>
      </c>
      <c r="C245">
        <v>13</v>
      </c>
      <c r="D245">
        <v>5</v>
      </c>
      <c r="E245">
        <v>4</v>
      </c>
      <c r="F245" t="s">
        <v>258</v>
      </c>
      <c r="G245">
        <v>0</v>
      </c>
      <c r="H245">
        <v>9.7899999999999991</v>
      </c>
      <c r="I245">
        <v>84.74</v>
      </c>
      <c r="J245">
        <v>-7865.94</v>
      </c>
      <c r="K245">
        <v>-767.45</v>
      </c>
      <c r="L245">
        <v>-6.41</v>
      </c>
      <c r="M245">
        <v>-8518.18</v>
      </c>
    </row>
    <row r="246" spans="1:13">
      <c r="A246">
        <v>3</v>
      </c>
      <c r="B246" t="s">
        <v>257</v>
      </c>
      <c r="C246">
        <v>13</v>
      </c>
      <c r="D246">
        <v>5</v>
      </c>
      <c r="E246">
        <v>4</v>
      </c>
      <c r="F246" t="s">
        <v>259</v>
      </c>
      <c r="G246">
        <v>17.074999999999999</v>
      </c>
      <c r="H246">
        <v>932.77</v>
      </c>
      <c r="I246">
        <v>-50.08</v>
      </c>
      <c r="J246">
        <v>-8675.07</v>
      </c>
      <c r="K246">
        <v>-1.08</v>
      </c>
      <c r="L246">
        <v>43.05</v>
      </c>
      <c r="M246">
        <v>-9465.1</v>
      </c>
    </row>
    <row r="247" spans="1:13">
      <c r="A247">
        <v>3</v>
      </c>
      <c r="B247" t="s">
        <v>260</v>
      </c>
      <c r="C247">
        <v>1</v>
      </c>
      <c r="D247">
        <v>0</v>
      </c>
      <c r="E247">
        <v>1</v>
      </c>
      <c r="F247" t="s">
        <v>258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-22.12</v>
      </c>
      <c r="M247">
        <v>0</v>
      </c>
    </row>
    <row r="248" spans="1:13">
      <c r="A248">
        <v>3</v>
      </c>
      <c r="B248" t="s">
        <v>260</v>
      </c>
      <c r="C248">
        <v>1</v>
      </c>
      <c r="D248">
        <v>0</v>
      </c>
      <c r="E248">
        <v>1</v>
      </c>
      <c r="F248" t="s">
        <v>259</v>
      </c>
      <c r="G248">
        <v>0.95</v>
      </c>
      <c r="H248">
        <v>0</v>
      </c>
      <c r="I248">
        <v>0</v>
      </c>
      <c r="J248">
        <v>0</v>
      </c>
      <c r="K248">
        <v>-236.71</v>
      </c>
      <c r="L248">
        <v>-476.22</v>
      </c>
      <c r="M248">
        <v>0</v>
      </c>
    </row>
    <row r="249" spans="1:13">
      <c r="A249">
        <v>3</v>
      </c>
      <c r="B249" t="s">
        <v>260</v>
      </c>
      <c r="C249">
        <v>2</v>
      </c>
      <c r="D249">
        <v>2</v>
      </c>
      <c r="E249">
        <v>0</v>
      </c>
      <c r="F249" t="s">
        <v>258</v>
      </c>
      <c r="G249">
        <v>0</v>
      </c>
      <c r="H249">
        <v>-1409.04</v>
      </c>
      <c r="I249">
        <v>8555.18</v>
      </c>
      <c r="J249">
        <v>-81.52</v>
      </c>
      <c r="K249">
        <v>0</v>
      </c>
      <c r="L249">
        <v>0</v>
      </c>
      <c r="M249">
        <v>0</v>
      </c>
    </row>
    <row r="250" spans="1:13">
      <c r="A250">
        <v>3</v>
      </c>
      <c r="B250" t="s">
        <v>260</v>
      </c>
      <c r="C250">
        <v>2</v>
      </c>
      <c r="D250">
        <v>2</v>
      </c>
      <c r="E250">
        <v>0</v>
      </c>
      <c r="F250">
        <v>1</v>
      </c>
      <c r="G250">
        <v>0.95</v>
      </c>
      <c r="H250">
        <v>3310.58</v>
      </c>
      <c r="I250">
        <v>4660.54</v>
      </c>
      <c r="J250">
        <v>-81.52</v>
      </c>
      <c r="K250">
        <v>0</v>
      </c>
      <c r="L250">
        <v>0</v>
      </c>
      <c r="M250">
        <v>0</v>
      </c>
    </row>
    <row r="251" spans="1:13">
      <c r="A251">
        <v>3</v>
      </c>
      <c r="B251" t="s">
        <v>260</v>
      </c>
      <c r="C251">
        <v>2</v>
      </c>
      <c r="D251">
        <v>2</v>
      </c>
      <c r="E251">
        <v>0</v>
      </c>
      <c r="F251">
        <v>2</v>
      </c>
      <c r="G251">
        <v>3.7509999999999999</v>
      </c>
      <c r="H251">
        <v>8144.22</v>
      </c>
      <c r="I251">
        <v>1163.95</v>
      </c>
      <c r="J251">
        <v>-81.52</v>
      </c>
      <c r="K251">
        <v>0</v>
      </c>
      <c r="L251">
        <v>0</v>
      </c>
      <c r="M251">
        <v>0</v>
      </c>
    </row>
    <row r="252" spans="1:13">
      <c r="A252">
        <v>3</v>
      </c>
      <c r="B252" t="s">
        <v>260</v>
      </c>
      <c r="C252">
        <v>2</v>
      </c>
      <c r="D252">
        <v>0</v>
      </c>
      <c r="E252">
        <v>2</v>
      </c>
      <c r="F252">
        <v>3</v>
      </c>
      <c r="G252">
        <v>6.5510000000000002</v>
      </c>
      <c r="H252">
        <v>0</v>
      </c>
      <c r="I252">
        <v>0</v>
      </c>
      <c r="J252">
        <v>0</v>
      </c>
      <c r="K252">
        <v>5657.7</v>
      </c>
      <c r="L252">
        <v>-3245.51</v>
      </c>
      <c r="M252">
        <v>56.94</v>
      </c>
    </row>
    <row r="253" spans="1:13">
      <c r="A253">
        <v>3</v>
      </c>
      <c r="B253" t="s">
        <v>260</v>
      </c>
      <c r="C253">
        <v>2</v>
      </c>
      <c r="D253">
        <v>0</v>
      </c>
      <c r="E253">
        <v>2</v>
      </c>
      <c r="F253" t="s">
        <v>259</v>
      </c>
      <c r="G253">
        <v>7.5</v>
      </c>
      <c r="H253">
        <v>0</v>
      </c>
      <c r="I253">
        <v>0</v>
      </c>
      <c r="J253">
        <v>0</v>
      </c>
      <c r="K253">
        <v>2362.42</v>
      </c>
      <c r="L253">
        <v>-3699.13</v>
      </c>
      <c r="M253">
        <v>56.94</v>
      </c>
    </row>
    <row r="254" spans="1:13">
      <c r="A254">
        <v>3</v>
      </c>
      <c r="B254" t="s">
        <v>260</v>
      </c>
      <c r="C254">
        <v>3</v>
      </c>
      <c r="D254">
        <v>2</v>
      </c>
      <c r="E254">
        <v>0</v>
      </c>
      <c r="F254" t="s">
        <v>258</v>
      </c>
      <c r="G254">
        <v>0</v>
      </c>
      <c r="H254">
        <v>1987.69</v>
      </c>
      <c r="I254">
        <v>7454.71</v>
      </c>
      <c r="J254">
        <v>34.39</v>
      </c>
      <c r="K254">
        <v>0</v>
      </c>
      <c r="L254">
        <v>0</v>
      </c>
      <c r="M254">
        <v>0</v>
      </c>
    </row>
    <row r="255" spans="1:13">
      <c r="A255">
        <v>3</v>
      </c>
      <c r="B255" t="s">
        <v>260</v>
      </c>
      <c r="C255">
        <v>3</v>
      </c>
      <c r="D255">
        <v>4</v>
      </c>
      <c r="E255">
        <v>0</v>
      </c>
      <c r="F255">
        <v>1</v>
      </c>
      <c r="G255">
        <v>0.95</v>
      </c>
      <c r="H255">
        <v>4597.8900000000003</v>
      </c>
      <c r="I255">
        <v>2907.92</v>
      </c>
      <c r="J255">
        <v>31.87</v>
      </c>
      <c r="K255">
        <v>0</v>
      </c>
      <c r="L255">
        <v>0</v>
      </c>
      <c r="M255">
        <v>0</v>
      </c>
    </row>
    <row r="256" spans="1:13">
      <c r="A256">
        <v>3</v>
      </c>
      <c r="B256" t="s">
        <v>260</v>
      </c>
      <c r="C256">
        <v>3</v>
      </c>
      <c r="D256">
        <v>0</v>
      </c>
      <c r="E256">
        <v>2</v>
      </c>
      <c r="F256">
        <v>2</v>
      </c>
      <c r="G256">
        <v>3.75</v>
      </c>
      <c r="H256">
        <v>0</v>
      </c>
      <c r="I256">
        <v>0</v>
      </c>
      <c r="J256">
        <v>0</v>
      </c>
      <c r="K256">
        <v>6517.66</v>
      </c>
      <c r="L256">
        <v>-244.22</v>
      </c>
      <c r="M256">
        <v>-58.41</v>
      </c>
    </row>
    <row r="257" spans="1:13">
      <c r="A257">
        <v>3</v>
      </c>
      <c r="B257" t="s">
        <v>260</v>
      </c>
      <c r="C257">
        <v>3</v>
      </c>
      <c r="D257">
        <v>0</v>
      </c>
      <c r="E257">
        <v>2</v>
      </c>
      <c r="F257">
        <v>3</v>
      </c>
      <c r="G257">
        <v>6.55</v>
      </c>
      <c r="H257">
        <v>0</v>
      </c>
      <c r="I257">
        <v>0</v>
      </c>
      <c r="J257">
        <v>0</v>
      </c>
      <c r="K257">
        <v>1904.83</v>
      </c>
      <c r="L257">
        <v>-3154.61</v>
      </c>
      <c r="M257">
        <v>-58.41</v>
      </c>
    </row>
    <row r="258" spans="1:13">
      <c r="A258">
        <v>3</v>
      </c>
      <c r="B258" t="s">
        <v>260</v>
      </c>
      <c r="C258">
        <v>3</v>
      </c>
      <c r="D258">
        <v>0</v>
      </c>
      <c r="E258">
        <v>3</v>
      </c>
      <c r="F258" t="s">
        <v>259</v>
      </c>
      <c r="G258">
        <v>7.5</v>
      </c>
      <c r="H258">
        <v>0</v>
      </c>
      <c r="I258">
        <v>0</v>
      </c>
      <c r="J258">
        <v>0</v>
      </c>
      <c r="K258">
        <v>-904.28</v>
      </c>
      <c r="L258">
        <v>-7652.32</v>
      </c>
      <c r="M258">
        <v>-58.35</v>
      </c>
    </row>
    <row r="259" spans="1:13">
      <c r="A259">
        <v>3</v>
      </c>
      <c r="B259" t="s">
        <v>260</v>
      </c>
      <c r="C259">
        <v>4</v>
      </c>
      <c r="D259">
        <v>3</v>
      </c>
      <c r="E259">
        <v>0</v>
      </c>
      <c r="F259" t="s">
        <v>258</v>
      </c>
      <c r="G259">
        <v>0</v>
      </c>
      <c r="H259">
        <v>-610.28</v>
      </c>
      <c r="I259">
        <v>2396.96</v>
      </c>
      <c r="J259">
        <v>25.21</v>
      </c>
      <c r="K259">
        <v>0</v>
      </c>
      <c r="L259">
        <v>0</v>
      </c>
      <c r="M259">
        <v>0</v>
      </c>
    </row>
    <row r="260" spans="1:13">
      <c r="A260">
        <v>3</v>
      </c>
      <c r="B260" t="s">
        <v>260</v>
      </c>
      <c r="C260">
        <v>4</v>
      </c>
      <c r="D260">
        <v>3</v>
      </c>
      <c r="E260">
        <v>0</v>
      </c>
      <c r="F260">
        <v>1</v>
      </c>
      <c r="G260">
        <v>0.95</v>
      </c>
      <c r="H260">
        <v>1666.83</v>
      </c>
      <c r="I260">
        <v>2396.96</v>
      </c>
      <c r="J260">
        <v>25.21</v>
      </c>
      <c r="K260">
        <v>0</v>
      </c>
      <c r="L260">
        <v>0</v>
      </c>
      <c r="M260">
        <v>0</v>
      </c>
    </row>
    <row r="261" spans="1:13">
      <c r="A261">
        <v>3</v>
      </c>
      <c r="B261" t="s">
        <v>260</v>
      </c>
      <c r="C261">
        <v>4</v>
      </c>
      <c r="D261">
        <v>2</v>
      </c>
      <c r="E261">
        <v>1</v>
      </c>
      <c r="F261">
        <v>2</v>
      </c>
      <c r="G261">
        <v>3.7509999999999999</v>
      </c>
      <c r="H261">
        <v>5025.6499999999996</v>
      </c>
      <c r="I261">
        <v>114.28</v>
      </c>
      <c r="J261">
        <v>29.04</v>
      </c>
      <c r="K261">
        <v>6332.09</v>
      </c>
      <c r="L261">
        <v>-102.27</v>
      </c>
      <c r="M261">
        <v>-22.53</v>
      </c>
    </row>
    <row r="262" spans="1:13">
      <c r="A262">
        <v>3</v>
      </c>
      <c r="B262" t="s">
        <v>260</v>
      </c>
      <c r="C262">
        <v>4</v>
      </c>
      <c r="D262">
        <v>0</v>
      </c>
      <c r="E262">
        <v>1</v>
      </c>
      <c r="F262">
        <v>3</v>
      </c>
      <c r="G262">
        <v>6.5510000000000002</v>
      </c>
      <c r="H262">
        <v>0</v>
      </c>
      <c r="I262">
        <v>0</v>
      </c>
      <c r="J262">
        <v>0</v>
      </c>
      <c r="K262">
        <v>1904.26</v>
      </c>
      <c r="L262">
        <v>-2467.48</v>
      </c>
      <c r="M262">
        <v>-22.53</v>
      </c>
    </row>
    <row r="263" spans="1:13">
      <c r="A263">
        <v>3</v>
      </c>
      <c r="B263" t="s">
        <v>260</v>
      </c>
      <c r="C263">
        <v>4</v>
      </c>
      <c r="D263">
        <v>0</v>
      </c>
      <c r="E263">
        <v>3</v>
      </c>
      <c r="F263" t="s">
        <v>259</v>
      </c>
      <c r="G263">
        <v>7.5</v>
      </c>
      <c r="H263">
        <v>0</v>
      </c>
      <c r="I263">
        <v>0</v>
      </c>
      <c r="J263">
        <v>0</v>
      </c>
      <c r="K263">
        <v>-912.9</v>
      </c>
      <c r="L263">
        <v>-6250.11</v>
      </c>
      <c r="M263">
        <v>-20.260000000000002</v>
      </c>
    </row>
    <row r="264" spans="1:13">
      <c r="A264">
        <v>3</v>
      </c>
      <c r="B264" t="s">
        <v>260</v>
      </c>
      <c r="C264">
        <v>5</v>
      </c>
      <c r="D264">
        <v>1</v>
      </c>
      <c r="E264">
        <v>0</v>
      </c>
      <c r="F264" t="s">
        <v>258</v>
      </c>
      <c r="G264">
        <v>0</v>
      </c>
      <c r="H264">
        <v>-349</v>
      </c>
      <c r="I264">
        <v>594.41999999999996</v>
      </c>
      <c r="J264">
        <v>0</v>
      </c>
      <c r="K264">
        <v>0</v>
      </c>
      <c r="L264">
        <v>0</v>
      </c>
      <c r="M264">
        <v>0</v>
      </c>
    </row>
    <row r="265" spans="1:13">
      <c r="A265">
        <v>3</v>
      </c>
      <c r="B265" t="s">
        <v>260</v>
      </c>
      <c r="C265">
        <v>5</v>
      </c>
      <c r="D265">
        <v>1</v>
      </c>
      <c r="E265">
        <v>1</v>
      </c>
      <c r="F265" t="s">
        <v>259</v>
      </c>
      <c r="G265">
        <v>0.95</v>
      </c>
      <c r="H265">
        <v>0</v>
      </c>
      <c r="I265">
        <v>140.32</v>
      </c>
      <c r="J265">
        <v>0</v>
      </c>
      <c r="K265">
        <v>0</v>
      </c>
      <c r="L265">
        <v>0</v>
      </c>
      <c r="M265">
        <v>0</v>
      </c>
    </row>
    <row r="266" spans="1:13">
      <c r="A266">
        <v>3</v>
      </c>
      <c r="B266" t="s">
        <v>260</v>
      </c>
      <c r="C266">
        <v>6</v>
      </c>
      <c r="D266">
        <v>3</v>
      </c>
      <c r="E266">
        <v>2</v>
      </c>
      <c r="F266" t="s">
        <v>258</v>
      </c>
      <c r="G266">
        <v>0</v>
      </c>
      <c r="H266">
        <v>-620.4</v>
      </c>
      <c r="I266">
        <v>80.75</v>
      </c>
      <c r="J266">
        <v>-7756.47</v>
      </c>
      <c r="K266">
        <v>1174.8399999999999</v>
      </c>
      <c r="L266">
        <v>-102.48</v>
      </c>
      <c r="M266">
        <v>-9035.4500000000007</v>
      </c>
    </row>
    <row r="267" spans="1:13">
      <c r="A267">
        <v>3</v>
      </c>
      <c r="B267" t="s">
        <v>260</v>
      </c>
      <c r="C267">
        <v>6</v>
      </c>
      <c r="D267">
        <v>3</v>
      </c>
      <c r="E267">
        <v>2</v>
      </c>
      <c r="F267" t="s">
        <v>259</v>
      </c>
      <c r="G267">
        <v>1.5249999999999999</v>
      </c>
      <c r="H267">
        <v>-497.26</v>
      </c>
      <c r="I267">
        <v>80.75</v>
      </c>
      <c r="J267">
        <v>-7756.47</v>
      </c>
      <c r="K267">
        <v>1018.56</v>
      </c>
      <c r="L267">
        <v>-102.48</v>
      </c>
      <c r="M267">
        <v>-9035.4500000000007</v>
      </c>
    </row>
    <row r="268" spans="1:13">
      <c r="A268">
        <v>3</v>
      </c>
      <c r="B268" t="s">
        <v>260</v>
      </c>
      <c r="C268">
        <v>7</v>
      </c>
      <c r="D268">
        <v>3</v>
      </c>
      <c r="E268">
        <v>2</v>
      </c>
      <c r="F268" t="s">
        <v>258</v>
      </c>
      <c r="G268">
        <v>0</v>
      </c>
      <c r="H268">
        <v>-497.26</v>
      </c>
      <c r="I268">
        <v>80.75</v>
      </c>
      <c r="J268">
        <v>-7756.47</v>
      </c>
      <c r="K268">
        <v>1018.56</v>
      </c>
      <c r="L268">
        <v>-102.48</v>
      </c>
      <c r="M268">
        <v>-9035.4500000000007</v>
      </c>
    </row>
    <row r="269" spans="1:13">
      <c r="A269">
        <v>3</v>
      </c>
      <c r="B269" t="s">
        <v>260</v>
      </c>
      <c r="C269">
        <v>7</v>
      </c>
      <c r="D269">
        <v>3</v>
      </c>
      <c r="E269">
        <v>2</v>
      </c>
      <c r="F269" t="s">
        <v>259</v>
      </c>
      <c r="G269">
        <v>17.074999999999999</v>
      </c>
      <c r="H269">
        <v>-1012.86</v>
      </c>
      <c r="I269">
        <v>80.75</v>
      </c>
      <c r="J269">
        <v>-10752.77</v>
      </c>
      <c r="K269">
        <v>415.93</v>
      </c>
      <c r="L269">
        <v>-102.48</v>
      </c>
      <c r="M269">
        <v>-12031.75</v>
      </c>
    </row>
    <row r="270" spans="1:13">
      <c r="A270">
        <v>3</v>
      </c>
      <c r="B270" t="s">
        <v>260</v>
      </c>
      <c r="C270">
        <v>8</v>
      </c>
      <c r="D270">
        <v>3</v>
      </c>
      <c r="E270">
        <v>2</v>
      </c>
      <c r="F270" t="s">
        <v>258</v>
      </c>
      <c r="G270">
        <v>0</v>
      </c>
      <c r="H270">
        <v>1200.5999999999999</v>
      </c>
      <c r="I270">
        <v>104.9</v>
      </c>
      <c r="J270">
        <v>-9121.93</v>
      </c>
      <c r="K270">
        <v>-412.25</v>
      </c>
      <c r="L270">
        <v>-78.33</v>
      </c>
      <c r="M270">
        <v>-10400.91</v>
      </c>
    </row>
    <row r="271" spans="1:13">
      <c r="A271">
        <v>3</v>
      </c>
      <c r="B271" t="s">
        <v>260</v>
      </c>
      <c r="C271">
        <v>8</v>
      </c>
      <c r="D271">
        <v>2</v>
      </c>
      <c r="E271">
        <v>4</v>
      </c>
      <c r="F271" t="s">
        <v>259</v>
      </c>
      <c r="G271">
        <v>1.5249999999999999</v>
      </c>
      <c r="H271">
        <v>-463.16</v>
      </c>
      <c r="I271">
        <v>45.2</v>
      </c>
      <c r="J271">
        <v>-10980.88</v>
      </c>
      <c r="K271">
        <v>501</v>
      </c>
      <c r="L271">
        <v>-48.63</v>
      </c>
      <c r="M271">
        <v>-10833.37</v>
      </c>
    </row>
    <row r="272" spans="1:13">
      <c r="A272">
        <v>3</v>
      </c>
      <c r="B272" t="s">
        <v>260</v>
      </c>
      <c r="C272">
        <v>9</v>
      </c>
      <c r="D272">
        <v>2</v>
      </c>
      <c r="E272">
        <v>4</v>
      </c>
      <c r="F272" t="s">
        <v>258</v>
      </c>
      <c r="G272">
        <v>0</v>
      </c>
      <c r="H272">
        <v>-380.17</v>
      </c>
      <c r="I272">
        <v>45.2</v>
      </c>
      <c r="J272">
        <v>-10980.88</v>
      </c>
      <c r="K272">
        <v>440.89</v>
      </c>
      <c r="L272">
        <v>-48.63</v>
      </c>
      <c r="M272">
        <v>-10833.37</v>
      </c>
    </row>
    <row r="273" spans="1:13">
      <c r="A273">
        <v>3</v>
      </c>
      <c r="B273" t="s">
        <v>260</v>
      </c>
      <c r="C273">
        <v>9</v>
      </c>
      <c r="D273">
        <v>2</v>
      </c>
      <c r="E273">
        <v>4</v>
      </c>
      <c r="F273" t="s">
        <v>259</v>
      </c>
      <c r="G273">
        <v>17.074999999999999</v>
      </c>
      <c r="H273">
        <v>-537.58000000000004</v>
      </c>
      <c r="I273">
        <v>45.2</v>
      </c>
      <c r="J273">
        <v>-13977.18</v>
      </c>
      <c r="K273">
        <v>283.48</v>
      </c>
      <c r="L273">
        <v>-48.63</v>
      </c>
      <c r="M273">
        <v>-13829.67</v>
      </c>
    </row>
    <row r="274" spans="1:13">
      <c r="A274">
        <v>3</v>
      </c>
      <c r="B274" t="s">
        <v>260</v>
      </c>
      <c r="C274">
        <v>10</v>
      </c>
      <c r="D274">
        <v>2</v>
      </c>
      <c r="E274">
        <v>4</v>
      </c>
      <c r="F274" t="s">
        <v>258</v>
      </c>
      <c r="G274">
        <v>0</v>
      </c>
      <c r="H274">
        <v>-577.52</v>
      </c>
      <c r="I274">
        <v>64.19</v>
      </c>
      <c r="J274">
        <v>-10876.56</v>
      </c>
      <c r="K274">
        <v>198.97</v>
      </c>
      <c r="L274">
        <v>-29.64</v>
      </c>
      <c r="M274">
        <v>-10729.06</v>
      </c>
    </row>
    <row r="275" spans="1:13">
      <c r="A275">
        <v>3</v>
      </c>
      <c r="B275" t="s">
        <v>260</v>
      </c>
      <c r="C275">
        <v>10</v>
      </c>
      <c r="D275">
        <v>2</v>
      </c>
      <c r="E275">
        <v>4</v>
      </c>
      <c r="F275" t="s">
        <v>259</v>
      </c>
      <c r="G275">
        <v>1.5249999999999999</v>
      </c>
      <c r="H275">
        <v>340.77</v>
      </c>
      <c r="I275">
        <v>64.19</v>
      </c>
      <c r="J275">
        <v>-10876.56</v>
      </c>
      <c r="K275">
        <v>-440.36</v>
      </c>
      <c r="L275">
        <v>-29.64</v>
      </c>
      <c r="M275">
        <v>-10729.06</v>
      </c>
    </row>
    <row r="276" spans="1:13">
      <c r="A276">
        <v>3</v>
      </c>
      <c r="B276" t="s">
        <v>260</v>
      </c>
      <c r="C276">
        <v>11</v>
      </c>
      <c r="D276">
        <v>2</v>
      </c>
      <c r="E276">
        <v>3</v>
      </c>
      <c r="F276" t="s">
        <v>258</v>
      </c>
      <c r="G276">
        <v>0</v>
      </c>
      <c r="H276">
        <v>-731.08</v>
      </c>
      <c r="I276">
        <v>62.95</v>
      </c>
      <c r="J276">
        <v>-9457.57</v>
      </c>
      <c r="K276">
        <v>233</v>
      </c>
      <c r="L276">
        <v>-30.2</v>
      </c>
      <c r="M276">
        <v>-9900.64</v>
      </c>
    </row>
    <row r="277" spans="1:13">
      <c r="A277">
        <v>3</v>
      </c>
      <c r="B277" t="s">
        <v>260</v>
      </c>
      <c r="C277">
        <v>11</v>
      </c>
      <c r="D277">
        <v>2</v>
      </c>
      <c r="E277">
        <v>3</v>
      </c>
      <c r="F277" t="s">
        <v>259</v>
      </c>
      <c r="G277">
        <v>17.074999999999999</v>
      </c>
      <c r="H277">
        <v>-483.19</v>
      </c>
      <c r="I277">
        <v>62.95</v>
      </c>
      <c r="J277">
        <v>-12453.87</v>
      </c>
      <c r="K277">
        <v>338.84</v>
      </c>
      <c r="L277">
        <v>-30.2</v>
      </c>
      <c r="M277">
        <v>-12896.94</v>
      </c>
    </row>
    <row r="278" spans="1:13">
      <c r="A278">
        <v>3</v>
      </c>
      <c r="B278" t="s">
        <v>260</v>
      </c>
      <c r="C278">
        <v>12</v>
      </c>
      <c r="D278">
        <v>2</v>
      </c>
      <c r="E278">
        <v>3</v>
      </c>
      <c r="F278" t="s">
        <v>258</v>
      </c>
      <c r="G278">
        <v>0</v>
      </c>
      <c r="H278">
        <v>-952.78</v>
      </c>
      <c r="I278">
        <v>86</v>
      </c>
      <c r="J278">
        <v>-8139.18</v>
      </c>
      <c r="K278">
        <v>-130.76</v>
      </c>
      <c r="L278">
        <v>-7.15</v>
      </c>
      <c r="M278">
        <v>-8582.25</v>
      </c>
    </row>
    <row r="279" spans="1:13">
      <c r="A279">
        <v>3</v>
      </c>
      <c r="B279" t="s">
        <v>260</v>
      </c>
      <c r="C279">
        <v>12</v>
      </c>
      <c r="D279">
        <v>2</v>
      </c>
      <c r="E279">
        <v>3</v>
      </c>
      <c r="F279" t="s">
        <v>259</v>
      </c>
      <c r="G279">
        <v>1.5249999999999999</v>
      </c>
      <c r="H279">
        <v>-877.47</v>
      </c>
      <c r="I279">
        <v>86</v>
      </c>
      <c r="J279">
        <v>-8139.18</v>
      </c>
      <c r="K279">
        <v>-99.69</v>
      </c>
      <c r="L279">
        <v>-7.15</v>
      </c>
      <c r="M279">
        <v>-8582.25</v>
      </c>
    </row>
    <row r="280" spans="1:13">
      <c r="A280">
        <v>3</v>
      </c>
      <c r="B280" t="s">
        <v>260</v>
      </c>
      <c r="C280">
        <v>13</v>
      </c>
      <c r="D280">
        <v>2</v>
      </c>
      <c r="E280">
        <v>3</v>
      </c>
      <c r="F280" t="s">
        <v>258</v>
      </c>
      <c r="G280">
        <v>0</v>
      </c>
      <c r="H280">
        <v>5.26</v>
      </c>
      <c r="I280">
        <v>86</v>
      </c>
      <c r="J280">
        <v>-8139.18</v>
      </c>
      <c r="K280">
        <v>-763.17</v>
      </c>
      <c r="L280">
        <v>-7.15</v>
      </c>
      <c r="M280">
        <v>-8582.25</v>
      </c>
    </row>
    <row r="281" spans="1:13">
      <c r="A281">
        <v>3</v>
      </c>
      <c r="B281" t="s">
        <v>260</v>
      </c>
      <c r="C281">
        <v>13</v>
      </c>
      <c r="D281">
        <v>4</v>
      </c>
      <c r="E281">
        <v>5</v>
      </c>
      <c r="F281" t="s">
        <v>259</v>
      </c>
      <c r="G281">
        <v>17.074999999999999</v>
      </c>
      <c r="H281">
        <v>-1.08</v>
      </c>
      <c r="I281">
        <v>43.05</v>
      </c>
      <c r="J281">
        <v>-9465.1</v>
      </c>
      <c r="K281">
        <v>932.77</v>
      </c>
      <c r="L281">
        <v>-50.08</v>
      </c>
      <c r="M281">
        <v>-8675.07</v>
      </c>
    </row>
    <row r="282" spans="1:13">
      <c r="A282">
        <v>3</v>
      </c>
      <c r="B282" t="s">
        <v>261</v>
      </c>
      <c r="C282">
        <v>1</v>
      </c>
      <c r="D282">
        <v>0</v>
      </c>
      <c r="E282">
        <v>1</v>
      </c>
      <c r="F282" t="s">
        <v>258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</row>
    <row r="283" spans="1:13">
      <c r="A283">
        <v>3</v>
      </c>
      <c r="B283" t="s">
        <v>261</v>
      </c>
      <c r="C283">
        <v>1</v>
      </c>
      <c r="D283">
        <v>0</v>
      </c>
      <c r="E283">
        <v>1</v>
      </c>
      <c r="F283" t="s">
        <v>259</v>
      </c>
      <c r="G283">
        <v>0.95</v>
      </c>
      <c r="H283">
        <v>0</v>
      </c>
      <c r="I283">
        <v>0</v>
      </c>
      <c r="J283">
        <v>0</v>
      </c>
      <c r="K283">
        <v>-215.7</v>
      </c>
      <c r="L283">
        <v>-454.1</v>
      </c>
      <c r="M283">
        <v>0</v>
      </c>
    </row>
    <row r="284" spans="1:13">
      <c r="A284">
        <v>3</v>
      </c>
      <c r="B284" t="s">
        <v>261</v>
      </c>
      <c r="C284">
        <v>2</v>
      </c>
      <c r="D284">
        <v>1</v>
      </c>
      <c r="E284">
        <v>2</v>
      </c>
      <c r="F284" t="s">
        <v>258</v>
      </c>
      <c r="G284">
        <v>0</v>
      </c>
      <c r="H284">
        <v>114.49</v>
      </c>
      <c r="I284">
        <v>6729.77</v>
      </c>
      <c r="J284">
        <v>62.01</v>
      </c>
      <c r="K284">
        <v>-1006.03</v>
      </c>
      <c r="L284">
        <v>8433.0499999999993</v>
      </c>
      <c r="M284">
        <v>-82.65</v>
      </c>
    </row>
    <row r="285" spans="1:13">
      <c r="A285">
        <v>3</v>
      </c>
      <c r="B285" t="s">
        <v>261</v>
      </c>
      <c r="C285">
        <v>2</v>
      </c>
      <c r="D285">
        <v>1</v>
      </c>
      <c r="E285">
        <v>2</v>
      </c>
      <c r="F285">
        <v>1</v>
      </c>
      <c r="G285">
        <v>0.95</v>
      </c>
      <c r="H285">
        <v>3940.84</v>
      </c>
      <c r="I285">
        <v>3796.13</v>
      </c>
      <c r="J285">
        <v>62.01</v>
      </c>
      <c r="K285">
        <v>3597.56</v>
      </c>
      <c r="L285">
        <v>4538.42</v>
      </c>
      <c r="M285">
        <v>-82.65</v>
      </c>
    </row>
    <row r="286" spans="1:13">
      <c r="A286">
        <v>3</v>
      </c>
      <c r="B286" t="s">
        <v>261</v>
      </c>
      <c r="C286">
        <v>2</v>
      </c>
      <c r="D286">
        <v>1</v>
      </c>
      <c r="E286">
        <v>2</v>
      </c>
      <c r="F286">
        <v>2</v>
      </c>
      <c r="G286">
        <v>3.7509999999999999</v>
      </c>
      <c r="H286">
        <v>7813.69</v>
      </c>
      <c r="I286">
        <v>920.67</v>
      </c>
      <c r="J286">
        <v>62.01</v>
      </c>
      <c r="K286">
        <v>8234.51</v>
      </c>
      <c r="L286">
        <v>1103.67</v>
      </c>
      <c r="M286">
        <v>-82.65</v>
      </c>
    </row>
    <row r="287" spans="1:13">
      <c r="A287">
        <v>3</v>
      </c>
      <c r="B287" t="s">
        <v>261</v>
      </c>
      <c r="C287">
        <v>2</v>
      </c>
      <c r="D287">
        <v>1</v>
      </c>
      <c r="E287">
        <v>2</v>
      </c>
      <c r="F287">
        <v>3</v>
      </c>
      <c r="G287">
        <v>6.5510000000000002</v>
      </c>
      <c r="H287">
        <v>5008.53</v>
      </c>
      <c r="I287">
        <v>-2734.39</v>
      </c>
      <c r="J287">
        <v>62.01</v>
      </c>
      <c r="K287">
        <v>4970.8999999999996</v>
      </c>
      <c r="L287">
        <v>-3139.42</v>
      </c>
      <c r="M287">
        <v>-82.65</v>
      </c>
    </row>
    <row r="288" spans="1:13">
      <c r="A288">
        <v>3</v>
      </c>
      <c r="B288" t="s">
        <v>261</v>
      </c>
      <c r="C288">
        <v>2</v>
      </c>
      <c r="D288">
        <v>1</v>
      </c>
      <c r="E288">
        <v>2</v>
      </c>
      <c r="F288" t="s">
        <v>259</v>
      </c>
      <c r="G288">
        <v>7.5</v>
      </c>
      <c r="H288">
        <v>2198.2600000000002</v>
      </c>
      <c r="I288">
        <v>-3188.01</v>
      </c>
      <c r="J288">
        <v>62.01</v>
      </c>
      <c r="K288">
        <v>1776.4</v>
      </c>
      <c r="L288">
        <v>-3593.04</v>
      </c>
      <c r="M288">
        <v>-82.65</v>
      </c>
    </row>
    <row r="289" spans="1:13">
      <c r="A289">
        <v>3</v>
      </c>
      <c r="B289" t="s">
        <v>261</v>
      </c>
      <c r="C289">
        <v>3</v>
      </c>
      <c r="D289">
        <v>5</v>
      </c>
      <c r="E289">
        <v>4</v>
      </c>
      <c r="F289" t="s">
        <v>258</v>
      </c>
      <c r="G289">
        <v>0</v>
      </c>
      <c r="H289">
        <v>1975.92</v>
      </c>
      <c r="I289">
        <v>7015.55</v>
      </c>
      <c r="J289">
        <v>35.72</v>
      </c>
      <c r="K289">
        <v>1960.34</v>
      </c>
      <c r="L289">
        <v>7357.23</v>
      </c>
      <c r="M289">
        <v>-60.92</v>
      </c>
    </row>
    <row r="290" spans="1:13">
      <c r="A290">
        <v>3</v>
      </c>
      <c r="B290" t="s">
        <v>261</v>
      </c>
      <c r="C290">
        <v>3</v>
      </c>
      <c r="D290">
        <v>5</v>
      </c>
      <c r="E290">
        <v>4</v>
      </c>
      <c r="F290">
        <v>1</v>
      </c>
      <c r="G290">
        <v>0.95</v>
      </c>
      <c r="H290">
        <v>4692.96</v>
      </c>
      <c r="I290">
        <v>2747.74</v>
      </c>
      <c r="J290">
        <v>35.72</v>
      </c>
      <c r="K290">
        <v>4775.97</v>
      </c>
      <c r="L290">
        <v>2845.08</v>
      </c>
      <c r="M290">
        <v>-60.92</v>
      </c>
    </row>
    <row r="291" spans="1:13">
      <c r="A291">
        <v>3</v>
      </c>
      <c r="B291" t="s">
        <v>261</v>
      </c>
      <c r="C291">
        <v>3</v>
      </c>
      <c r="D291">
        <v>5</v>
      </c>
      <c r="E291">
        <v>4</v>
      </c>
      <c r="F291">
        <v>2</v>
      </c>
      <c r="G291">
        <v>3.75</v>
      </c>
      <c r="H291">
        <v>6547.73</v>
      </c>
      <c r="I291">
        <v>-100.5</v>
      </c>
      <c r="J291">
        <v>35.72</v>
      </c>
      <c r="K291">
        <v>6601.85</v>
      </c>
      <c r="L291">
        <v>-150.21</v>
      </c>
      <c r="M291">
        <v>-60.92</v>
      </c>
    </row>
    <row r="292" spans="1:13">
      <c r="A292">
        <v>3</v>
      </c>
      <c r="B292" t="s">
        <v>261</v>
      </c>
      <c r="C292">
        <v>3</v>
      </c>
      <c r="D292">
        <v>5</v>
      </c>
      <c r="E292">
        <v>4</v>
      </c>
      <c r="F292">
        <v>3</v>
      </c>
      <c r="G292">
        <v>6.55</v>
      </c>
      <c r="H292">
        <v>2447.06</v>
      </c>
      <c r="I292">
        <v>-2929.59</v>
      </c>
      <c r="J292">
        <v>35.72</v>
      </c>
      <c r="K292">
        <v>2252.23</v>
      </c>
      <c r="L292">
        <v>-3060.6</v>
      </c>
      <c r="M292">
        <v>-60.92</v>
      </c>
    </row>
    <row r="293" spans="1:13">
      <c r="A293">
        <v>3</v>
      </c>
      <c r="B293" t="s">
        <v>261</v>
      </c>
      <c r="C293">
        <v>3</v>
      </c>
      <c r="D293">
        <v>5</v>
      </c>
      <c r="E293">
        <v>4</v>
      </c>
      <c r="F293" t="s">
        <v>259</v>
      </c>
      <c r="G293">
        <v>7.5</v>
      </c>
      <c r="H293">
        <v>-442.02</v>
      </c>
      <c r="I293">
        <v>-7174.64</v>
      </c>
      <c r="J293">
        <v>35.72</v>
      </c>
      <c r="K293">
        <v>-768.67</v>
      </c>
      <c r="L293">
        <v>-7599.85</v>
      </c>
      <c r="M293">
        <v>-60.92</v>
      </c>
    </row>
    <row r="294" spans="1:13">
      <c r="A294">
        <v>3</v>
      </c>
      <c r="B294" t="s">
        <v>261</v>
      </c>
      <c r="C294">
        <v>4</v>
      </c>
      <c r="D294">
        <v>1</v>
      </c>
      <c r="E294">
        <v>1</v>
      </c>
      <c r="F294" t="s">
        <v>258</v>
      </c>
      <c r="G294">
        <v>0</v>
      </c>
      <c r="H294">
        <v>-615.77</v>
      </c>
      <c r="I294">
        <v>2011.76</v>
      </c>
      <c r="J294">
        <v>29.34</v>
      </c>
      <c r="K294">
        <v>93.15</v>
      </c>
      <c r="L294">
        <v>2262.9299999999998</v>
      </c>
      <c r="M294">
        <v>-22.53</v>
      </c>
    </row>
    <row r="295" spans="1:13">
      <c r="A295">
        <v>3</v>
      </c>
      <c r="B295" t="s">
        <v>261</v>
      </c>
      <c r="C295">
        <v>4</v>
      </c>
      <c r="D295">
        <v>1</v>
      </c>
      <c r="E295">
        <v>1</v>
      </c>
      <c r="F295">
        <v>1</v>
      </c>
      <c r="G295">
        <v>0.95</v>
      </c>
      <c r="H295">
        <v>1295.4000000000001</v>
      </c>
      <c r="I295">
        <v>2011.76</v>
      </c>
      <c r="J295">
        <v>29.34</v>
      </c>
      <c r="K295">
        <v>2242.94</v>
      </c>
      <c r="L295">
        <v>2262.9299999999998</v>
      </c>
      <c r="M295">
        <v>-22.53</v>
      </c>
    </row>
    <row r="296" spans="1:13">
      <c r="A296">
        <v>3</v>
      </c>
      <c r="B296" t="s">
        <v>261</v>
      </c>
      <c r="C296">
        <v>4</v>
      </c>
      <c r="D296">
        <v>1</v>
      </c>
      <c r="E296">
        <v>1</v>
      </c>
      <c r="F296">
        <v>2</v>
      </c>
      <c r="G296">
        <v>3.7509999999999999</v>
      </c>
      <c r="H296">
        <v>5085.21</v>
      </c>
      <c r="I296">
        <v>71.760000000000005</v>
      </c>
      <c r="J296">
        <v>29.34</v>
      </c>
      <c r="K296">
        <v>6332.09</v>
      </c>
      <c r="L296">
        <v>-102.27</v>
      </c>
      <c r="M296">
        <v>-22.53</v>
      </c>
    </row>
    <row r="297" spans="1:13">
      <c r="A297">
        <v>3</v>
      </c>
      <c r="B297" t="s">
        <v>261</v>
      </c>
      <c r="C297">
        <v>4</v>
      </c>
      <c r="D297">
        <v>1</v>
      </c>
      <c r="E297">
        <v>1</v>
      </c>
      <c r="F297">
        <v>3</v>
      </c>
      <c r="G297">
        <v>6.5510000000000002</v>
      </c>
      <c r="H297">
        <v>1889.19</v>
      </c>
      <c r="I297">
        <v>-1868.24</v>
      </c>
      <c r="J297">
        <v>29.34</v>
      </c>
      <c r="K297">
        <v>1904.26</v>
      </c>
      <c r="L297">
        <v>-2467.48</v>
      </c>
      <c r="M297">
        <v>-22.53</v>
      </c>
    </row>
    <row r="298" spans="1:13">
      <c r="A298">
        <v>3</v>
      </c>
      <c r="B298" t="s">
        <v>261</v>
      </c>
      <c r="C298">
        <v>4</v>
      </c>
      <c r="D298">
        <v>1</v>
      </c>
      <c r="E298">
        <v>1</v>
      </c>
      <c r="F298" t="s">
        <v>259</v>
      </c>
      <c r="G298">
        <v>7.5</v>
      </c>
      <c r="H298">
        <v>-128.6</v>
      </c>
      <c r="I298">
        <v>-5153.01</v>
      </c>
      <c r="J298">
        <v>29.34</v>
      </c>
      <c r="K298">
        <v>-714.55</v>
      </c>
      <c r="L298">
        <v>-6181.28</v>
      </c>
      <c r="M298">
        <v>-22.53</v>
      </c>
    </row>
    <row r="299" spans="1:13">
      <c r="A299">
        <v>3</v>
      </c>
      <c r="B299" t="s">
        <v>261</v>
      </c>
      <c r="C299">
        <v>5</v>
      </c>
      <c r="D299">
        <v>1</v>
      </c>
      <c r="E299">
        <v>1</v>
      </c>
      <c r="F299" t="s">
        <v>258</v>
      </c>
      <c r="G299">
        <v>0</v>
      </c>
      <c r="H299">
        <v>-215.7</v>
      </c>
      <c r="I299">
        <v>454.1</v>
      </c>
      <c r="J299">
        <v>0</v>
      </c>
      <c r="K299">
        <v>-215.7</v>
      </c>
      <c r="L299">
        <v>454.1</v>
      </c>
      <c r="M299">
        <v>0</v>
      </c>
    </row>
    <row r="300" spans="1:13">
      <c r="A300">
        <v>3</v>
      </c>
      <c r="B300" t="s">
        <v>261</v>
      </c>
      <c r="C300">
        <v>5</v>
      </c>
      <c r="D300">
        <v>1</v>
      </c>
      <c r="E300">
        <v>1</v>
      </c>
      <c r="F300" t="s">
        <v>259</v>
      </c>
      <c r="G300">
        <v>0.95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</row>
    <row r="301" spans="1:13">
      <c r="A301">
        <v>3</v>
      </c>
      <c r="B301" t="s">
        <v>261</v>
      </c>
      <c r="C301">
        <v>6</v>
      </c>
      <c r="D301">
        <v>0</v>
      </c>
      <c r="E301">
        <v>2</v>
      </c>
      <c r="F301" t="s">
        <v>258</v>
      </c>
      <c r="G301">
        <v>0</v>
      </c>
      <c r="H301">
        <v>0</v>
      </c>
      <c r="I301">
        <v>0</v>
      </c>
      <c r="J301">
        <v>0</v>
      </c>
      <c r="K301">
        <v>1174.8399999999999</v>
      </c>
      <c r="L301">
        <v>-102.48</v>
      </c>
      <c r="M301">
        <v>-9035.4500000000007</v>
      </c>
    </row>
    <row r="302" spans="1:13">
      <c r="A302">
        <v>3</v>
      </c>
      <c r="B302" t="s">
        <v>261</v>
      </c>
      <c r="C302">
        <v>6</v>
      </c>
      <c r="D302">
        <v>0</v>
      </c>
      <c r="E302">
        <v>2</v>
      </c>
      <c r="F302" t="s">
        <v>259</v>
      </c>
      <c r="G302">
        <v>1.5249999999999999</v>
      </c>
      <c r="H302">
        <v>0</v>
      </c>
      <c r="I302">
        <v>0</v>
      </c>
      <c r="J302">
        <v>0</v>
      </c>
      <c r="K302">
        <v>1018.56</v>
      </c>
      <c r="L302">
        <v>-102.48</v>
      </c>
      <c r="M302">
        <v>-9035.4500000000007</v>
      </c>
    </row>
    <row r="303" spans="1:13">
      <c r="A303">
        <v>3</v>
      </c>
      <c r="B303" t="s">
        <v>261</v>
      </c>
      <c r="C303">
        <v>7</v>
      </c>
      <c r="D303">
        <v>0</v>
      </c>
      <c r="E303">
        <v>2</v>
      </c>
      <c r="F303" t="s">
        <v>258</v>
      </c>
      <c r="G303">
        <v>0</v>
      </c>
      <c r="H303">
        <v>0</v>
      </c>
      <c r="I303">
        <v>0</v>
      </c>
      <c r="J303">
        <v>0</v>
      </c>
      <c r="K303">
        <v>1018.56</v>
      </c>
      <c r="L303">
        <v>-102.48</v>
      </c>
      <c r="M303">
        <v>-9035.4500000000007</v>
      </c>
    </row>
    <row r="304" spans="1:13">
      <c r="A304">
        <v>3</v>
      </c>
      <c r="B304" t="s">
        <v>261</v>
      </c>
      <c r="C304">
        <v>7</v>
      </c>
      <c r="D304">
        <v>0</v>
      </c>
      <c r="E304">
        <v>2</v>
      </c>
      <c r="F304" t="s">
        <v>259</v>
      </c>
      <c r="G304">
        <v>17.074999999999999</v>
      </c>
      <c r="H304">
        <v>0</v>
      </c>
      <c r="I304">
        <v>0</v>
      </c>
      <c r="J304">
        <v>0</v>
      </c>
      <c r="K304">
        <v>415.93</v>
      </c>
      <c r="L304">
        <v>-102.48</v>
      </c>
      <c r="M304">
        <v>-12031.75</v>
      </c>
    </row>
    <row r="305" spans="1:13">
      <c r="A305">
        <v>3</v>
      </c>
      <c r="B305" t="s">
        <v>261</v>
      </c>
      <c r="C305">
        <v>8</v>
      </c>
      <c r="D305">
        <v>0</v>
      </c>
      <c r="E305">
        <v>2</v>
      </c>
      <c r="F305" t="s">
        <v>258</v>
      </c>
      <c r="G305">
        <v>0</v>
      </c>
      <c r="H305">
        <v>0</v>
      </c>
      <c r="I305">
        <v>0</v>
      </c>
      <c r="J305">
        <v>0</v>
      </c>
      <c r="K305">
        <v>-412.25</v>
      </c>
      <c r="L305">
        <v>-78.33</v>
      </c>
      <c r="M305">
        <v>-10400.91</v>
      </c>
    </row>
    <row r="306" spans="1:13">
      <c r="A306">
        <v>3</v>
      </c>
      <c r="B306" t="s">
        <v>261</v>
      </c>
      <c r="C306">
        <v>8</v>
      </c>
      <c r="D306">
        <v>0</v>
      </c>
      <c r="E306">
        <v>2</v>
      </c>
      <c r="F306" t="s">
        <v>259</v>
      </c>
      <c r="G306">
        <v>1.5249999999999999</v>
      </c>
      <c r="H306">
        <v>0</v>
      </c>
      <c r="I306">
        <v>0</v>
      </c>
      <c r="J306">
        <v>0</v>
      </c>
      <c r="K306">
        <v>435.25</v>
      </c>
      <c r="L306">
        <v>-44.65</v>
      </c>
      <c r="M306">
        <v>-11119.31</v>
      </c>
    </row>
    <row r="307" spans="1:13">
      <c r="A307">
        <v>3</v>
      </c>
      <c r="B307" t="s">
        <v>261</v>
      </c>
      <c r="C307">
        <v>9</v>
      </c>
      <c r="D307">
        <v>0</v>
      </c>
      <c r="E307">
        <v>2</v>
      </c>
      <c r="F307" t="s">
        <v>258</v>
      </c>
      <c r="G307">
        <v>0</v>
      </c>
      <c r="H307">
        <v>0</v>
      </c>
      <c r="I307">
        <v>0</v>
      </c>
      <c r="J307">
        <v>0</v>
      </c>
      <c r="K307">
        <v>381.22</v>
      </c>
      <c r="L307">
        <v>-44.65</v>
      </c>
      <c r="M307">
        <v>-11119.31</v>
      </c>
    </row>
    <row r="308" spans="1:13">
      <c r="A308">
        <v>3</v>
      </c>
      <c r="B308" t="s">
        <v>261</v>
      </c>
      <c r="C308">
        <v>9</v>
      </c>
      <c r="D308">
        <v>0</v>
      </c>
      <c r="E308">
        <v>2</v>
      </c>
      <c r="F308" t="s">
        <v>259</v>
      </c>
      <c r="G308">
        <v>17.074999999999999</v>
      </c>
      <c r="H308">
        <v>0</v>
      </c>
      <c r="I308">
        <v>0</v>
      </c>
      <c r="J308">
        <v>0</v>
      </c>
      <c r="K308">
        <v>223.81</v>
      </c>
      <c r="L308">
        <v>-44.65</v>
      </c>
      <c r="M308">
        <v>-14115.61</v>
      </c>
    </row>
    <row r="309" spans="1:13">
      <c r="A309">
        <v>3</v>
      </c>
      <c r="B309" t="s">
        <v>261</v>
      </c>
      <c r="C309">
        <v>10</v>
      </c>
      <c r="D309">
        <v>0</v>
      </c>
      <c r="E309">
        <v>2</v>
      </c>
      <c r="F309" t="s">
        <v>258</v>
      </c>
      <c r="G309">
        <v>0</v>
      </c>
      <c r="H309">
        <v>0</v>
      </c>
      <c r="I309">
        <v>0</v>
      </c>
      <c r="J309">
        <v>0</v>
      </c>
      <c r="K309">
        <v>141.19</v>
      </c>
      <c r="L309">
        <v>-25.66</v>
      </c>
      <c r="M309">
        <v>-11015</v>
      </c>
    </row>
    <row r="310" spans="1:13">
      <c r="A310">
        <v>3</v>
      </c>
      <c r="B310" t="s">
        <v>261</v>
      </c>
      <c r="C310">
        <v>10</v>
      </c>
      <c r="D310">
        <v>0</v>
      </c>
      <c r="E310">
        <v>2</v>
      </c>
      <c r="F310" t="s">
        <v>259</v>
      </c>
      <c r="G310">
        <v>1.5249999999999999</v>
      </c>
      <c r="H310">
        <v>0</v>
      </c>
      <c r="I310">
        <v>0</v>
      </c>
      <c r="J310">
        <v>0</v>
      </c>
      <c r="K310">
        <v>-432.03</v>
      </c>
      <c r="L310">
        <v>-25.66</v>
      </c>
      <c r="M310">
        <v>-11015</v>
      </c>
    </row>
    <row r="311" spans="1:13">
      <c r="A311">
        <v>3</v>
      </c>
      <c r="B311" t="s">
        <v>261</v>
      </c>
      <c r="C311">
        <v>11</v>
      </c>
      <c r="D311">
        <v>0</v>
      </c>
      <c r="E311">
        <v>3</v>
      </c>
      <c r="F311" t="s">
        <v>258</v>
      </c>
      <c r="G311">
        <v>0</v>
      </c>
      <c r="H311">
        <v>0</v>
      </c>
      <c r="I311">
        <v>0</v>
      </c>
      <c r="J311">
        <v>0</v>
      </c>
      <c r="K311">
        <v>-198.33</v>
      </c>
      <c r="L311">
        <v>12.86</v>
      </c>
      <c r="M311">
        <v>-9947.83</v>
      </c>
    </row>
    <row r="312" spans="1:13">
      <c r="A312">
        <v>3</v>
      </c>
      <c r="B312" t="s">
        <v>261</v>
      </c>
      <c r="C312">
        <v>11</v>
      </c>
      <c r="D312">
        <v>0</v>
      </c>
      <c r="E312">
        <v>3</v>
      </c>
      <c r="F312" t="s">
        <v>259</v>
      </c>
      <c r="G312">
        <v>17.074999999999999</v>
      </c>
      <c r="H312">
        <v>0</v>
      </c>
      <c r="I312">
        <v>0</v>
      </c>
      <c r="J312">
        <v>0</v>
      </c>
      <c r="K312">
        <v>-26.82</v>
      </c>
      <c r="L312">
        <v>12.86</v>
      </c>
      <c r="M312">
        <v>-12944.13</v>
      </c>
    </row>
    <row r="313" spans="1:13">
      <c r="A313">
        <v>3</v>
      </c>
      <c r="B313" t="s">
        <v>261</v>
      </c>
      <c r="C313">
        <v>12</v>
      </c>
      <c r="D313">
        <v>0</v>
      </c>
      <c r="E313">
        <v>3</v>
      </c>
      <c r="F313" t="s">
        <v>258</v>
      </c>
      <c r="G313">
        <v>0</v>
      </c>
      <c r="H313">
        <v>0</v>
      </c>
      <c r="I313">
        <v>0</v>
      </c>
      <c r="J313">
        <v>0</v>
      </c>
      <c r="K313">
        <v>-496.42</v>
      </c>
      <c r="L313">
        <v>35.909999999999997</v>
      </c>
      <c r="M313">
        <v>-8629.44</v>
      </c>
    </row>
    <row r="314" spans="1:13">
      <c r="A314">
        <v>3</v>
      </c>
      <c r="B314" t="s">
        <v>261</v>
      </c>
      <c r="C314">
        <v>12</v>
      </c>
      <c r="D314">
        <v>0</v>
      </c>
      <c r="E314">
        <v>3</v>
      </c>
      <c r="F314" t="s">
        <v>259</v>
      </c>
      <c r="G314">
        <v>1.5249999999999999</v>
      </c>
      <c r="H314">
        <v>0</v>
      </c>
      <c r="I314">
        <v>0</v>
      </c>
      <c r="J314">
        <v>0</v>
      </c>
      <c r="K314">
        <v>-444.9</v>
      </c>
      <c r="L314">
        <v>35.909999999999997</v>
      </c>
      <c r="M314">
        <v>-8629.44</v>
      </c>
    </row>
    <row r="315" spans="1:13">
      <c r="A315">
        <v>3</v>
      </c>
      <c r="B315" t="s">
        <v>261</v>
      </c>
      <c r="C315">
        <v>13</v>
      </c>
      <c r="D315">
        <v>0</v>
      </c>
      <c r="E315">
        <v>3</v>
      </c>
      <c r="F315" t="s">
        <v>258</v>
      </c>
      <c r="G315">
        <v>0</v>
      </c>
      <c r="H315">
        <v>0</v>
      </c>
      <c r="I315">
        <v>0</v>
      </c>
      <c r="J315">
        <v>0</v>
      </c>
      <c r="K315">
        <v>-393.64</v>
      </c>
      <c r="L315">
        <v>35.909999999999997</v>
      </c>
      <c r="M315">
        <v>-8629.44</v>
      </c>
    </row>
    <row r="316" spans="1:13">
      <c r="A316">
        <v>3</v>
      </c>
      <c r="B316" t="s">
        <v>261</v>
      </c>
      <c r="C316">
        <v>13</v>
      </c>
      <c r="D316">
        <v>0</v>
      </c>
      <c r="E316">
        <v>3</v>
      </c>
      <c r="F316" t="s">
        <v>259</v>
      </c>
      <c r="G316">
        <v>17.074999999999999</v>
      </c>
      <c r="H316">
        <v>0</v>
      </c>
      <c r="I316">
        <v>0</v>
      </c>
      <c r="J316">
        <v>0</v>
      </c>
      <c r="K316">
        <v>30.61</v>
      </c>
      <c r="L316">
        <v>41.22</v>
      </c>
      <c r="M316">
        <v>-9830.74</v>
      </c>
    </row>
    <row r="317" spans="1:13">
      <c r="A317">
        <v>4</v>
      </c>
      <c r="B317" t="s">
        <v>257</v>
      </c>
      <c r="C317">
        <v>1</v>
      </c>
      <c r="D317">
        <v>0</v>
      </c>
      <c r="E317">
        <v>4</v>
      </c>
      <c r="F317" t="s">
        <v>258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</row>
    <row r="318" spans="1:13">
      <c r="A318">
        <v>4</v>
      </c>
      <c r="B318" t="s">
        <v>257</v>
      </c>
      <c r="C318">
        <v>1</v>
      </c>
      <c r="D318">
        <v>0</v>
      </c>
      <c r="E318">
        <v>1</v>
      </c>
      <c r="F318" t="s">
        <v>259</v>
      </c>
      <c r="G318">
        <v>0.95</v>
      </c>
      <c r="H318">
        <v>0</v>
      </c>
      <c r="I318">
        <v>0</v>
      </c>
      <c r="J318">
        <v>0</v>
      </c>
      <c r="K318">
        <v>-240.92</v>
      </c>
      <c r="L318">
        <v>-480.65</v>
      </c>
      <c r="M318">
        <v>0</v>
      </c>
    </row>
    <row r="319" spans="1:13">
      <c r="A319">
        <v>4</v>
      </c>
      <c r="B319" t="s">
        <v>257</v>
      </c>
      <c r="C319">
        <v>2</v>
      </c>
      <c r="D319">
        <v>4</v>
      </c>
      <c r="E319">
        <v>2</v>
      </c>
      <c r="F319" t="s">
        <v>258</v>
      </c>
      <c r="G319">
        <v>0</v>
      </c>
      <c r="H319">
        <v>1998.34</v>
      </c>
      <c r="I319">
        <v>7387.19</v>
      </c>
      <c r="J319">
        <v>53.17</v>
      </c>
      <c r="K319">
        <v>-3056.13</v>
      </c>
      <c r="L319">
        <v>9421.39</v>
      </c>
      <c r="M319">
        <v>-79.86</v>
      </c>
    </row>
    <row r="320" spans="1:13">
      <c r="A320">
        <v>4</v>
      </c>
      <c r="B320" t="s">
        <v>257</v>
      </c>
      <c r="C320">
        <v>2</v>
      </c>
      <c r="D320">
        <v>2</v>
      </c>
      <c r="E320">
        <v>0</v>
      </c>
      <c r="F320">
        <v>1</v>
      </c>
      <c r="G320">
        <v>0.95</v>
      </c>
      <c r="H320">
        <v>6238.94</v>
      </c>
      <c r="I320">
        <v>4167.12</v>
      </c>
      <c r="J320">
        <v>51.43</v>
      </c>
      <c r="K320">
        <v>0</v>
      </c>
      <c r="L320">
        <v>0</v>
      </c>
      <c r="M320">
        <v>0</v>
      </c>
    </row>
    <row r="321" spans="1:13">
      <c r="A321">
        <v>4</v>
      </c>
      <c r="B321" t="s">
        <v>257</v>
      </c>
      <c r="C321">
        <v>2</v>
      </c>
      <c r="D321">
        <v>2</v>
      </c>
      <c r="E321">
        <v>0</v>
      </c>
      <c r="F321">
        <v>2</v>
      </c>
      <c r="G321">
        <v>3.7509999999999999</v>
      </c>
      <c r="H321">
        <v>9932.98</v>
      </c>
      <c r="I321">
        <v>773.62</v>
      </c>
      <c r="J321">
        <v>51.43</v>
      </c>
      <c r="K321">
        <v>0</v>
      </c>
      <c r="L321">
        <v>0</v>
      </c>
      <c r="M321">
        <v>0</v>
      </c>
    </row>
    <row r="322" spans="1:13">
      <c r="A322">
        <v>4</v>
      </c>
      <c r="B322" t="s">
        <v>257</v>
      </c>
      <c r="C322">
        <v>2</v>
      </c>
      <c r="D322">
        <v>2</v>
      </c>
      <c r="E322">
        <v>0</v>
      </c>
      <c r="F322">
        <v>3</v>
      </c>
      <c r="G322">
        <v>6.5510000000000002</v>
      </c>
      <c r="H322">
        <v>5995.58</v>
      </c>
      <c r="I322">
        <v>-3169.63</v>
      </c>
      <c r="J322">
        <v>59.74</v>
      </c>
      <c r="K322">
        <v>0</v>
      </c>
      <c r="L322">
        <v>0</v>
      </c>
      <c r="M322">
        <v>0</v>
      </c>
    </row>
    <row r="323" spans="1:13">
      <c r="A323">
        <v>4</v>
      </c>
      <c r="B323" t="s">
        <v>257</v>
      </c>
      <c r="C323">
        <v>2</v>
      </c>
      <c r="D323">
        <v>1</v>
      </c>
      <c r="E323">
        <v>0</v>
      </c>
      <c r="F323" t="s">
        <v>259</v>
      </c>
      <c r="G323">
        <v>7.5</v>
      </c>
      <c r="H323">
        <v>2838.62</v>
      </c>
      <c r="I323">
        <v>-3338.78</v>
      </c>
      <c r="J323">
        <v>60.3</v>
      </c>
      <c r="K323">
        <v>0</v>
      </c>
      <c r="L323">
        <v>0</v>
      </c>
      <c r="M323">
        <v>0</v>
      </c>
    </row>
    <row r="324" spans="1:13">
      <c r="A324">
        <v>4</v>
      </c>
      <c r="B324" t="s">
        <v>257</v>
      </c>
      <c r="C324">
        <v>3</v>
      </c>
      <c r="D324">
        <v>2</v>
      </c>
      <c r="E324">
        <v>0</v>
      </c>
      <c r="F324" t="s">
        <v>258</v>
      </c>
      <c r="G324">
        <v>0</v>
      </c>
      <c r="H324">
        <v>3672.85</v>
      </c>
      <c r="I324">
        <v>7436.51</v>
      </c>
      <c r="J324">
        <v>28.97</v>
      </c>
      <c r="K324">
        <v>0</v>
      </c>
      <c r="L324">
        <v>0</v>
      </c>
      <c r="M324">
        <v>0</v>
      </c>
    </row>
    <row r="325" spans="1:13">
      <c r="A325">
        <v>4</v>
      </c>
      <c r="B325" t="s">
        <v>257</v>
      </c>
      <c r="C325">
        <v>3</v>
      </c>
      <c r="D325">
        <v>2</v>
      </c>
      <c r="E325">
        <v>0</v>
      </c>
      <c r="F325">
        <v>1</v>
      </c>
      <c r="G325">
        <v>0.95</v>
      </c>
      <c r="H325">
        <v>6283.2</v>
      </c>
      <c r="I325">
        <v>2621.02</v>
      </c>
      <c r="J325">
        <v>28.97</v>
      </c>
      <c r="K325">
        <v>0</v>
      </c>
      <c r="L325">
        <v>0</v>
      </c>
      <c r="M325">
        <v>0</v>
      </c>
    </row>
    <row r="326" spans="1:13">
      <c r="A326">
        <v>4</v>
      </c>
      <c r="B326" t="s">
        <v>257</v>
      </c>
      <c r="C326">
        <v>3</v>
      </c>
      <c r="D326">
        <v>1</v>
      </c>
      <c r="E326">
        <v>0</v>
      </c>
      <c r="F326">
        <v>2</v>
      </c>
      <c r="G326">
        <v>3.75</v>
      </c>
      <c r="H326">
        <v>7350.69</v>
      </c>
      <c r="I326">
        <v>-453.43</v>
      </c>
      <c r="J326">
        <v>27.87</v>
      </c>
      <c r="K326">
        <v>0</v>
      </c>
      <c r="L326">
        <v>0</v>
      </c>
      <c r="M326">
        <v>0</v>
      </c>
    </row>
    <row r="327" spans="1:13">
      <c r="A327">
        <v>4</v>
      </c>
      <c r="B327" t="s">
        <v>257</v>
      </c>
      <c r="C327">
        <v>3</v>
      </c>
      <c r="D327">
        <v>1</v>
      </c>
      <c r="E327">
        <v>0</v>
      </c>
      <c r="F327">
        <v>3</v>
      </c>
      <c r="G327">
        <v>6.55</v>
      </c>
      <c r="H327">
        <v>3497.86</v>
      </c>
      <c r="I327">
        <v>-2433.19</v>
      </c>
      <c r="J327">
        <v>33.090000000000003</v>
      </c>
      <c r="K327">
        <v>0</v>
      </c>
      <c r="L327">
        <v>0</v>
      </c>
      <c r="M327">
        <v>0</v>
      </c>
    </row>
    <row r="328" spans="1:13">
      <c r="A328">
        <v>4</v>
      </c>
      <c r="B328" t="s">
        <v>257</v>
      </c>
      <c r="C328">
        <v>3</v>
      </c>
      <c r="D328">
        <v>1</v>
      </c>
      <c r="E328">
        <v>2</v>
      </c>
      <c r="F328" t="s">
        <v>259</v>
      </c>
      <c r="G328">
        <v>7.5</v>
      </c>
      <c r="H328">
        <v>1072.3699999999999</v>
      </c>
      <c r="I328">
        <v>-6997.34</v>
      </c>
      <c r="J328">
        <v>33.090000000000003</v>
      </c>
      <c r="K328">
        <v>-2463.2800000000002</v>
      </c>
      <c r="L328">
        <v>-8268.9500000000007</v>
      </c>
      <c r="M328">
        <v>-62.65</v>
      </c>
    </row>
    <row r="329" spans="1:13">
      <c r="A329">
        <v>4</v>
      </c>
      <c r="B329" t="s">
        <v>257</v>
      </c>
      <c r="C329">
        <v>4</v>
      </c>
      <c r="D329">
        <v>1</v>
      </c>
      <c r="E329">
        <v>2</v>
      </c>
      <c r="F329" t="s">
        <v>258</v>
      </c>
      <c r="G329">
        <v>0</v>
      </c>
      <c r="H329">
        <v>625.54</v>
      </c>
      <c r="I329">
        <v>2038.9</v>
      </c>
      <c r="J329">
        <v>-23.19</v>
      </c>
      <c r="K329">
        <v>-1491.14</v>
      </c>
      <c r="L329">
        <v>2483.88</v>
      </c>
      <c r="M329">
        <v>26.67</v>
      </c>
    </row>
    <row r="330" spans="1:13">
      <c r="A330">
        <v>4</v>
      </c>
      <c r="B330" t="s">
        <v>257</v>
      </c>
      <c r="C330">
        <v>4</v>
      </c>
      <c r="D330">
        <v>1</v>
      </c>
      <c r="E330">
        <v>0</v>
      </c>
      <c r="F330">
        <v>1</v>
      </c>
      <c r="G330">
        <v>0.95</v>
      </c>
      <c r="H330">
        <v>2562.4899999999998</v>
      </c>
      <c r="I330">
        <v>2038.9</v>
      </c>
      <c r="J330">
        <v>-23.19</v>
      </c>
      <c r="K330">
        <v>0</v>
      </c>
      <c r="L330">
        <v>0</v>
      </c>
      <c r="M330">
        <v>0</v>
      </c>
    </row>
    <row r="331" spans="1:13">
      <c r="A331">
        <v>4</v>
      </c>
      <c r="B331" t="s">
        <v>257</v>
      </c>
      <c r="C331">
        <v>4</v>
      </c>
      <c r="D331">
        <v>1</v>
      </c>
      <c r="E331">
        <v>0</v>
      </c>
      <c r="F331">
        <v>2</v>
      </c>
      <c r="G331">
        <v>3.7509999999999999</v>
      </c>
      <c r="H331">
        <v>7432.5</v>
      </c>
      <c r="I331">
        <v>82.56</v>
      </c>
      <c r="J331">
        <v>19.28</v>
      </c>
      <c r="K331">
        <v>0</v>
      </c>
      <c r="L331">
        <v>0</v>
      </c>
      <c r="M331">
        <v>0</v>
      </c>
    </row>
    <row r="332" spans="1:13">
      <c r="A332">
        <v>4</v>
      </c>
      <c r="B332" t="s">
        <v>257</v>
      </c>
      <c r="C332">
        <v>4</v>
      </c>
      <c r="D332">
        <v>4</v>
      </c>
      <c r="E332">
        <v>2</v>
      </c>
      <c r="F332">
        <v>3</v>
      </c>
      <c r="G332">
        <v>6.5510000000000002</v>
      </c>
      <c r="H332">
        <v>3830.32</v>
      </c>
      <c r="I332">
        <v>-1990.08</v>
      </c>
      <c r="J332">
        <v>19.97</v>
      </c>
      <c r="K332">
        <v>-45.5</v>
      </c>
      <c r="L332">
        <v>-2405.63</v>
      </c>
      <c r="M332">
        <v>-15.94</v>
      </c>
    </row>
    <row r="333" spans="1:13">
      <c r="A333">
        <v>4</v>
      </c>
      <c r="B333" t="s">
        <v>257</v>
      </c>
      <c r="C333">
        <v>4</v>
      </c>
      <c r="D333">
        <v>4</v>
      </c>
      <c r="E333">
        <v>3</v>
      </c>
      <c r="F333" t="s">
        <v>259</v>
      </c>
      <c r="G333">
        <v>7.5</v>
      </c>
      <c r="H333">
        <v>1663.6</v>
      </c>
      <c r="I333">
        <v>-5719.47</v>
      </c>
      <c r="J333">
        <v>19.97</v>
      </c>
      <c r="K333">
        <v>-2602.9699999999998</v>
      </c>
      <c r="L333">
        <v>-6950.79</v>
      </c>
      <c r="M333">
        <v>-20.47</v>
      </c>
    </row>
    <row r="334" spans="1:13">
      <c r="A334">
        <v>4</v>
      </c>
      <c r="B334" t="s">
        <v>257</v>
      </c>
      <c r="C334">
        <v>5</v>
      </c>
      <c r="D334">
        <v>0</v>
      </c>
      <c r="E334">
        <v>1</v>
      </c>
      <c r="F334" t="s">
        <v>258</v>
      </c>
      <c r="G334">
        <v>0</v>
      </c>
      <c r="H334">
        <v>0</v>
      </c>
      <c r="I334">
        <v>0</v>
      </c>
      <c r="J334">
        <v>0</v>
      </c>
      <c r="K334">
        <v>-375.75</v>
      </c>
      <c r="L334">
        <v>622.58000000000004</v>
      </c>
      <c r="M334">
        <v>0</v>
      </c>
    </row>
    <row r="335" spans="1:13">
      <c r="A335">
        <v>4</v>
      </c>
      <c r="B335" t="s">
        <v>257</v>
      </c>
      <c r="C335">
        <v>5</v>
      </c>
      <c r="D335">
        <v>1</v>
      </c>
      <c r="E335">
        <v>0</v>
      </c>
      <c r="F335" t="s">
        <v>259</v>
      </c>
      <c r="G335">
        <v>0.95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</row>
    <row r="336" spans="1:13">
      <c r="A336">
        <v>4</v>
      </c>
      <c r="B336" t="s">
        <v>257</v>
      </c>
      <c r="C336">
        <v>6</v>
      </c>
      <c r="D336">
        <v>2</v>
      </c>
      <c r="E336">
        <v>3</v>
      </c>
      <c r="F336" t="s">
        <v>258</v>
      </c>
      <c r="G336">
        <v>0</v>
      </c>
      <c r="H336">
        <v>2818.56</v>
      </c>
      <c r="I336">
        <v>-268.44</v>
      </c>
      <c r="J336">
        <v>-9950.83</v>
      </c>
      <c r="K336">
        <v>-2223.98</v>
      </c>
      <c r="L336">
        <v>243.38</v>
      </c>
      <c r="M336">
        <v>-7448.5</v>
      </c>
    </row>
    <row r="337" spans="1:13">
      <c r="A337">
        <v>4</v>
      </c>
      <c r="B337" t="s">
        <v>257</v>
      </c>
      <c r="C337">
        <v>6</v>
      </c>
      <c r="D337">
        <v>2</v>
      </c>
      <c r="E337">
        <v>3</v>
      </c>
      <c r="F337" t="s">
        <v>259</v>
      </c>
      <c r="G337">
        <v>1.5249999999999999</v>
      </c>
      <c r="H337">
        <v>2409.19</v>
      </c>
      <c r="I337">
        <v>-268.44</v>
      </c>
      <c r="J337">
        <v>-9950.83</v>
      </c>
      <c r="K337">
        <v>-1852.83</v>
      </c>
      <c r="L337">
        <v>243.38</v>
      </c>
      <c r="M337">
        <v>-7448.5</v>
      </c>
    </row>
    <row r="338" spans="1:13">
      <c r="A338">
        <v>4</v>
      </c>
      <c r="B338" t="s">
        <v>257</v>
      </c>
      <c r="C338">
        <v>7</v>
      </c>
      <c r="D338">
        <v>2</v>
      </c>
      <c r="E338">
        <v>3</v>
      </c>
      <c r="F338" t="s">
        <v>258</v>
      </c>
      <c r="G338">
        <v>0</v>
      </c>
      <c r="H338">
        <v>2409.19</v>
      </c>
      <c r="I338">
        <v>-268.44</v>
      </c>
      <c r="J338">
        <v>-9950.83</v>
      </c>
      <c r="K338">
        <v>-1852.83</v>
      </c>
      <c r="L338">
        <v>243.38</v>
      </c>
      <c r="M338">
        <v>-7448.5</v>
      </c>
    </row>
    <row r="339" spans="1:13">
      <c r="A339">
        <v>4</v>
      </c>
      <c r="B339" t="s">
        <v>257</v>
      </c>
      <c r="C339">
        <v>7</v>
      </c>
      <c r="D339">
        <v>4</v>
      </c>
      <c r="E339">
        <v>3</v>
      </c>
      <c r="F339" t="s">
        <v>259</v>
      </c>
      <c r="G339">
        <v>17.074999999999999</v>
      </c>
      <c r="H339">
        <v>1728.47</v>
      </c>
      <c r="I339">
        <v>-266.7</v>
      </c>
      <c r="J339">
        <v>-12058.21</v>
      </c>
      <c r="K339">
        <v>-2291.17</v>
      </c>
      <c r="L339">
        <v>243.38</v>
      </c>
      <c r="M339">
        <v>-10444.799999999999</v>
      </c>
    </row>
    <row r="340" spans="1:13">
      <c r="A340">
        <v>4</v>
      </c>
      <c r="B340" t="s">
        <v>257</v>
      </c>
      <c r="C340">
        <v>8</v>
      </c>
      <c r="D340">
        <v>3</v>
      </c>
      <c r="E340">
        <v>2</v>
      </c>
      <c r="F340" t="s">
        <v>258</v>
      </c>
      <c r="G340">
        <v>0</v>
      </c>
      <c r="H340">
        <v>2621.97</v>
      </c>
      <c r="I340">
        <v>267.52999999999997</v>
      </c>
      <c r="J340">
        <v>-8813.9599999999991</v>
      </c>
      <c r="K340">
        <v>-1855.34</v>
      </c>
      <c r="L340">
        <v>-244.29</v>
      </c>
      <c r="M340">
        <v>-11316.29</v>
      </c>
    </row>
    <row r="341" spans="1:13">
      <c r="A341">
        <v>4</v>
      </c>
      <c r="B341" t="s">
        <v>257</v>
      </c>
      <c r="C341">
        <v>8</v>
      </c>
      <c r="D341">
        <v>4</v>
      </c>
      <c r="E341">
        <v>2</v>
      </c>
      <c r="F341" t="s">
        <v>259</v>
      </c>
      <c r="G341">
        <v>1.5249999999999999</v>
      </c>
      <c r="H341">
        <v>2186.42</v>
      </c>
      <c r="I341">
        <v>-217.69</v>
      </c>
      <c r="J341">
        <v>-11213.69</v>
      </c>
      <c r="K341">
        <v>-2149.46</v>
      </c>
      <c r="L341">
        <v>214.1</v>
      </c>
      <c r="M341">
        <v>-11294.82</v>
      </c>
    </row>
    <row r="342" spans="1:13">
      <c r="A342">
        <v>4</v>
      </c>
      <c r="B342" t="s">
        <v>257</v>
      </c>
      <c r="C342">
        <v>9</v>
      </c>
      <c r="D342">
        <v>4</v>
      </c>
      <c r="E342">
        <v>2</v>
      </c>
      <c r="F342" t="s">
        <v>258</v>
      </c>
      <c r="G342">
        <v>0</v>
      </c>
      <c r="H342">
        <v>1868.5</v>
      </c>
      <c r="I342">
        <v>-217.69</v>
      </c>
      <c r="J342">
        <v>-11213.69</v>
      </c>
      <c r="K342">
        <v>-1808.91</v>
      </c>
      <c r="L342">
        <v>214.1</v>
      </c>
      <c r="M342">
        <v>-11294.82</v>
      </c>
    </row>
    <row r="343" spans="1:13">
      <c r="A343">
        <v>4</v>
      </c>
      <c r="B343" t="s">
        <v>257</v>
      </c>
      <c r="C343">
        <v>9</v>
      </c>
      <c r="D343">
        <v>4</v>
      </c>
      <c r="E343">
        <v>2</v>
      </c>
      <c r="F343" t="s">
        <v>259</v>
      </c>
      <c r="G343">
        <v>17.074999999999999</v>
      </c>
      <c r="H343">
        <v>1711.09</v>
      </c>
      <c r="I343">
        <v>-217.69</v>
      </c>
      <c r="J343">
        <v>-14209.99</v>
      </c>
      <c r="K343">
        <v>-1966.32</v>
      </c>
      <c r="L343">
        <v>214.1</v>
      </c>
      <c r="M343">
        <v>-14291.12</v>
      </c>
    </row>
    <row r="344" spans="1:13">
      <c r="A344">
        <v>4</v>
      </c>
      <c r="B344" t="s">
        <v>257</v>
      </c>
      <c r="C344">
        <v>10</v>
      </c>
      <c r="D344">
        <v>4</v>
      </c>
      <c r="E344">
        <v>2</v>
      </c>
      <c r="F344" t="s">
        <v>258</v>
      </c>
      <c r="G344">
        <v>0</v>
      </c>
      <c r="H344">
        <v>1546.27</v>
      </c>
      <c r="I344">
        <v>-198.71</v>
      </c>
      <c r="J344">
        <v>-11109.37</v>
      </c>
      <c r="K344">
        <v>-1926.04</v>
      </c>
      <c r="L344">
        <v>233.08</v>
      </c>
      <c r="M344">
        <v>-11190.51</v>
      </c>
    </row>
    <row r="345" spans="1:13">
      <c r="A345">
        <v>4</v>
      </c>
      <c r="B345" t="s">
        <v>257</v>
      </c>
      <c r="C345">
        <v>10</v>
      </c>
      <c r="D345">
        <v>3</v>
      </c>
      <c r="E345">
        <v>4</v>
      </c>
      <c r="F345" t="s">
        <v>259</v>
      </c>
      <c r="G345">
        <v>1.5249999999999999</v>
      </c>
      <c r="H345">
        <v>1805.09</v>
      </c>
      <c r="I345">
        <v>229.79</v>
      </c>
      <c r="J345">
        <v>-10684.48</v>
      </c>
      <c r="K345">
        <v>-1899.52</v>
      </c>
      <c r="L345">
        <v>-198.71</v>
      </c>
      <c r="M345">
        <v>-11109.37</v>
      </c>
    </row>
    <row r="346" spans="1:13">
      <c r="A346">
        <v>4</v>
      </c>
      <c r="B346" t="s">
        <v>257</v>
      </c>
      <c r="C346">
        <v>11</v>
      </c>
      <c r="D346">
        <v>3</v>
      </c>
      <c r="E346">
        <v>2</v>
      </c>
      <c r="F346" t="s">
        <v>258</v>
      </c>
      <c r="G346">
        <v>0</v>
      </c>
      <c r="H346">
        <v>1952.31</v>
      </c>
      <c r="I346">
        <v>-201.85</v>
      </c>
      <c r="J346">
        <v>-10102.33</v>
      </c>
      <c r="K346">
        <v>-2460.4</v>
      </c>
      <c r="L346">
        <v>235.28</v>
      </c>
      <c r="M346">
        <v>-9860.75</v>
      </c>
    </row>
    <row r="347" spans="1:13">
      <c r="A347">
        <v>4</v>
      </c>
      <c r="B347" t="s">
        <v>257</v>
      </c>
      <c r="C347">
        <v>11</v>
      </c>
      <c r="D347">
        <v>3</v>
      </c>
      <c r="E347">
        <v>2</v>
      </c>
      <c r="F347" t="s">
        <v>259</v>
      </c>
      <c r="G347">
        <v>17.074999999999999</v>
      </c>
      <c r="H347">
        <v>1796.39</v>
      </c>
      <c r="I347">
        <v>-201.85</v>
      </c>
      <c r="J347">
        <v>-13098.63</v>
      </c>
      <c r="K347">
        <v>-1949.69</v>
      </c>
      <c r="L347">
        <v>235.28</v>
      </c>
      <c r="M347">
        <v>-12857.05</v>
      </c>
    </row>
    <row r="348" spans="1:13">
      <c r="A348">
        <v>4</v>
      </c>
      <c r="B348" t="s">
        <v>257</v>
      </c>
      <c r="C348">
        <v>12</v>
      </c>
      <c r="D348">
        <v>3</v>
      </c>
      <c r="E348">
        <v>2</v>
      </c>
      <c r="F348" t="s">
        <v>258</v>
      </c>
      <c r="G348">
        <v>0</v>
      </c>
      <c r="H348">
        <v>1326.8</v>
      </c>
      <c r="I348">
        <v>-178.8</v>
      </c>
      <c r="J348">
        <v>-8783.94</v>
      </c>
      <c r="K348">
        <v>-2419.29</v>
      </c>
      <c r="L348">
        <v>258.33999999999997</v>
      </c>
      <c r="M348">
        <v>-8542.3700000000008</v>
      </c>
    </row>
    <row r="349" spans="1:13">
      <c r="A349">
        <v>4</v>
      </c>
      <c r="B349" t="s">
        <v>257</v>
      </c>
      <c r="C349">
        <v>12</v>
      </c>
      <c r="D349">
        <v>3</v>
      </c>
      <c r="E349">
        <v>2</v>
      </c>
      <c r="F349" t="s">
        <v>259</v>
      </c>
      <c r="G349">
        <v>1.5249999999999999</v>
      </c>
      <c r="H349">
        <v>1276.33</v>
      </c>
      <c r="I349">
        <v>-178.8</v>
      </c>
      <c r="J349">
        <v>-8783.94</v>
      </c>
      <c r="K349">
        <v>-2262.11</v>
      </c>
      <c r="L349">
        <v>258.33999999999997</v>
      </c>
      <c r="M349">
        <v>-8542.3700000000008</v>
      </c>
    </row>
    <row r="350" spans="1:13">
      <c r="A350">
        <v>4</v>
      </c>
      <c r="B350" t="s">
        <v>257</v>
      </c>
      <c r="C350">
        <v>13</v>
      </c>
      <c r="D350">
        <v>3</v>
      </c>
      <c r="E350">
        <v>4</v>
      </c>
      <c r="F350" t="s">
        <v>258</v>
      </c>
      <c r="G350">
        <v>0</v>
      </c>
      <c r="H350">
        <v>1482.65</v>
      </c>
      <c r="I350">
        <v>253.73</v>
      </c>
      <c r="J350">
        <v>-9048.6200000000008</v>
      </c>
      <c r="K350">
        <v>-2241.62</v>
      </c>
      <c r="L350">
        <v>-177.92</v>
      </c>
      <c r="M350">
        <v>-8708.15</v>
      </c>
    </row>
    <row r="351" spans="1:13">
      <c r="A351">
        <v>4</v>
      </c>
      <c r="B351" t="s">
        <v>257</v>
      </c>
      <c r="C351">
        <v>13</v>
      </c>
      <c r="D351">
        <v>2</v>
      </c>
      <c r="E351">
        <v>4</v>
      </c>
      <c r="F351" t="s">
        <v>259</v>
      </c>
      <c r="G351">
        <v>17.074999999999999</v>
      </c>
      <c r="H351">
        <v>2554.46</v>
      </c>
      <c r="I351">
        <v>-215.25</v>
      </c>
      <c r="J351">
        <v>-8320.86</v>
      </c>
      <c r="K351">
        <v>-1675.48</v>
      </c>
      <c r="L351">
        <v>211.22</v>
      </c>
      <c r="M351">
        <v>-10167.120000000001</v>
      </c>
    </row>
    <row r="352" spans="1:13">
      <c r="A352">
        <v>4</v>
      </c>
      <c r="B352" t="s">
        <v>260</v>
      </c>
      <c r="C352">
        <v>1</v>
      </c>
      <c r="D352">
        <v>0</v>
      </c>
      <c r="E352">
        <v>1</v>
      </c>
      <c r="F352" t="s">
        <v>258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-26.55</v>
      </c>
      <c r="M352">
        <v>0</v>
      </c>
    </row>
    <row r="353" spans="1:13">
      <c r="A353">
        <v>4</v>
      </c>
      <c r="B353" t="s">
        <v>260</v>
      </c>
      <c r="C353">
        <v>1</v>
      </c>
      <c r="D353">
        <v>0</v>
      </c>
      <c r="E353">
        <v>1</v>
      </c>
      <c r="F353" t="s">
        <v>259</v>
      </c>
      <c r="G353">
        <v>0.95</v>
      </c>
      <c r="H353">
        <v>0</v>
      </c>
      <c r="I353">
        <v>0</v>
      </c>
      <c r="J353">
        <v>0</v>
      </c>
      <c r="K353">
        <v>-240.92</v>
      </c>
      <c r="L353">
        <v>-480.65</v>
      </c>
      <c r="M353">
        <v>0</v>
      </c>
    </row>
    <row r="354" spans="1:13">
      <c r="A354">
        <v>4</v>
      </c>
      <c r="B354" t="s">
        <v>260</v>
      </c>
      <c r="C354">
        <v>2</v>
      </c>
      <c r="D354">
        <v>2</v>
      </c>
      <c r="E354">
        <v>0</v>
      </c>
      <c r="F354" t="s">
        <v>258</v>
      </c>
      <c r="G354">
        <v>0</v>
      </c>
      <c r="H354">
        <v>-3056.13</v>
      </c>
      <c r="I354">
        <v>9421.39</v>
      </c>
      <c r="J354">
        <v>-79.86</v>
      </c>
      <c r="K354">
        <v>0</v>
      </c>
      <c r="L354">
        <v>0</v>
      </c>
      <c r="M354">
        <v>0</v>
      </c>
    </row>
    <row r="355" spans="1:13">
      <c r="A355">
        <v>4</v>
      </c>
      <c r="B355" t="s">
        <v>260</v>
      </c>
      <c r="C355">
        <v>2</v>
      </c>
      <c r="D355">
        <v>2</v>
      </c>
      <c r="E355">
        <v>0</v>
      </c>
      <c r="F355">
        <v>1</v>
      </c>
      <c r="G355">
        <v>0.95</v>
      </c>
      <c r="H355">
        <v>2287.96</v>
      </c>
      <c r="I355">
        <v>5299.99</v>
      </c>
      <c r="J355">
        <v>-79.86</v>
      </c>
      <c r="K355">
        <v>0</v>
      </c>
      <c r="L355">
        <v>0</v>
      </c>
      <c r="M355">
        <v>0</v>
      </c>
    </row>
    <row r="356" spans="1:13">
      <c r="A356">
        <v>4</v>
      </c>
      <c r="B356" t="s">
        <v>260</v>
      </c>
      <c r="C356">
        <v>2</v>
      </c>
      <c r="D356">
        <v>2</v>
      </c>
      <c r="E356">
        <v>0</v>
      </c>
      <c r="F356">
        <v>2</v>
      </c>
      <c r="G356">
        <v>3.7509999999999999</v>
      </c>
      <c r="H356">
        <v>8059.9</v>
      </c>
      <c r="I356">
        <v>1440.66</v>
      </c>
      <c r="J356">
        <v>-79.86</v>
      </c>
      <c r="K356">
        <v>0</v>
      </c>
      <c r="L356">
        <v>0</v>
      </c>
      <c r="M356">
        <v>0</v>
      </c>
    </row>
    <row r="357" spans="1:13">
      <c r="A357">
        <v>4</v>
      </c>
      <c r="B357" t="s">
        <v>260</v>
      </c>
      <c r="C357">
        <v>2</v>
      </c>
      <c r="D357">
        <v>0</v>
      </c>
      <c r="E357">
        <v>2</v>
      </c>
      <c r="F357">
        <v>3</v>
      </c>
      <c r="G357">
        <v>6.5510000000000002</v>
      </c>
      <c r="H357">
        <v>0</v>
      </c>
      <c r="I357">
        <v>0</v>
      </c>
      <c r="J357">
        <v>0</v>
      </c>
      <c r="K357">
        <v>5606.75</v>
      </c>
      <c r="L357">
        <v>-3553.35</v>
      </c>
      <c r="M357">
        <v>51.43</v>
      </c>
    </row>
    <row r="358" spans="1:13">
      <c r="A358">
        <v>4</v>
      </c>
      <c r="B358" t="s">
        <v>260</v>
      </c>
      <c r="C358">
        <v>2</v>
      </c>
      <c r="D358">
        <v>0</v>
      </c>
      <c r="E358">
        <v>2</v>
      </c>
      <c r="F358" t="s">
        <v>259</v>
      </c>
      <c r="G358">
        <v>7.5</v>
      </c>
      <c r="H358">
        <v>0</v>
      </c>
      <c r="I358">
        <v>0</v>
      </c>
      <c r="J358">
        <v>0</v>
      </c>
      <c r="K358">
        <v>2019.33</v>
      </c>
      <c r="L358">
        <v>-4006.97</v>
      </c>
      <c r="M358">
        <v>51.43</v>
      </c>
    </row>
    <row r="359" spans="1:13">
      <c r="A359">
        <v>4</v>
      </c>
      <c r="B359" t="s">
        <v>260</v>
      </c>
      <c r="C359">
        <v>3</v>
      </c>
      <c r="D359">
        <v>2</v>
      </c>
      <c r="E359">
        <v>0</v>
      </c>
      <c r="F359" t="s">
        <v>258</v>
      </c>
      <c r="G359">
        <v>0</v>
      </c>
      <c r="H359">
        <v>649.59</v>
      </c>
      <c r="I359">
        <v>7911.23</v>
      </c>
      <c r="J359">
        <v>35.33</v>
      </c>
      <c r="K359">
        <v>0</v>
      </c>
      <c r="L359">
        <v>0</v>
      </c>
      <c r="M359">
        <v>0</v>
      </c>
    </row>
    <row r="360" spans="1:13">
      <c r="A360">
        <v>4</v>
      </c>
      <c r="B360" t="s">
        <v>260</v>
      </c>
      <c r="C360">
        <v>3</v>
      </c>
      <c r="D360">
        <v>4</v>
      </c>
      <c r="E360">
        <v>0</v>
      </c>
      <c r="F360">
        <v>1</v>
      </c>
      <c r="G360">
        <v>0.95</v>
      </c>
      <c r="H360">
        <v>3487.62</v>
      </c>
      <c r="I360">
        <v>3194.45</v>
      </c>
      <c r="J360">
        <v>32.36</v>
      </c>
      <c r="K360">
        <v>0</v>
      </c>
      <c r="L360">
        <v>0</v>
      </c>
      <c r="M360">
        <v>0</v>
      </c>
    </row>
    <row r="361" spans="1:13">
      <c r="A361">
        <v>4</v>
      </c>
      <c r="B361" t="s">
        <v>260</v>
      </c>
      <c r="C361">
        <v>3</v>
      </c>
      <c r="D361">
        <v>1</v>
      </c>
      <c r="E361">
        <v>2</v>
      </c>
      <c r="F361">
        <v>2</v>
      </c>
      <c r="G361">
        <v>3.75</v>
      </c>
      <c r="H361">
        <v>6382.54</v>
      </c>
      <c r="I361">
        <v>275.95</v>
      </c>
      <c r="J361">
        <v>33.090000000000003</v>
      </c>
      <c r="K361">
        <v>6983.62</v>
      </c>
      <c r="L361">
        <v>-547.05999999999995</v>
      </c>
      <c r="M361">
        <v>-62.65</v>
      </c>
    </row>
    <row r="362" spans="1:13">
      <c r="A362">
        <v>4</v>
      </c>
      <c r="B362" t="s">
        <v>260</v>
      </c>
      <c r="C362">
        <v>3</v>
      </c>
      <c r="D362">
        <v>0</v>
      </c>
      <c r="E362">
        <v>2</v>
      </c>
      <c r="F362">
        <v>3</v>
      </c>
      <c r="G362">
        <v>6.55</v>
      </c>
      <c r="H362">
        <v>0</v>
      </c>
      <c r="I362">
        <v>0</v>
      </c>
      <c r="J362">
        <v>0</v>
      </c>
      <c r="K362">
        <v>1177.82</v>
      </c>
      <c r="L362">
        <v>-3713</v>
      </c>
      <c r="M362">
        <v>-62.65</v>
      </c>
    </row>
    <row r="363" spans="1:13">
      <c r="A363">
        <v>4</v>
      </c>
      <c r="B363" t="s">
        <v>260</v>
      </c>
      <c r="C363">
        <v>3</v>
      </c>
      <c r="D363">
        <v>0</v>
      </c>
      <c r="E363">
        <v>3</v>
      </c>
      <c r="F363" t="s">
        <v>259</v>
      </c>
      <c r="G363">
        <v>7.5</v>
      </c>
      <c r="H363">
        <v>0</v>
      </c>
      <c r="I363">
        <v>0</v>
      </c>
      <c r="J363">
        <v>0</v>
      </c>
      <c r="K363">
        <v>-2110.88</v>
      </c>
      <c r="L363">
        <v>-8369.8700000000008</v>
      </c>
      <c r="M363">
        <v>-62.57</v>
      </c>
    </row>
    <row r="364" spans="1:13">
      <c r="A364">
        <v>4</v>
      </c>
      <c r="B364" t="s">
        <v>260</v>
      </c>
      <c r="C364">
        <v>4</v>
      </c>
      <c r="D364">
        <v>3</v>
      </c>
      <c r="E364">
        <v>0</v>
      </c>
      <c r="F364" t="s">
        <v>258</v>
      </c>
      <c r="G364">
        <v>0</v>
      </c>
      <c r="H364">
        <v>-1225.57</v>
      </c>
      <c r="I364">
        <v>2889.21</v>
      </c>
      <c r="J364">
        <v>22.13</v>
      </c>
      <c r="K364">
        <v>0</v>
      </c>
      <c r="L364">
        <v>0</v>
      </c>
      <c r="M364">
        <v>0</v>
      </c>
    </row>
    <row r="365" spans="1:13">
      <c r="A365">
        <v>4</v>
      </c>
      <c r="B365" t="s">
        <v>260</v>
      </c>
      <c r="C365">
        <v>4</v>
      </c>
      <c r="D365">
        <v>3</v>
      </c>
      <c r="E365">
        <v>0</v>
      </c>
      <c r="F365">
        <v>1</v>
      </c>
      <c r="G365">
        <v>0.95</v>
      </c>
      <c r="H365">
        <v>1519.18</v>
      </c>
      <c r="I365">
        <v>2889.21</v>
      </c>
      <c r="J365">
        <v>22.13</v>
      </c>
      <c r="K365">
        <v>0</v>
      </c>
      <c r="L365">
        <v>0</v>
      </c>
      <c r="M365">
        <v>0</v>
      </c>
    </row>
    <row r="366" spans="1:13">
      <c r="A366">
        <v>4</v>
      </c>
      <c r="B366" t="s">
        <v>260</v>
      </c>
      <c r="C366">
        <v>4</v>
      </c>
      <c r="D366">
        <v>2</v>
      </c>
      <c r="E366">
        <v>4</v>
      </c>
      <c r="F366">
        <v>2</v>
      </c>
      <c r="G366">
        <v>3.7509999999999999</v>
      </c>
      <c r="H366">
        <v>5658.4</v>
      </c>
      <c r="I366">
        <v>204.99</v>
      </c>
      <c r="J366">
        <v>26.67</v>
      </c>
      <c r="K366">
        <v>5794.89</v>
      </c>
      <c r="L366">
        <v>-177.91</v>
      </c>
      <c r="M366">
        <v>-22.64</v>
      </c>
    </row>
    <row r="367" spans="1:13">
      <c r="A367">
        <v>4</v>
      </c>
      <c r="B367" t="s">
        <v>260</v>
      </c>
      <c r="C367">
        <v>4</v>
      </c>
      <c r="D367">
        <v>0</v>
      </c>
      <c r="E367">
        <v>1</v>
      </c>
      <c r="F367">
        <v>3</v>
      </c>
      <c r="G367">
        <v>6.5510000000000002</v>
      </c>
      <c r="H367">
        <v>0</v>
      </c>
      <c r="I367">
        <v>0</v>
      </c>
      <c r="J367">
        <v>0</v>
      </c>
      <c r="K367">
        <v>802.11</v>
      </c>
      <c r="L367">
        <v>-2962.2</v>
      </c>
      <c r="M367">
        <v>-23.19</v>
      </c>
    </row>
    <row r="368" spans="1:13">
      <c r="A368">
        <v>4</v>
      </c>
      <c r="B368" t="s">
        <v>260</v>
      </c>
      <c r="C368">
        <v>4</v>
      </c>
      <c r="D368">
        <v>0</v>
      </c>
      <c r="E368">
        <v>3</v>
      </c>
      <c r="F368" t="s">
        <v>259</v>
      </c>
      <c r="G368">
        <v>7.5</v>
      </c>
      <c r="H368">
        <v>0</v>
      </c>
      <c r="I368">
        <v>0</v>
      </c>
      <c r="J368">
        <v>0</v>
      </c>
      <c r="K368">
        <v>-2602.9699999999998</v>
      </c>
      <c r="L368">
        <v>-6950.79</v>
      </c>
      <c r="M368">
        <v>-20.47</v>
      </c>
    </row>
    <row r="369" spans="1:13">
      <c r="A369">
        <v>4</v>
      </c>
      <c r="B369" t="s">
        <v>260</v>
      </c>
      <c r="C369">
        <v>5</v>
      </c>
      <c r="D369">
        <v>1</v>
      </c>
      <c r="E369">
        <v>0</v>
      </c>
      <c r="F369" t="s">
        <v>258</v>
      </c>
      <c r="G369">
        <v>0</v>
      </c>
      <c r="H369">
        <v>-375.75</v>
      </c>
      <c r="I369">
        <v>622.58000000000004</v>
      </c>
      <c r="J369">
        <v>0</v>
      </c>
      <c r="K369">
        <v>0</v>
      </c>
      <c r="L369">
        <v>0</v>
      </c>
      <c r="M369">
        <v>0</v>
      </c>
    </row>
    <row r="370" spans="1:13">
      <c r="A370">
        <v>4</v>
      </c>
      <c r="B370" t="s">
        <v>260</v>
      </c>
      <c r="C370">
        <v>5</v>
      </c>
      <c r="D370">
        <v>1</v>
      </c>
      <c r="E370">
        <v>1</v>
      </c>
      <c r="F370" t="s">
        <v>259</v>
      </c>
      <c r="G370">
        <v>0.95</v>
      </c>
      <c r="H370">
        <v>0</v>
      </c>
      <c r="I370">
        <v>168.48</v>
      </c>
      <c r="J370">
        <v>0</v>
      </c>
      <c r="K370">
        <v>0</v>
      </c>
      <c r="L370">
        <v>0</v>
      </c>
      <c r="M370">
        <v>0</v>
      </c>
    </row>
    <row r="371" spans="1:13">
      <c r="A371">
        <v>4</v>
      </c>
      <c r="B371" t="s">
        <v>260</v>
      </c>
      <c r="C371">
        <v>6</v>
      </c>
      <c r="D371">
        <v>3</v>
      </c>
      <c r="E371">
        <v>2</v>
      </c>
      <c r="F371" t="s">
        <v>258</v>
      </c>
      <c r="G371">
        <v>0</v>
      </c>
      <c r="H371">
        <v>-2223.98</v>
      </c>
      <c r="I371">
        <v>243.38</v>
      </c>
      <c r="J371">
        <v>-7448.5</v>
      </c>
      <c r="K371">
        <v>2818.56</v>
      </c>
      <c r="L371">
        <v>-268.44</v>
      </c>
      <c r="M371">
        <v>-9950.83</v>
      </c>
    </row>
    <row r="372" spans="1:13">
      <c r="A372">
        <v>4</v>
      </c>
      <c r="B372" t="s">
        <v>260</v>
      </c>
      <c r="C372">
        <v>6</v>
      </c>
      <c r="D372">
        <v>3</v>
      </c>
      <c r="E372">
        <v>2</v>
      </c>
      <c r="F372" t="s">
        <v>259</v>
      </c>
      <c r="G372">
        <v>1.5249999999999999</v>
      </c>
      <c r="H372">
        <v>-1852.83</v>
      </c>
      <c r="I372">
        <v>243.38</v>
      </c>
      <c r="J372">
        <v>-7448.5</v>
      </c>
      <c r="K372">
        <v>2409.19</v>
      </c>
      <c r="L372">
        <v>-268.44</v>
      </c>
      <c r="M372">
        <v>-9950.83</v>
      </c>
    </row>
    <row r="373" spans="1:13">
      <c r="A373">
        <v>4</v>
      </c>
      <c r="B373" t="s">
        <v>260</v>
      </c>
      <c r="C373">
        <v>7</v>
      </c>
      <c r="D373">
        <v>3</v>
      </c>
      <c r="E373">
        <v>2</v>
      </c>
      <c r="F373" t="s">
        <v>258</v>
      </c>
      <c r="G373">
        <v>0</v>
      </c>
      <c r="H373">
        <v>-1852.83</v>
      </c>
      <c r="I373">
        <v>243.38</v>
      </c>
      <c r="J373">
        <v>-7448.5</v>
      </c>
      <c r="K373">
        <v>2409.19</v>
      </c>
      <c r="L373">
        <v>-268.44</v>
      </c>
      <c r="M373">
        <v>-9950.83</v>
      </c>
    </row>
    <row r="374" spans="1:13">
      <c r="A374">
        <v>4</v>
      </c>
      <c r="B374" t="s">
        <v>260</v>
      </c>
      <c r="C374">
        <v>7</v>
      </c>
      <c r="D374">
        <v>3</v>
      </c>
      <c r="E374">
        <v>2</v>
      </c>
      <c r="F374" t="s">
        <v>259</v>
      </c>
      <c r="G374">
        <v>17.074999999999999</v>
      </c>
      <c r="H374">
        <v>-2291.17</v>
      </c>
      <c r="I374">
        <v>243.38</v>
      </c>
      <c r="J374">
        <v>-10444.799999999999</v>
      </c>
      <c r="K374">
        <v>1727.73</v>
      </c>
      <c r="L374">
        <v>-268.44</v>
      </c>
      <c r="M374">
        <v>-12947.14</v>
      </c>
    </row>
    <row r="375" spans="1:13">
      <c r="A375">
        <v>4</v>
      </c>
      <c r="B375" t="s">
        <v>260</v>
      </c>
      <c r="C375">
        <v>8</v>
      </c>
      <c r="D375">
        <v>3</v>
      </c>
      <c r="E375">
        <v>2</v>
      </c>
      <c r="F375" t="s">
        <v>258</v>
      </c>
      <c r="G375">
        <v>0</v>
      </c>
      <c r="H375">
        <v>2621.97</v>
      </c>
      <c r="I375">
        <v>267.52999999999997</v>
      </c>
      <c r="J375">
        <v>-8813.9599999999991</v>
      </c>
      <c r="K375">
        <v>-1855.34</v>
      </c>
      <c r="L375">
        <v>-244.29</v>
      </c>
      <c r="M375">
        <v>-11316.29</v>
      </c>
    </row>
    <row r="376" spans="1:13">
      <c r="A376">
        <v>4</v>
      </c>
      <c r="B376" t="s">
        <v>260</v>
      </c>
      <c r="C376">
        <v>8</v>
      </c>
      <c r="D376">
        <v>2</v>
      </c>
      <c r="E376">
        <v>4</v>
      </c>
      <c r="F376" t="s">
        <v>259</v>
      </c>
      <c r="G376">
        <v>1.5249999999999999</v>
      </c>
      <c r="H376">
        <v>-2149.46</v>
      </c>
      <c r="I376">
        <v>214.1</v>
      </c>
      <c r="J376">
        <v>-11294.82</v>
      </c>
      <c r="K376">
        <v>2186.42</v>
      </c>
      <c r="L376">
        <v>-217.69</v>
      </c>
      <c r="M376">
        <v>-11213.69</v>
      </c>
    </row>
    <row r="377" spans="1:13">
      <c r="A377">
        <v>4</v>
      </c>
      <c r="B377" t="s">
        <v>260</v>
      </c>
      <c r="C377">
        <v>9</v>
      </c>
      <c r="D377">
        <v>2</v>
      </c>
      <c r="E377">
        <v>4</v>
      </c>
      <c r="F377" t="s">
        <v>258</v>
      </c>
      <c r="G377">
        <v>0</v>
      </c>
      <c r="H377">
        <v>-1808.91</v>
      </c>
      <c r="I377">
        <v>214.1</v>
      </c>
      <c r="J377">
        <v>-11294.82</v>
      </c>
      <c r="K377">
        <v>1868.5</v>
      </c>
      <c r="L377">
        <v>-217.69</v>
      </c>
      <c r="M377">
        <v>-11213.69</v>
      </c>
    </row>
    <row r="378" spans="1:13">
      <c r="A378">
        <v>4</v>
      </c>
      <c r="B378" t="s">
        <v>260</v>
      </c>
      <c r="C378">
        <v>9</v>
      </c>
      <c r="D378">
        <v>2</v>
      </c>
      <c r="E378">
        <v>4</v>
      </c>
      <c r="F378" t="s">
        <v>259</v>
      </c>
      <c r="G378">
        <v>17.074999999999999</v>
      </c>
      <c r="H378">
        <v>-1966.32</v>
      </c>
      <c r="I378">
        <v>214.1</v>
      </c>
      <c r="J378">
        <v>-14291.12</v>
      </c>
      <c r="K378">
        <v>1711.09</v>
      </c>
      <c r="L378">
        <v>-217.69</v>
      </c>
      <c r="M378">
        <v>-14209.99</v>
      </c>
    </row>
    <row r="379" spans="1:13">
      <c r="A379">
        <v>4</v>
      </c>
      <c r="B379" t="s">
        <v>260</v>
      </c>
      <c r="C379">
        <v>10</v>
      </c>
      <c r="D379">
        <v>2</v>
      </c>
      <c r="E379">
        <v>4</v>
      </c>
      <c r="F379" t="s">
        <v>258</v>
      </c>
      <c r="G379">
        <v>0</v>
      </c>
      <c r="H379">
        <v>-1926.04</v>
      </c>
      <c r="I379">
        <v>233.08</v>
      </c>
      <c r="J379">
        <v>-11190.51</v>
      </c>
      <c r="K379">
        <v>1546.27</v>
      </c>
      <c r="L379">
        <v>-198.71</v>
      </c>
      <c r="M379">
        <v>-11109.37</v>
      </c>
    </row>
    <row r="380" spans="1:13">
      <c r="A380">
        <v>4</v>
      </c>
      <c r="B380" t="s">
        <v>260</v>
      </c>
      <c r="C380">
        <v>10</v>
      </c>
      <c r="D380">
        <v>2</v>
      </c>
      <c r="E380">
        <v>4</v>
      </c>
      <c r="F380" t="s">
        <v>259</v>
      </c>
      <c r="G380">
        <v>1.5249999999999999</v>
      </c>
      <c r="H380">
        <v>1795.89</v>
      </c>
      <c r="I380">
        <v>233.08</v>
      </c>
      <c r="J380">
        <v>-11190.51</v>
      </c>
      <c r="K380">
        <v>-1899.52</v>
      </c>
      <c r="L380">
        <v>-198.71</v>
      </c>
      <c r="M380">
        <v>-11109.37</v>
      </c>
    </row>
    <row r="381" spans="1:13">
      <c r="A381">
        <v>4</v>
      </c>
      <c r="B381" t="s">
        <v>260</v>
      </c>
      <c r="C381">
        <v>11</v>
      </c>
      <c r="D381">
        <v>2</v>
      </c>
      <c r="E381">
        <v>3</v>
      </c>
      <c r="F381" t="s">
        <v>258</v>
      </c>
      <c r="G381">
        <v>0</v>
      </c>
      <c r="H381">
        <v>-2460.4</v>
      </c>
      <c r="I381">
        <v>235.28</v>
      </c>
      <c r="J381">
        <v>-9860.75</v>
      </c>
      <c r="K381">
        <v>1952.31</v>
      </c>
      <c r="L381">
        <v>-201.85</v>
      </c>
      <c r="M381">
        <v>-10102.33</v>
      </c>
    </row>
    <row r="382" spans="1:13">
      <c r="A382">
        <v>4</v>
      </c>
      <c r="B382" t="s">
        <v>260</v>
      </c>
      <c r="C382">
        <v>11</v>
      </c>
      <c r="D382">
        <v>2</v>
      </c>
      <c r="E382">
        <v>3</v>
      </c>
      <c r="F382" t="s">
        <v>259</v>
      </c>
      <c r="G382">
        <v>17.074999999999999</v>
      </c>
      <c r="H382">
        <v>-1949.69</v>
      </c>
      <c r="I382">
        <v>235.28</v>
      </c>
      <c r="J382">
        <v>-12857.05</v>
      </c>
      <c r="K382">
        <v>1796.39</v>
      </c>
      <c r="L382">
        <v>-201.85</v>
      </c>
      <c r="M382">
        <v>-13098.63</v>
      </c>
    </row>
    <row r="383" spans="1:13">
      <c r="A383">
        <v>4</v>
      </c>
      <c r="B383" t="s">
        <v>260</v>
      </c>
      <c r="C383">
        <v>12</v>
      </c>
      <c r="D383">
        <v>2</v>
      </c>
      <c r="E383">
        <v>3</v>
      </c>
      <c r="F383" t="s">
        <v>258</v>
      </c>
      <c r="G383">
        <v>0</v>
      </c>
      <c r="H383">
        <v>-2419.29</v>
      </c>
      <c r="I383">
        <v>258.33999999999997</v>
      </c>
      <c r="J383">
        <v>-8542.3700000000008</v>
      </c>
      <c r="K383">
        <v>1326.8</v>
      </c>
      <c r="L383">
        <v>-178.8</v>
      </c>
      <c r="M383">
        <v>-8783.94</v>
      </c>
    </row>
    <row r="384" spans="1:13">
      <c r="A384">
        <v>4</v>
      </c>
      <c r="B384" t="s">
        <v>260</v>
      </c>
      <c r="C384">
        <v>12</v>
      </c>
      <c r="D384">
        <v>2</v>
      </c>
      <c r="E384">
        <v>3</v>
      </c>
      <c r="F384" t="s">
        <v>259</v>
      </c>
      <c r="G384">
        <v>1.5249999999999999</v>
      </c>
      <c r="H384">
        <v>-2262.11</v>
      </c>
      <c r="I384">
        <v>258.33999999999997</v>
      </c>
      <c r="J384">
        <v>-8542.3700000000008</v>
      </c>
      <c r="K384">
        <v>1276.33</v>
      </c>
      <c r="L384">
        <v>-178.8</v>
      </c>
      <c r="M384">
        <v>-8783.94</v>
      </c>
    </row>
    <row r="385" spans="1:13">
      <c r="A385">
        <v>4</v>
      </c>
      <c r="B385" t="s">
        <v>260</v>
      </c>
      <c r="C385">
        <v>13</v>
      </c>
      <c r="D385">
        <v>2</v>
      </c>
      <c r="E385">
        <v>3</v>
      </c>
      <c r="F385" t="s">
        <v>258</v>
      </c>
      <c r="G385">
        <v>0</v>
      </c>
      <c r="H385">
        <v>1481.45</v>
      </c>
      <c r="I385">
        <v>258.33999999999997</v>
      </c>
      <c r="J385">
        <v>-8542.3700000000008</v>
      </c>
      <c r="K385">
        <v>-2236.56</v>
      </c>
      <c r="L385">
        <v>-178.8</v>
      </c>
      <c r="M385">
        <v>-8783.94</v>
      </c>
    </row>
    <row r="386" spans="1:13">
      <c r="A386">
        <v>4</v>
      </c>
      <c r="B386" t="s">
        <v>260</v>
      </c>
      <c r="C386">
        <v>13</v>
      </c>
      <c r="D386">
        <v>4</v>
      </c>
      <c r="E386">
        <v>2</v>
      </c>
      <c r="F386" t="s">
        <v>259</v>
      </c>
      <c r="G386">
        <v>17.074999999999999</v>
      </c>
      <c r="H386">
        <v>-1675.48</v>
      </c>
      <c r="I386">
        <v>211.22</v>
      </c>
      <c r="J386">
        <v>-10167.120000000001</v>
      </c>
      <c r="K386">
        <v>2554.46</v>
      </c>
      <c r="L386">
        <v>-215.25</v>
      </c>
      <c r="M386">
        <v>-8320.86</v>
      </c>
    </row>
    <row r="387" spans="1:13">
      <c r="A387">
        <v>4</v>
      </c>
      <c r="B387" t="s">
        <v>261</v>
      </c>
      <c r="C387">
        <v>1</v>
      </c>
      <c r="D387">
        <v>0</v>
      </c>
      <c r="E387">
        <v>1</v>
      </c>
      <c r="F387" t="s">
        <v>258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</row>
    <row r="388" spans="1:13">
      <c r="A388">
        <v>4</v>
      </c>
      <c r="B388" t="s">
        <v>261</v>
      </c>
      <c r="C388">
        <v>1</v>
      </c>
      <c r="D388">
        <v>0</v>
      </c>
      <c r="E388">
        <v>1</v>
      </c>
      <c r="F388" t="s">
        <v>259</v>
      </c>
      <c r="G388">
        <v>0.95</v>
      </c>
      <c r="H388">
        <v>0</v>
      </c>
      <c r="I388">
        <v>0</v>
      </c>
      <c r="J388">
        <v>0</v>
      </c>
      <c r="K388">
        <v>-215.7</v>
      </c>
      <c r="L388">
        <v>-454.1</v>
      </c>
      <c r="M388">
        <v>0</v>
      </c>
    </row>
    <row r="389" spans="1:13">
      <c r="A389">
        <v>4</v>
      </c>
      <c r="B389" t="s">
        <v>261</v>
      </c>
      <c r="C389">
        <v>2</v>
      </c>
      <c r="D389">
        <v>1</v>
      </c>
      <c r="E389">
        <v>2</v>
      </c>
      <c r="F389" t="s">
        <v>258</v>
      </c>
      <c r="G389">
        <v>0</v>
      </c>
      <c r="H389">
        <v>-1442.21</v>
      </c>
      <c r="I389">
        <v>7256.54</v>
      </c>
      <c r="J389">
        <v>64.19</v>
      </c>
      <c r="K389">
        <v>592.20000000000005</v>
      </c>
      <c r="L389">
        <v>8357.18</v>
      </c>
      <c r="M389">
        <v>-88.16</v>
      </c>
    </row>
    <row r="390" spans="1:13">
      <c r="A390">
        <v>4</v>
      </c>
      <c r="B390" t="s">
        <v>261</v>
      </c>
      <c r="C390">
        <v>2</v>
      </c>
      <c r="D390">
        <v>1</v>
      </c>
      <c r="E390">
        <v>2</v>
      </c>
      <c r="F390">
        <v>1</v>
      </c>
      <c r="G390">
        <v>0.95</v>
      </c>
      <c r="H390">
        <v>2841.24</v>
      </c>
      <c r="I390">
        <v>4273.3900000000003</v>
      </c>
      <c r="J390">
        <v>64.19</v>
      </c>
      <c r="K390">
        <v>4958.05</v>
      </c>
      <c r="L390">
        <v>4273.21</v>
      </c>
      <c r="M390">
        <v>-88.16</v>
      </c>
    </row>
    <row r="391" spans="1:13">
      <c r="A391">
        <v>4</v>
      </c>
      <c r="B391" t="s">
        <v>261</v>
      </c>
      <c r="C391">
        <v>2</v>
      </c>
      <c r="D391">
        <v>1</v>
      </c>
      <c r="E391">
        <v>2</v>
      </c>
      <c r="F391">
        <v>2</v>
      </c>
      <c r="G391">
        <v>3.7509999999999999</v>
      </c>
      <c r="H391">
        <v>7497.46</v>
      </c>
      <c r="I391">
        <v>1162.53</v>
      </c>
      <c r="J391">
        <v>64.19</v>
      </c>
      <c r="K391">
        <v>8949.1299999999992</v>
      </c>
      <c r="L391">
        <v>879.71</v>
      </c>
      <c r="M391">
        <v>-88.16</v>
      </c>
    </row>
    <row r="392" spans="1:13">
      <c r="A392">
        <v>4</v>
      </c>
      <c r="B392" t="s">
        <v>261</v>
      </c>
      <c r="C392">
        <v>2</v>
      </c>
      <c r="D392">
        <v>1</v>
      </c>
      <c r="E392">
        <v>2</v>
      </c>
      <c r="F392">
        <v>3</v>
      </c>
      <c r="G392">
        <v>6.5510000000000002</v>
      </c>
      <c r="H392">
        <v>5170.47</v>
      </c>
      <c r="I392">
        <v>-2613.08</v>
      </c>
      <c r="J392">
        <v>64.19</v>
      </c>
      <c r="K392">
        <v>4919.95</v>
      </c>
      <c r="L392">
        <v>-3447.26</v>
      </c>
      <c r="M392">
        <v>-88.16</v>
      </c>
    </row>
    <row r="393" spans="1:13">
      <c r="A393">
        <v>4</v>
      </c>
      <c r="B393" t="s">
        <v>261</v>
      </c>
      <c r="C393">
        <v>2</v>
      </c>
      <c r="D393">
        <v>1</v>
      </c>
      <c r="E393">
        <v>2</v>
      </c>
      <c r="F393" t="s">
        <v>259</v>
      </c>
      <c r="G393">
        <v>7.5</v>
      </c>
      <c r="H393">
        <v>2475.31</v>
      </c>
      <c r="I393">
        <v>-3066.71</v>
      </c>
      <c r="J393">
        <v>64.19</v>
      </c>
      <c r="K393">
        <v>1433.31</v>
      </c>
      <c r="L393">
        <v>-3900.89</v>
      </c>
      <c r="M393">
        <v>-88.16</v>
      </c>
    </row>
    <row r="394" spans="1:13">
      <c r="A394">
        <v>4</v>
      </c>
      <c r="B394" t="s">
        <v>261</v>
      </c>
      <c r="C394">
        <v>3</v>
      </c>
      <c r="D394">
        <v>1</v>
      </c>
      <c r="E394">
        <v>4</v>
      </c>
      <c r="F394" t="s">
        <v>258</v>
      </c>
      <c r="G394">
        <v>0</v>
      </c>
      <c r="H394">
        <v>785.66</v>
      </c>
      <c r="I394">
        <v>7420.31</v>
      </c>
      <c r="J394">
        <v>36.520000000000003</v>
      </c>
      <c r="K394">
        <v>3255.07</v>
      </c>
      <c r="L394">
        <v>7372.51</v>
      </c>
      <c r="M394">
        <v>-65.62</v>
      </c>
    </row>
    <row r="395" spans="1:13">
      <c r="A395">
        <v>4</v>
      </c>
      <c r="B395" t="s">
        <v>261</v>
      </c>
      <c r="C395">
        <v>3</v>
      </c>
      <c r="D395">
        <v>1</v>
      </c>
      <c r="E395">
        <v>4</v>
      </c>
      <c r="F395">
        <v>1</v>
      </c>
      <c r="G395">
        <v>0.95</v>
      </c>
      <c r="H395">
        <v>3728.88</v>
      </c>
      <c r="I395">
        <v>2981.31</v>
      </c>
      <c r="J395">
        <v>36.520000000000003</v>
      </c>
      <c r="K395">
        <v>5945.08</v>
      </c>
      <c r="L395">
        <v>2708.87</v>
      </c>
      <c r="M395">
        <v>-65.62</v>
      </c>
    </row>
    <row r="396" spans="1:13">
      <c r="A396">
        <v>4</v>
      </c>
      <c r="B396" t="s">
        <v>261</v>
      </c>
      <c r="C396">
        <v>3</v>
      </c>
      <c r="D396">
        <v>1</v>
      </c>
      <c r="E396">
        <v>4</v>
      </c>
      <c r="F396">
        <v>2</v>
      </c>
      <c r="G396">
        <v>3.75</v>
      </c>
      <c r="H396">
        <v>6267.72</v>
      </c>
      <c r="I396">
        <v>147.74</v>
      </c>
      <c r="J396">
        <v>36.520000000000003</v>
      </c>
      <c r="K396">
        <v>7083.2</v>
      </c>
      <c r="L396">
        <v>-435.87</v>
      </c>
      <c r="M396">
        <v>-65.62</v>
      </c>
    </row>
    <row r="397" spans="1:13">
      <c r="A397">
        <v>4</v>
      </c>
      <c r="B397" t="s">
        <v>261</v>
      </c>
      <c r="C397">
        <v>3</v>
      </c>
      <c r="D397">
        <v>1</v>
      </c>
      <c r="E397">
        <v>4</v>
      </c>
      <c r="F397">
        <v>3</v>
      </c>
      <c r="G397">
        <v>6.55</v>
      </c>
      <c r="H397">
        <v>3024.04</v>
      </c>
      <c r="I397">
        <v>-2561.4</v>
      </c>
      <c r="J397">
        <v>36.520000000000003</v>
      </c>
      <c r="K397">
        <v>1588.75</v>
      </c>
      <c r="L397">
        <v>-3601.81</v>
      </c>
      <c r="M397">
        <v>-65.62</v>
      </c>
    </row>
    <row r="398" spans="1:13">
      <c r="A398">
        <v>4</v>
      </c>
      <c r="B398" t="s">
        <v>261</v>
      </c>
      <c r="C398">
        <v>3</v>
      </c>
      <c r="D398">
        <v>1</v>
      </c>
      <c r="E398">
        <v>4</v>
      </c>
      <c r="F398" t="s">
        <v>259</v>
      </c>
      <c r="G398">
        <v>7.5</v>
      </c>
      <c r="H398">
        <v>481.07</v>
      </c>
      <c r="I398">
        <v>-6952.54</v>
      </c>
      <c r="J398">
        <v>36.520000000000003</v>
      </c>
      <c r="K398">
        <v>-1950.47</v>
      </c>
      <c r="L398">
        <v>-8307.81</v>
      </c>
      <c r="M398">
        <v>-65.62</v>
      </c>
    </row>
    <row r="399" spans="1:13">
      <c r="A399">
        <v>4</v>
      </c>
      <c r="B399" t="s">
        <v>261</v>
      </c>
      <c r="C399">
        <v>4</v>
      </c>
      <c r="D399">
        <v>1</v>
      </c>
      <c r="E399">
        <v>1</v>
      </c>
      <c r="F399" t="s">
        <v>258</v>
      </c>
      <c r="G399">
        <v>0</v>
      </c>
      <c r="H399">
        <v>-260.54000000000002</v>
      </c>
      <c r="I399">
        <v>1747.57</v>
      </c>
      <c r="J399">
        <v>30.08</v>
      </c>
      <c r="K399">
        <v>-317.17</v>
      </c>
      <c r="L399">
        <v>2711.79</v>
      </c>
      <c r="M399">
        <v>-26.27</v>
      </c>
    </row>
    <row r="400" spans="1:13">
      <c r="A400">
        <v>4</v>
      </c>
      <c r="B400" t="s">
        <v>261</v>
      </c>
      <c r="C400">
        <v>4</v>
      </c>
      <c r="D400">
        <v>1</v>
      </c>
      <c r="E400">
        <v>1</v>
      </c>
      <c r="F400">
        <v>1</v>
      </c>
      <c r="G400">
        <v>0.95</v>
      </c>
      <c r="H400">
        <v>1399.65</v>
      </c>
      <c r="I400">
        <v>1747.57</v>
      </c>
      <c r="J400">
        <v>30.08</v>
      </c>
      <c r="K400">
        <v>2259.0300000000002</v>
      </c>
      <c r="L400">
        <v>2711.79</v>
      </c>
      <c r="M400">
        <v>-26.27</v>
      </c>
    </row>
    <row r="401" spans="1:13">
      <c r="A401">
        <v>4</v>
      </c>
      <c r="B401" t="s">
        <v>261</v>
      </c>
      <c r="C401">
        <v>4</v>
      </c>
      <c r="D401">
        <v>1</v>
      </c>
      <c r="E401">
        <v>1</v>
      </c>
      <c r="F401">
        <v>2</v>
      </c>
      <c r="G401">
        <v>3.7509999999999999</v>
      </c>
      <c r="H401">
        <v>4676.63</v>
      </c>
      <c r="I401">
        <v>46.46</v>
      </c>
      <c r="J401">
        <v>30.08</v>
      </c>
      <c r="K401">
        <v>7201.99</v>
      </c>
      <c r="L401">
        <v>-77.650000000000006</v>
      </c>
      <c r="M401">
        <v>-26.27</v>
      </c>
    </row>
    <row r="402" spans="1:13">
      <c r="A402">
        <v>4</v>
      </c>
      <c r="B402" t="s">
        <v>261</v>
      </c>
      <c r="C402">
        <v>4</v>
      </c>
      <c r="D402">
        <v>1</v>
      </c>
      <c r="E402">
        <v>1</v>
      </c>
      <c r="F402">
        <v>3</v>
      </c>
      <c r="G402">
        <v>6.5510000000000002</v>
      </c>
      <c r="H402">
        <v>816.37</v>
      </c>
      <c r="I402">
        <v>-2232.4299999999998</v>
      </c>
      <c r="J402">
        <v>30.08</v>
      </c>
      <c r="K402">
        <v>3111.94</v>
      </c>
      <c r="L402">
        <v>-2289.31</v>
      </c>
      <c r="M402">
        <v>-26.27</v>
      </c>
    </row>
    <row r="403" spans="1:13">
      <c r="A403">
        <v>4</v>
      </c>
      <c r="B403" t="s">
        <v>261</v>
      </c>
      <c r="C403">
        <v>4</v>
      </c>
      <c r="D403">
        <v>1</v>
      </c>
      <c r="E403">
        <v>1</v>
      </c>
      <c r="F403" t="s">
        <v>259</v>
      </c>
      <c r="G403">
        <v>7.5</v>
      </c>
      <c r="H403">
        <v>-1555.47</v>
      </c>
      <c r="I403">
        <v>-5630</v>
      </c>
      <c r="J403">
        <v>30.08</v>
      </c>
      <c r="K403">
        <v>650.04</v>
      </c>
      <c r="L403">
        <v>-6165</v>
      </c>
      <c r="M403">
        <v>-26.27</v>
      </c>
    </row>
    <row r="404" spans="1:13">
      <c r="A404">
        <v>4</v>
      </c>
      <c r="B404" t="s">
        <v>261</v>
      </c>
      <c r="C404">
        <v>5</v>
      </c>
      <c r="D404">
        <v>1</v>
      </c>
      <c r="E404">
        <v>1</v>
      </c>
      <c r="F404" t="s">
        <v>258</v>
      </c>
      <c r="G404">
        <v>0</v>
      </c>
      <c r="H404">
        <v>-215.7</v>
      </c>
      <c r="I404">
        <v>454.1</v>
      </c>
      <c r="J404">
        <v>0</v>
      </c>
      <c r="K404">
        <v>-215.7</v>
      </c>
      <c r="L404">
        <v>454.1</v>
      </c>
      <c r="M404">
        <v>0</v>
      </c>
    </row>
    <row r="405" spans="1:13">
      <c r="A405">
        <v>4</v>
      </c>
      <c r="B405" t="s">
        <v>261</v>
      </c>
      <c r="C405">
        <v>5</v>
      </c>
      <c r="D405">
        <v>1</v>
      </c>
      <c r="E405">
        <v>1</v>
      </c>
      <c r="F405" t="s">
        <v>259</v>
      </c>
      <c r="G405">
        <v>0.95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</row>
    <row r="406" spans="1:13">
      <c r="A406">
        <v>4</v>
      </c>
      <c r="B406" t="s">
        <v>261</v>
      </c>
      <c r="C406">
        <v>6</v>
      </c>
      <c r="D406">
        <v>0</v>
      </c>
      <c r="E406">
        <v>2</v>
      </c>
      <c r="F406" t="s">
        <v>258</v>
      </c>
      <c r="G406">
        <v>0</v>
      </c>
      <c r="H406">
        <v>0</v>
      </c>
      <c r="I406">
        <v>0</v>
      </c>
      <c r="J406">
        <v>0</v>
      </c>
      <c r="K406">
        <v>2818.56</v>
      </c>
      <c r="L406">
        <v>-268.44</v>
      </c>
      <c r="M406">
        <v>-9950.83</v>
      </c>
    </row>
    <row r="407" spans="1:13">
      <c r="A407">
        <v>4</v>
      </c>
      <c r="B407" t="s">
        <v>261</v>
      </c>
      <c r="C407">
        <v>6</v>
      </c>
      <c r="D407">
        <v>0</v>
      </c>
      <c r="E407">
        <v>2</v>
      </c>
      <c r="F407" t="s">
        <v>259</v>
      </c>
      <c r="G407">
        <v>1.5249999999999999</v>
      </c>
      <c r="H407">
        <v>0</v>
      </c>
      <c r="I407">
        <v>0</v>
      </c>
      <c r="J407">
        <v>0</v>
      </c>
      <c r="K407">
        <v>2409.19</v>
      </c>
      <c r="L407">
        <v>-268.44</v>
      </c>
      <c r="M407">
        <v>-9950.83</v>
      </c>
    </row>
    <row r="408" spans="1:13">
      <c r="A408">
        <v>4</v>
      </c>
      <c r="B408" t="s">
        <v>261</v>
      </c>
      <c r="C408">
        <v>7</v>
      </c>
      <c r="D408">
        <v>0</v>
      </c>
      <c r="E408">
        <v>2</v>
      </c>
      <c r="F408" t="s">
        <v>258</v>
      </c>
      <c r="G408">
        <v>0</v>
      </c>
      <c r="H408">
        <v>0</v>
      </c>
      <c r="I408">
        <v>0</v>
      </c>
      <c r="J408">
        <v>0</v>
      </c>
      <c r="K408">
        <v>2409.19</v>
      </c>
      <c r="L408">
        <v>-268.44</v>
      </c>
      <c r="M408">
        <v>-9950.83</v>
      </c>
    </row>
    <row r="409" spans="1:13">
      <c r="A409">
        <v>4</v>
      </c>
      <c r="B409" t="s">
        <v>261</v>
      </c>
      <c r="C409">
        <v>7</v>
      </c>
      <c r="D409">
        <v>0</v>
      </c>
      <c r="E409">
        <v>2</v>
      </c>
      <c r="F409" t="s">
        <v>259</v>
      </c>
      <c r="G409">
        <v>17.074999999999999</v>
      </c>
      <c r="H409">
        <v>0</v>
      </c>
      <c r="I409">
        <v>0</v>
      </c>
      <c r="J409">
        <v>0</v>
      </c>
      <c r="K409">
        <v>1727.73</v>
      </c>
      <c r="L409">
        <v>-268.44</v>
      </c>
      <c r="M409">
        <v>-12947.14</v>
      </c>
    </row>
    <row r="410" spans="1:13">
      <c r="A410">
        <v>4</v>
      </c>
      <c r="B410" t="s">
        <v>261</v>
      </c>
      <c r="C410">
        <v>8</v>
      </c>
      <c r="D410">
        <v>0</v>
      </c>
      <c r="E410">
        <v>2</v>
      </c>
      <c r="F410" t="s">
        <v>258</v>
      </c>
      <c r="G410">
        <v>0</v>
      </c>
      <c r="H410">
        <v>0</v>
      </c>
      <c r="I410">
        <v>0</v>
      </c>
      <c r="J410">
        <v>0</v>
      </c>
      <c r="K410">
        <v>-1855.34</v>
      </c>
      <c r="L410">
        <v>-244.29</v>
      </c>
      <c r="M410">
        <v>-11316.29</v>
      </c>
    </row>
    <row r="411" spans="1:13">
      <c r="A411">
        <v>4</v>
      </c>
      <c r="B411" t="s">
        <v>261</v>
      </c>
      <c r="C411">
        <v>8</v>
      </c>
      <c r="D411">
        <v>0</v>
      </c>
      <c r="E411">
        <v>2</v>
      </c>
      <c r="F411" t="s">
        <v>259</v>
      </c>
      <c r="G411">
        <v>1.5249999999999999</v>
      </c>
      <c r="H411">
        <v>0</v>
      </c>
      <c r="I411">
        <v>0</v>
      </c>
      <c r="J411">
        <v>0</v>
      </c>
      <c r="K411">
        <v>2108.65</v>
      </c>
      <c r="L411">
        <v>-212.98</v>
      </c>
      <c r="M411">
        <v>-11551.91</v>
      </c>
    </row>
    <row r="412" spans="1:13">
      <c r="A412">
        <v>4</v>
      </c>
      <c r="B412" t="s">
        <v>261</v>
      </c>
      <c r="C412">
        <v>9</v>
      </c>
      <c r="D412">
        <v>0</v>
      </c>
      <c r="E412">
        <v>2</v>
      </c>
      <c r="F412" t="s">
        <v>258</v>
      </c>
      <c r="G412">
        <v>0</v>
      </c>
      <c r="H412">
        <v>0</v>
      </c>
      <c r="I412">
        <v>0</v>
      </c>
      <c r="J412">
        <v>0</v>
      </c>
      <c r="K412">
        <v>1797.91</v>
      </c>
      <c r="L412">
        <v>-212.98</v>
      </c>
      <c r="M412">
        <v>-11551.91</v>
      </c>
    </row>
    <row r="413" spans="1:13">
      <c r="A413">
        <v>4</v>
      </c>
      <c r="B413" t="s">
        <v>261</v>
      </c>
      <c r="C413">
        <v>9</v>
      </c>
      <c r="D413">
        <v>0</v>
      </c>
      <c r="E413">
        <v>2</v>
      </c>
      <c r="F413" t="s">
        <v>259</v>
      </c>
      <c r="G413">
        <v>17.074999999999999</v>
      </c>
      <c r="H413">
        <v>0</v>
      </c>
      <c r="I413">
        <v>0</v>
      </c>
      <c r="J413">
        <v>0</v>
      </c>
      <c r="K413">
        <v>1640.5</v>
      </c>
      <c r="L413">
        <v>-212.98</v>
      </c>
      <c r="M413">
        <v>-14548.21</v>
      </c>
    </row>
    <row r="414" spans="1:13">
      <c r="A414">
        <v>4</v>
      </c>
      <c r="B414" t="s">
        <v>261</v>
      </c>
      <c r="C414">
        <v>10</v>
      </c>
      <c r="D414">
        <v>0</v>
      </c>
      <c r="E414">
        <v>2</v>
      </c>
      <c r="F414" t="s">
        <v>258</v>
      </c>
      <c r="G414">
        <v>0</v>
      </c>
      <c r="H414">
        <v>0</v>
      </c>
      <c r="I414">
        <v>0</v>
      </c>
      <c r="J414">
        <v>0</v>
      </c>
      <c r="K414">
        <v>1477.92</v>
      </c>
      <c r="L414">
        <v>-194</v>
      </c>
      <c r="M414">
        <v>-11447.6</v>
      </c>
    </row>
    <row r="415" spans="1:13">
      <c r="A415">
        <v>4</v>
      </c>
      <c r="B415" t="s">
        <v>261</v>
      </c>
      <c r="C415">
        <v>10</v>
      </c>
      <c r="D415">
        <v>0</v>
      </c>
      <c r="E415">
        <v>2</v>
      </c>
      <c r="F415" t="s">
        <v>259</v>
      </c>
      <c r="G415">
        <v>1.5249999999999999</v>
      </c>
      <c r="H415">
        <v>0</v>
      </c>
      <c r="I415">
        <v>0</v>
      </c>
      <c r="J415">
        <v>0</v>
      </c>
      <c r="K415">
        <v>-1889.67</v>
      </c>
      <c r="L415">
        <v>-194</v>
      </c>
      <c r="M415">
        <v>-11447.6</v>
      </c>
    </row>
    <row r="416" spans="1:13">
      <c r="A416">
        <v>4</v>
      </c>
      <c r="B416" t="s">
        <v>261</v>
      </c>
      <c r="C416">
        <v>11</v>
      </c>
      <c r="D416">
        <v>0</v>
      </c>
      <c r="E416">
        <v>3</v>
      </c>
      <c r="F416" t="s">
        <v>258</v>
      </c>
      <c r="G416">
        <v>0</v>
      </c>
      <c r="H416">
        <v>0</v>
      </c>
      <c r="I416">
        <v>0</v>
      </c>
      <c r="J416">
        <v>0</v>
      </c>
      <c r="K416">
        <v>-1914.23</v>
      </c>
      <c r="L416">
        <v>184.48</v>
      </c>
      <c r="M416">
        <v>-10429.27</v>
      </c>
    </row>
    <row r="417" spans="1:13">
      <c r="A417">
        <v>4</v>
      </c>
      <c r="B417" t="s">
        <v>261</v>
      </c>
      <c r="C417">
        <v>11</v>
      </c>
      <c r="D417">
        <v>0</v>
      </c>
      <c r="E417">
        <v>3</v>
      </c>
      <c r="F417" t="s">
        <v>259</v>
      </c>
      <c r="G417">
        <v>17.074999999999999</v>
      </c>
      <c r="H417">
        <v>0</v>
      </c>
      <c r="I417">
        <v>0</v>
      </c>
      <c r="J417">
        <v>0</v>
      </c>
      <c r="K417">
        <v>-1480.99</v>
      </c>
      <c r="L417">
        <v>184.48</v>
      </c>
      <c r="M417">
        <v>-13425.57</v>
      </c>
    </row>
    <row r="418" spans="1:13">
      <c r="A418">
        <v>4</v>
      </c>
      <c r="B418" t="s">
        <v>261</v>
      </c>
      <c r="C418">
        <v>12</v>
      </c>
      <c r="D418">
        <v>0</v>
      </c>
      <c r="E418">
        <v>3</v>
      </c>
      <c r="F418" t="s">
        <v>258</v>
      </c>
      <c r="G418">
        <v>0</v>
      </c>
      <c r="H418">
        <v>0</v>
      </c>
      <c r="I418">
        <v>0</v>
      </c>
      <c r="J418">
        <v>0</v>
      </c>
      <c r="K418">
        <v>-1950.58</v>
      </c>
      <c r="L418">
        <v>207.54</v>
      </c>
      <c r="M418">
        <v>-9110.89</v>
      </c>
    </row>
    <row r="419" spans="1:13">
      <c r="A419">
        <v>4</v>
      </c>
      <c r="B419" t="s">
        <v>261</v>
      </c>
      <c r="C419">
        <v>12</v>
      </c>
      <c r="D419">
        <v>0</v>
      </c>
      <c r="E419">
        <v>3</v>
      </c>
      <c r="F419" t="s">
        <v>259</v>
      </c>
      <c r="G419">
        <v>1.5249999999999999</v>
      </c>
      <c r="H419">
        <v>0</v>
      </c>
      <c r="I419">
        <v>0</v>
      </c>
      <c r="J419">
        <v>0</v>
      </c>
      <c r="K419">
        <v>-1817.54</v>
      </c>
      <c r="L419">
        <v>207.54</v>
      </c>
      <c r="M419">
        <v>-9110.89</v>
      </c>
    </row>
    <row r="420" spans="1:13">
      <c r="A420">
        <v>4</v>
      </c>
      <c r="B420" t="s">
        <v>261</v>
      </c>
      <c r="C420">
        <v>13</v>
      </c>
      <c r="D420">
        <v>0</v>
      </c>
      <c r="E420">
        <v>3</v>
      </c>
      <c r="F420" t="s">
        <v>258</v>
      </c>
      <c r="G420">
        <v>0</v>
      </c>
      <c r="H420">
        <v>0</v>
      </c>
      <c r="I420">
        <v>0</v>
      </c>
      <c r="J420">
        <v>0</v>
      </c>
      <c r="K420">
        <v>1082.73</v>
      </c>
      <c r="L420">
        <v>207.54</v>
      </c>
      <c r="M420">
        <v>-9110.89</v>
      </c>
    </row>
    <row r="421" spans="1:13">
      <c r="A421">
        <v>4</v>
      </c>
      <c r="B421" t="s">
        <v>261</v>
      </c>
      <c r="C421">
        <v>13</v>
      </c>
      <c r="D421">
        <v>0</v>
      </c>
      <c r="E421">
        <v>3</v>
      </c>
      <c r="F421" t="s">
        <v>259</v>
      </c>
      <c r="G421">
        <v>17.074999999999999</v>
      </c>
      <c r="H421">
        <v>0</v>
      </c>
      <c r="I421">
        <v>0</v>
      </c>
      <c r="J421">
        <v>0</v>
      </c>
      <c r="K421">
        <v>-1637.99</v>
      </c>
      <c r="L421">
        <v>209.05</v>
      </c>
      <c r="M421">
        <v>-10599.61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DispSheet"/>
  <dimension ref="A1:K169"/>
  <sheetViews>
    <sheetView zoomScaleNormal="100" workbookViewId="0">
      <selection activeCell="F2" sqref="F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11" width="9" customWidth="1"/>
  </cols>
  <sheetData>
    <row r="1" spans="1:11">
      <c r="A1" t="s">
        <v>245</v>
      </c>
      <c r="B1" t="s">
        <v>246</v>
      </c>
      <c r="C1" t="s">
        <v>262</v>
      </c>
      <c r="D1" t="s">
        <v>248</v>
      </c>
      <c r="E1" t="s">
        <v>249</v>
      </c>
      <c r="F1" t="s">
        <v>263</v>
      </c>
      <c r="G1" t="s">
        <v>264</v>
      </c>
      <c r="H1" t="s">
        <v>265</v>
      </c>
      <c r="I1" t="s">
        <v>266</v>
      </c>
      <c r="J1" t="s">
        <v>267</v>
      </c>
      <c r="K1" t="s">
        <v>268</v>
      </c>
    </row>
    <row r="2" spans="1:11">
      <c r="A2">
        <v>1</v>
      </c>
      <c r="B2" t="s">
        <v>118</v>
      </c>
      <c r="C2">
        <v>1</v>
      </c>
      <c r="D2">
        <v>13</v>
      </c>
      <c r="E2">
        <v>13</v>
      </c>
      <c r="F2">
        <v>3.9167849999999999E-3</v>
      </c>
      <c r="G2">
        <v>7.0773069999999997E-4</v>
      </c>
      <c r="H2">
        <v>7.5244699999999995E-5</v>
      </c>
      <c r="I2">
        <v>-2.7885499999999999E-3</v>
      </c>
      <c r="J2">
        <v>9.4460530000000005E-4</v>
      </c>
      <c r="K2">
        <v>3.4260900000000003E-5</v>
      </c>
    </row>
    <row r="3" spans="1:11">
      <c r="A3">
        <v>1</v>
      </c>
      <c r="B3" t="s">
        <v>118</v>
      </c>
      <c r="C3">
        <v>2</v>
      </c>
      <c r="D3">
        <v>13</v>
      </c>
      <c r="E3">
        <v>13</v>
      </c>
      <c r="F3">
        <v>3.679285E-3</v>
      </c>
      <c r="G3">
        <v>7.7921380000000001E-4</v>
      </c>
      <c r="H3">
        <v>7.5247500000000001E-5</v>
      </c>
      <c r="I3">
        <v>-2.8360500000000001E-3</v>
      </c>
      <c r="J3">
        <v>9.7715390000000001E-4</v>
      </c>
      <c r="K3">
        <v>3.4263800000000002E-5</v>
      </c>
    </row>
    <row r="4" spans="1:11">
      <c r="A4">
        <v>1</v>
      </c>
      <c r="B4" t="s">
        <v>118</v>
      </c>
      <c r="C4">
        <v>3</v>
      </c>
      <c r="D4">
        <v>13</v>
      </c>
      <c r="E4">
        <v>13</v>
      </c>
      <c r="F4">
        <v>2.9404750000000001E-3</v>
      </c>
      <c r="G4">
        <v>1.113576E-3</v>
      </c>
      <c r="H4">
        <v>1.8980599999999999E-5</v>
      </c>
      <c r="I4">
        <v>-2.8477839999999999E-3</v>
      </c>
      <c r="J4">
        <v>1.1476920000000001E-3</v>
      </c>
      <c r="K4">
        <v>-1.0316E-6</v>
      </c>
    </row>
    <row r="5" spans="1:11">
      <c r="A5">
        <v>1</v>
      </c>
      <c r="B5" t="s">
        <v>118</v>
      </c>
      <c r="C5">
        <v>4</v>
      </c>
      <c r="D5">
        <v>13</v>
      </c>
      <c r="E5">
        <v>13</v>
      </c>
      <c r="F5">
        <v>2.7146900000000001E-3</v>
      </c>
      <c r="G5">
        <v>1.0471339999999999E-3</v>
      </c>
      <c r="H5">
        <v>-2.6534200000000001E-5</v>
      </c>
      <c r="I5">
        <v>-3.074266E-3</v>
      </c>
      <c r="J5">
        <v>1.0049690000000001E-3</v>
      </c>
      <c r="K5">
        <v>-3.9675100000000002E-5</v>
      </c>
    </row>
    <row r="6" spans="1:11">
      <c r="A6">
        <v>1</v>
      </c>
      <c r="B6" t="s">
        <v>118</v>
      </c>
      <c r="C6">
        <v>5</v>
      </c>
      <c r="D6">
        <v>13</v>
      </c>
      <c r="E6">
        <v>13</v>
      </c>
      <c r="F6">
        <v>2.3271329999999999E-3</v>
      </c>
      <c r="G6">
        <v>7.6720569999999999E-4</v>
      </c>
      <c r="H6">
        <v>-4.2853299999999998E-5</v>
      </c>
      <c r="I6">
        <v>-3.4660509999999999E-3</v>
      </c>
      <c r="J6">
        <v>5.9658529999999995E-4</v>
      </c>
      <c r="K6">
        <v>-7.4314999999999996E-5</v>
      </c>
    </row>
    <row r="7" spans="1:11">
      <c r="A7">
        <v>1</v>
      </c>
      <c r="B7" t="s">
        <v>118</v>
      </c>
      <c r="C7">
        <v>6</v>
      </c>
      <c r="D7">
        <v>13</v>
      </c>
      <c r="E7">
        <v>13</v>
      </c>
      <c r="F7">
        <v>2.3252839999999999E-3</v>
      </c>
      <c r="G7">
        <v>7.2649710000000003E-4</v>
      </c>
      <c r="H7">
        <v>-4.2850399999999999E-5</v>
      </c>
      <c r="I7">
        <v>-3.4752979999999999E-3</v>
      </c>
      <c r="J7">
        <v>5.2598800000000002E-4</v>
      </c>
      <c r="K7">
        <v>-7.4312200000000003E-5</v>
      </c>
    </row>
    <row r="8" spans="1:11">
      <c r="A8">
        <v>1</v>
      </c>
      <c r="B8" t="s">
        <v>118</v>
      </c>
      <c r="C8">
        <v>7</v>
      </c>
      <c r="D8">
        <v>13</v>
      </c>
      <c r="E8">
        <v>13</v>
      </c>
      <c r="F8">
        <v>3.5643739999999999E-3</v>
      </c>
      <c r="G8">
        <v>7.7880379999999995E-4</v>
      </c>
      <c r="H8">
        <v>7.5449699999999997E-5</v>
      </c>
      <c r="I8">
        <v>-2.8881129999999999E-3</v>
      </c>
      <c r="J8">
        <v>9.7661629999999991E-4</v>
      </c>
      <c r="K8">
        <v>3.4021199999999999E-5</v>
      </c>
    </row>
    <row r="9" spans="1:11">
      <c r="A9">
        <v>1</v>
      </c>
      <c r="B9" t="s">
        <v>118</v>
      </c>
      <c r="C9">
        <v>8</v>
      </c>
      <c r="D9">
        <v>13</v>
      </c>
      <c r="E9">
        <v>13</v>
      </c>
      <c r="F9">
        <v>2.9113730000000001E-3</v>
      </c>
      <c r="G9">
        <v>1.112951E-3</v>
      </c>
      <c r="H9">
        <v>1.9180900000000001E-5</v>
      </c>
      <c r="I9">
        <v>-2.8460460000000001E-3</v>
      </c>
      <c r="J9">
        <v>1.1470440000000001E-3</v>
      </c>
      <c r="K9">
        <v>-1.2418999999999999E-6</v>
      </c>
    </row>
    <row r="10" spans="1:11">
      <c r="A10">
        <v>1</v>
      </c>
      <c r="B10" t="s">
        <v>118</v>
      </c>
      <c r="C10">
        <v>9</v>
      </c>
      <c r="D10">
        <v>13</v>
      </c>
      <c r="E10">
        <v>13</v>
      </c>
      <c r="F10">
        <v>2.754977E-3</v>
      </c>
      <c r="G10">
        <v>1.0465520000000001E-3</v>
      </c>
      <c r="H10">
        <v>-2.6307799999999999E-5</v>
      </c>
      <c r="I10">
        <v>-3.0136120000000001E-3</v>
      </c>
      <c r="J10">
        <v>1.004413E-3</v>
      </c>
      <c r="K10">
        <v>-3.9865900000000001E-5</v>
      </c>
    </row>
    <row r="11" spans="1:11">
      <c r="A11">
        <v>1</v>
      </c>
      <c r="B11" t="s">
        <v>118</v>
      </c>
      <c r="C11">
        <v>10</v>
      </c>
      <c r="D11">
        <v>13</v>
      </c>
      <c r="E11">
        <v>13</v>
      </c>
      <c r="F11">
        <v>2.392318E-3</v>
      </c>
      <c r="G11">
        <v>7.6680349999999999E-4</v>
      </c>
      <c r="H11">
        <v>-4.2640299999999999E-5</v>
      </c>
      <c r="I11">
        <v>-3.3525730000000002E-3</v>
      </c>
      <c r="J11">
        <v>5.9629300000000002E-4</v>
      </c>
      <c r="K11">
        <v>-7.4502300000000007E-5</v>
      </c>
    </row>
    <row r="12" spans="1:11">
      <c r="A12">
        <v>1</v>
      </c>
      <c r="B12" t="s">
        <v>118</v>
      </c>
      <c r="C12">
        <v>11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>
      <c r="A13">
        <v>1</v>
      </c>
      <c r="B13" t="s">
        <v>118</v>
      </c>
      <c r="C13">
        <v>12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</row>
    <row r="14" spans="1:11">
      <c r="A14">
        <v>1</v>
      </c>
      <c r="B14" t="s">
        <v>118</v>
      </c>
      <c r="C14">
        <v>13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>
      <c r="A15">
        <v>1</v>
      </c>
      <c r="B15" t="s">
        <v>118</v>
      </c>
      <c r="C15">
        <v>14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>
      <c r="A16">
        <v>1</v>
      </c>
      <c r="B16" t="s">
        <v>119</v>
      </c>
      <c r="C16">
        <v>1</v>
      </c>
      <c r="D16">
        <v>2</v>
      </c>
      <c r="E16">
        <v>0</v>
      </c>
      <c r="F16">
        <v>-1.5531449999999999E-3</v>
      </c>
      <c r="G16">
        <v>1.0983779999999999E-3</v>
      </c>
      <c r="H16">
        <v>4.1310999999999998E-5</v>
      </c>
      <c r="I16">
        <v>0</v>
      </c>
      <c r="J16">
        <v>0</v>
      </c>
      <c r="K16">
        <v>0</v>
      </c>
    </row>
    <row r="17" spans="1:11">
      <c r="A17">
        <v>1</v>
      </c>
      <c r="B17" t="s">
        <v>119</v>
      </c>
      <c r="C17">
        <v>2</v>
      </c>
      <c r="D17">
        <v>2</v>
      </c>
      <c r="E17">
        <v>0</v>
      </c>
      <c r="F17">
        <v>-1.6006449999999999E-3</v>
      </c>
      <c r="G17">
        <v>1.137625E-3</v>
      </c>
      <c r="H17">
        <v>4.1314199999999998E-5</v>
      </c>
      <c r="I17">
        <v>0</v>
      </c>
      <c r="J17">
        <v>0</v>
      </c>
      <c r="K17">
        <v>0</v>
      </c>
    </row>
    <row r="18" spans="1:11">
      <c r="A18">
        <v>1</v>
      </c>
      <c r="B18" t="s">
        <v>119</v>
      </c>
      <c r="C18">
        <v>3</v>
      </c>
      <c r="D18">
        <v>10</v>
      </c>
      <c r="E18">
        <v>0</v>
      </c>
      <c r="F18">
        <v>-1.6076720000000001E-3</v>
      </c>
      <c r="G18">
        <v>1.3142119999999999E-3</v>
      </c>
      <c r="H18">
        <v>-4.6592999999999996E-6</v>
      </c>
      <c r="I18">
        <v>0</v>
      </c>
      <c r="J18">
        <v>0</v>
      </c>
      <c r="K18">
        <v>0</v>
      </c>
    </row>
    <row r="19" spans="1:11">
      <c r="A19">
        <v>1</v>
      </c>
      <c r="B19" t="s">
        <v>119</v>
      </c>
      <c r="C19">
        <v>4</v>
      </c>
      <c r="D19">
        <v>11</v>
      </c>
      <c r="E19">
        <v>0</v>
      </c>
      <c r="F19">
        <v>1.1003390000000001E-3</v>
      </c>
      <c r="G19">
        <v>1.197456E-3</v>
      </c>
      <c r="H19">
        <v>-2.6878700000000001E-5</v>
      </c>
      <c r="I19">
        <v>0</v>
      </c>
      <c r="J19">
        <v>0</v>
      </c>
      <c r="K19">
        <v>0</v>
      </c>
    </row>
    <row r="20" spans="1:11">
      <c r="A20">
        <v>1</v>
      </c>
      <c r="B20" t="s">
        <v>119</v>
      </c>
      <c r="C20">
        <v>5</v>
      </c>
      <c r="D20">
        <v>3</v>
      </c>
      <c r="E20">
        <v>0</v>
      </c>
      <c r="F20">
        <v>1.0658569999999999E-3</v>
      </c>
      <c r="G20">
        <v>8.9287860000000004E-4</v>
      </c>
      <c r="H20">
        <v>-5.0102699999999997E-5</v>
      </c>
      <c r="I20">
        <v>0</v>
      </c>
      <c r="J20">
        <v>0</v>
      </c>
      <c r="K20">
        <v>0</v>
      </c>
    </row>
    <row r="21" spans="1:11">
      <c r="A21">
        <v>1</v>
      </c>
      <c r="B21" t="s">
        <v>119</v>
      </c>
      <c r="C21">
        <v>6</v>
      </c>
      <c r="D21">
        <v>3</v>
      </c>
      <c r="E21">
        <v>0</v>
      </c>
      <c r="F21">
        <v>1.064008E-3</v>
      </c>
      <c r="G21">
        <v>8.4528480000000002E-4</v>
      </c>
      <c r="H21">
        <v>-5.0097099999999998E-5</v>
      </c>
      <c r="I21">
        <v>0</v>
      </c>
      <c r="J21">
        <v>0</v>
      </c>
      <c r="K21">
        <v>0</v>
      </c>
    </row>
    <row r="22" spans="1:11">
      <c r="A22">
        <v>1</v>
      </c>
      <c r="B22" t="s">
        <v>119</v>
      </c>
      <c r="C22">
        <v>7</v>
      </c>
      <c r="D22">
        <v>2</v>
      </c>
      <c r="E22">
        <v>0</v>
      </c>
      <c r="F22">
        <v>-1.663526E-3</v>
      </c>
      <c r="G22">
        <v>1.136984E-3</v>
      </c>
      <c r="H22">
        <v>4.1156699999999998E-5</v>
      </c>
      <c r="I22">
        <v>0</v>
      </c>
      <c r="J22">
        <v>0</v>
      </c>
      <c r="K22">
        <v>0</v>
      </c>
    </row>
    <row r="23" spans="1:11">
      <c r="A23">
        <v>1</v>
      </c>
      <c r="B23" t="s">
        <v>119</v>
      </c>
      <c r="C23">
        <v>8</v>
      </c>
      <c r="D23">
        <v>10</v>
      </c>
      <c r="E23">
        <v>0</v>
      </c>
      <c r="F23">
        <v>-1.600476E-3</v>
      </c>
      <c r="G23">
        <v>1.3134570000000001E-3</v>
      </c>
      <c r="H23">
        <v>-4.7742E-6</v>
      </c>
      <c r="I23">
        <v>0</v>
      </c>
      <c r="J23">
        <v>0</v>
      </c>
      <c r="K23">
        <v>0</v>
      </c>
    </row>
    <row r="24" spans="1:11">
      <c r="A24">
        <v>1</v>
      </c>
      <c r="B24" t="s">
        <v>119</v>
      </c>
      <c r="C24">
        <v>9</v>
      </c>
      <c r="D24">
        <v>11</v>
      </c>
      <c r="E24">
        <v>0</v>
      </c>
      <c r="F24">
        <v>1.1412460000000001E-3</v>
      </c>
      <c r="G24">
        <v>1.196777E-3</v>
      </c>
      <c r="H24">
        <v>-2.67718E-5</v>
      </c>
      <c r="I24">
        <v>0</v>
      </c>
      <c r="J24">
        <v>0</v>
      </c>
      <c r="K24">
        <v>0</v>
      </c>
    </row>
    <row r="25" spans="1:11">
      <c r="A25">
        <v>1</v>
      </c>
      <c r="B25" t="s">
        <v>119</v>
      </c>
      <c r="C25">
        <v>10</v>
      </c>
      <c r="D25">
        <v>3</v>
      </c>
      <c r="E25">
        <v>0</v>
      </c>
      <c r="F25">
        <v>1.1421650000000001E-3</v>
      </c>
      <c r="G25">
        <v>8.9239539999999996E-4</v>
      </c>
      <c r="H25">
        <v>-4.9976499999999998E-5</v>
      </c>
      <c r="I25">
        <v>0</v>
      </c>
      <c r="J25">
        <v>0</v>
      </c>
      <c r="K25">
        <v>0</v>
      </c>
    </row>
    <row r="26" spans="1:11">
      <c r="A26">
        <v>1</v>
      </c>
      <c r="B26" t="s">
        <v>119</v>
      </c>
      <c r="C26">
        <v>11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>
      <c r="A27">
        <v>1</v>
      </c>
      <c r="B27" t="s">
        <v>119</v>
      </c>
      <c r="C27">
        <v>12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>
      <c r="A28">
        <v>1</v>
      </c>
      <c r="B28" t="s">
        <v>119</v>
      </c>
      <c r="C28">
        <v>13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>
      <c r="A29">
        <v>1</v>
      </c>
      <c r="B29" t="s">
        <v>119</v>
      </c>
      <c r="C29">
        <v>14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>
      <c r="A30">
        <v>1</v>
      </c>
      <c r="B30" t="s">
        <v>124</v>
      </c>
      <c r="C30">
        <v>1</v>
      </c>
      <c r="D30">
        <v>13</v>
      </c>
      <c r="E30">
        <v>0</v>
      </c>
      <c r="F30">
        <v>3.9167849999999999E-3</v>
      </c>
      <c r="G30">
        <v>7.0773069999999997E-4</v>
      </c>
      <c r="H30">
        <v>7.5244699999999995E-5</v>
      </c>
      <c r="I30">
        <v>0</v>
      </c>
      <c r="J30">
        <v>0</v>
      </c>
      <c r="K30">
        <v>0</v>
      </c>
    </row>
    <row r="31" spans="1:11">
      <c r="A31">
        <v>1</v>
      </c>
      <c r="B31" t="s">
        <v>124</v>
      </c>
      <c r="C31">
        <v>2</v>
      </c>
      <c r="D31">
        <v>13</v>
      </c>
      <c r="E31">
        <v>0</v>
      </c>
      <c r="F31">
        <v>3.679285E-3</v>
      </c>
      <c r="G31">
        <v>7.7921380000000001E-4</v>
      </c>
      <c r="H31">
        <v>7.5247500000000001E-5</v>
      </c>
      <c r="I31">
        <v>0</v>
      </c>
      <c r="J31">
        <v>0</v>
      </c>
      <c r="K31">
        <v>0</v>
      </c>
    </row>
    <row r="32" spans="1:11">
      <c r="A32">
        <v>1</v>
      </c>
      <c r="B32" t="s">
        <v>124</v>
      </c>
      <c r="C32">
        <v>3</v>
      </c>
      <c r="D32">
        <v>1</v>
      </c>
      <c r="E32">
        <v>2</v>
      </c>
      <c r="F32">
        <v>1.5555619999999999E-3</v>
      </c>
      <c r="G32">
        <v>1.1760690000000001E-3</v>
      </c>
      <c r="H32">
        <v>2.1642599999999998E-5</v>
      </c>
      <c r="I32">
        <v>-1.6126479999999999E-3</v>
      </c>
      <c r="J32">
        <v>1.3059720000000001E-3</v>
      </c>
      <c r="K32">
        <v>-6.0009999999999998E-6</v>
      </c>
    </row>
    <row r="33" spans="1:11">
      <c r="A33">
        <v>1</v>
      </c>
      <c r="B33" t="s">
        <v>124</v>
      </c>
      <c r="C33">
        <v>4</v>
      </c>
      <c r="D33">
        <v>0</v>
      </c>
      <c r="E33">
        <v>2</v>
      </c>
      <c r="F33">
        <v>0</v>
      </c>
      <c r="G33">
        <v>0</v>
      </c>
      <c r="H33">
        <v>0</v>
      </c>
      <c r="I33">
        <v>-1.8392459999999999E-3</v>
      </c>
      <c r="J33">
        <v>1.1086360000000001E-3</v>
      </c>
      <c r="K33">
        <v>-4.5128199999999999E-5</v>
      </c>
    </row>
    <row r="34" spans="1:11">
      <c r="A34">
        <v>1</v>
      </c>
      <c r="B34" t="s">
        <v>124</v>
      </c>
      <c r="C34">
        <v>5</v>
      </c>
      <c r="D34">
        <v>0</v>
      </c>
      <c r="E34">
        <v>9</v>
      </c>
      <c r="F34">
        <v>0</v>
      </c>
      <c r="G34">
        <v>0</v>
      </c>
      <c r="H34">
        <v>0</v>
      </c>
      <c r="I34">
        <v>-2.0761820000000002E-3</v>
      </c>
      <c r="J34">
        <v>6.5998879999999997E-4</v>
      </c>
      <c r="K34">
        <v>-7.4734799999999995E-5</v>
      </c>
    </row>
    <row r="35" spans="1:11">
      <c r="A35">
        <v>1</v>
      </c>
      <c r="B35" t="s">
        <v>124</v>
      </c>
      <c r="C35">
        <v>6</v>
      </c>
      <c r="D35">
        <v>0</v>
      </c>
      <c r="E35">
        <v>9</v>
      </c>
      <c r="F35">
        <v>0</v>
      </c>
      <c r="G35">
        <v>0</v>
      </c>
      <c r="H35">
        <v>0</v>
      </c>
      <c r="I35">
        <v>-2.0854290000000002E-3</v>
      </c>
      <c r="J35">
        <v>5.8899270000000001E-4</v>
      </c>
      <c r="K35">
        <v>-7.4732000000000002E-5</v>
      </c>
    </row>
    <row r="36" spans="1:11">
      <c r="A36">
        <v>1</v>
      </c>
      <c r="B36" t="s">
        <v>124</v>
      </c>
      <c r="C36">
        <v>7</v>
      </c>
      <c r="D36">
        <v>13</v>
      </c>
      <c r="E36">
        <v>0</v>
      </c>
      <c r="F36">
        <v>3.5643739999999999E-3</v>
      </c>
      <c r="G36">
        <v>7.7880379999999995E-4</v>
      </c>
      <c r="H36">
        <v>7.5449699999999997E-5</v>
      </c>
      <c r="I36">
        <v>0</v>
      </c>
      <c r="J36">
        <v>0</v>
      </c>
      <c r="K36">
        <v>0</v>
      </c>
    </row>
    <row r="37" spans="1:11">
      <c r="A37">
        <v>1</v>
      </c>
      <c r="B37" t="s">
        <v>124</v>
      </c>
      <c r="C37">
        <v>8</v>
      </c>
      <c r="D37">
        <v>1</v>
      </c>
      <c r="E37">
        <v>2</v>
      </c>
      <c r="F37">
        <v>1.5224819999999999E-3</v>
      </c>
      <c r="G37">
        <v>1.175403E-3</v>
      </c>
      <c r="H37">
        <v>2.17376E-5</v>
      </c>
      <c r="I37">
        <v>-1.603408E-3</v>
      </c>
      <c r="J37">
        <v>1.3052230000000001E-3</v>
      </c>
      <c r="K37">
        <v>-6.1148999999999997E-6</v>
      </c>
    </row>
    <row r="38" spans="1:11">
      <c r="A38">
        <v>1</v>
      </c>
      <c r="B38" t="s">
        <v>124</v>
      </c>
      <c r="C38">
        <v>9</v>
      </c>
      <c r="D38">
        <v>0</v>
      </c>
      <c r="E38">
        <v>2</v>
      </c>
      <c r="F38">
        <v>0</v>
      </c>
      <c r="G38">
        <v>0</v>
      </c>
      <c r="H38">
        <v>0</v>
      </c>
      <c r="I38">
        <v>-1.7703510000000001E-3</v>
      </c>
      <c r="J38">
        <v>1.108014E-3</v>
      </c>
      <c r="K38">
        <v>-4.5222200000000002E-5</v>
      </c>
    </row>
    <row r="39" spans="1:11">
      <c r="A39">
        <v>1</v>
      </c>
      <c r="B39" t="s">
        <v>124</v>
      </c>
      <c r="C39">
        <v>10</v>
      </c>
      <c r="D39">
        <v>0</v>
      </c>
      <c r="E39">
        <v>9</v>
      </c>
      <c r="F39">
        <v>0</v>
      </c>
      <c r="G39">
        <v>0</v>
      </c>
      <c r="H39">
        <v>0</v>
      </c>
      <c r="I39">
        <v>-1.9621460000000001E-3</v>
      </c>
      <c r="J39">
        <v>6.5965550000000005E-4</v>
      </c>
      <c r="K39">
        <v>-7.4818499999999995E-5</v>
      </c>
    </row>
    <row r="40" spans="1:11">
      <c r="A40">
        <v>1</v>
      </c>
      <c r="B40" t="s">
        <v>124</v>
      </c>
      <c r="C40">
        <v>11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1:11">
      <c r="A41">
        <v>1</v>
      </c>
      <c r="B41" t="s">
        <v>124</v>
      </c>
      <c r="C41">
        <v>12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</row>
    <row r="42" spans="1:11">
      <c r="A42">
        <v>1</v>
      </c>
      <c r="B42" t="s">
        <v>124</v>
      </c>
      <c r="C42">
        <v>13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</row>
    <row r="43" spans="1:11">
      <c r="A43">
        <v>1</v>
      </c>
      <c r="B43" t="s">
        <v>124</v>
      </c>
      <c r="C43">
        <v>14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</row>
    <row r="44" spans="1:11">
      <c r="A44">
        <v>2</v>
      </c>
      <c r="B44" t="s">
        <v>118</v>
      </c>
      <c r="C44">
        <v>1</v>
      </c>
      <c r="D44">
        <v>1</v>
      </c>
      <c r="E44">
        <v>1</v>
      </c>
      <c r="F44">
        <v>1.207336E-3</v>
      </c>
      <c r="G44">
        <v>7.2862529999999999E-4</v>
      </c>
      <c r="H44">
        <v>5.2231899999999997E-5</v>
      </c>
      <c r="I44">
        <v>-5.78297E-5</v>
      </c>
      <c r="J44">
        <v>7.4437250000000004E-4</v>
      </c>
      <c r="K44">
        <v>4.5440099999999999E-5</v>
      </c>
    </row>
    <row r="45" spans="1:11">
      <c r="A45">
        <v>2</v>
      </c>
      <c r="B45" t="s">
        <v>118</v>
      </c>
      <c r="C45">
        <v>2</v>
      </c>
      <c r="D45">
        <v>1</v>
      </c>
      <c r="E45">
        <v>1</v>
      </c>
      <c r="F45">
        <v>9.698358E-4</v>
      </c>
      <c r="G45">
        <v>7.7824619999999998E-4</v>
      </c>
      <c r="H45">
        <v>5.2234500000000003E-5</v>
      </c>
      <c r="I45">
        <v>-1.053297E-4</v>
      </c>
      <c r="J45">
        <v>7.8754129999999999E-4</v>
      </c>
      <c r="K45">
        <v>4.5442699999999998E-5</v>
      </c>
    </row>
    <row r="46" spans="1:11">
      <c r="A46">
        <v>2</v>
      </c>
      <c r="B46" t="s">
        <v>118</v>
      </c>
      <c r="C46">
        <v>3</v>
      </c>
      <c r="D46">
        <v>1</v>
      </c>
      <c r="E46">
        <v>1</v>
      </c>
      <c r="F46">
        <v>2.31461E-4</v>
      </c>
      <c r="G46">
        <v>1.003114E-3</v>
      </c>
      <c r="H46">
        <v>8.4807E-6</v>
      </c>
      <c r="I46">
        <v>-1.17003E-4</v>
      </c>
      <c r="J46">
        <v>1.0148329999999999E-3</v>
      </c>
      <c r="K46">
        <v>8.2405000000000001E-6</v>
      </c>
    </row>
    <row r="47" spans="1:11">
      <c r="A47">
        <v>2</v>
      </c>
      <c r="B47" t="s">
        <v>118</v>
      </c>
      <c r="C47">
        <v>4</v>
      </c>
      <c r="D47">
        <v>1</v>
      </c>
      <c r="E47">
        <v>1</v>
      </c>
      <c r="F47">
        <v>6.1035000000000001E-6</v>
      </c>
      <c r="G47">
        <v>9.1792420000000004E-4</v>
      </c>
      <c r="H47">
        <v>-2.78177E-5</v>
      </c>
      <c r="I47">
        <v>-3.432973E-4</v>
      </c>
      <c r="J47">
        <v>9.2348490000000001E-4</v>
      </c>
      <c r="K47">
        <v>-2.9428200000000001E-5</v>
      </c>
    </row>
    <row r="48" spans="1:11">
      <c r="A48">
        <v>2</v>
      </c>
      <c r="B48" t="s">
        <v>118</v>
      </c>
      <c r="C48">
        <v>5</v>
      </c>
      <c r="D48">
        <v>0</v>
      </c>
      <c r="E48">
        <v>1</v>
      </c>
      <c r="F48">
        <v>0</v>
      </c>
      <c r="G48">
        <v>0</v>
      </c>
      <c r="H48">
        <v>0</v>
      </c>
      <c r="I48">
        <v>-7.3479929999999995E-4</v>
      </c>
      <c r="J48">
        <v>6.1415350000000005E-4</v>
      </c>
      <c r="K48">
        <v>-5.3437299999999997E-5</v>
      </c>
    </row>
    <row r="49" spans="1:11">
      <c r="A49">
        <v>2</v>
      </c>
      <c r="B49" t="s">
        <v>118</v>
      </c>
      <c r="C49">
        <v>6</v>
      </c>
      <c r="D49">
        <v>0</v>
      </c>
      <c r="E49">
        <v>1</v>
      </c>
      <c r="F49">
        <v>0</v>
      </c>
      <c r="G49">
        <v>0</v>
      </c>
      <c r="H49">
        <v>0</v>
      </c>
      <c r="I49">
        <v>-7.4404620000000001E-4</v>
      </c>
      <c r="J49">
        <v>5.6338989999999995E-4</v>
      </c>
      <c r="K49">
        <v>-5.3434699999999998E-5</v>
      </c>
    </row>
    <row r="50" spans="1:11">
      <c r="A50">
        <v>2</v>
      </c>
      <c r="B50" t="s">
        <v>118</v>
      </c>
      <c r="C50">
        <v>7</v>
      </c>
      <c r="D50">
        <v>1</v>
      </c>
      <c r="E50">
        <v>1</v>
      </c>
      <c r="F50">
        <v>8.9015999999999997E-4</v>
      </c>
      <c r="G50">
        <v>7.778285E-4</v>
      </c>
      <c r="H50">
        <v>5.2257399999999999E-5</v>
      </c>
      <c r="I50">
        <v>-1.7459039999999999E-4</v>
      </c>
      <c r="J50">
        <v>7.8711760000000003E-4</v>
      </c>
      <c r="K50">
        <v>4.5392200000000002E-5</v>
      </c>
    </row>
    <row r="51" spans="1:11">
      <c r="A51">
        <v>2</v>
      </c>
      <c r="B51" t="s">
        <v>118</v>
      </c>
      <c r="C51">
        <v>8</v>
      </c>
      <c r="D51">
        <v>1</v>
      </c>
      <c r="E51">
        <v>1</v>
      </c>
      <c r="F51">
        <v>2.1852079999999999E-4</v>
      </c>
      <c r="G51">
        <v>1.0025520000000001E-3</v>
      </c>
      <c r="H51">
        <v>8.4898999999999998E-6</v>
      </c>
      <c r="I51">
        <v>-1.295569E-4</v>
      </c>
      <c r="J51">
        <v>1.0142630000000001E-3</v>
      </c>
      <c r="K51">
        <v>8.2239999999999995E-6</v>
      </c>
    </row>
    <row r="52" spans="1:11">
      <c r="A52">
        <v>2</v>
      </c>
      <c r="B52" t="s">
        <v>118</v>
      </c>
      <c r="C52">
        <v>9</v>
      </c>
      <c r="D52">
        <v>1</v>
      </c>
      <c r="E52">
        <v>1</v>
      </c>
      <c r="F52">
        <v>4.8504700000000003E-5</v>
      </c>
      <c r="G52">
        <v>9.1741640000000003E-4</v>
      </c>
      <c r="H52">
        <v>-2.7791099999999999E-5</v>
      </c>
      <c r="I52">
        <v>-2.9842090000000001E-4</v>
      </c>
      <c r="J52">
        <v>9.2297349999999995E-4</v>
      </c>
      <c r="K52">
        <v>-2.9425999999999999E-5</v>
      </c>
    </row>
    <row r="53" spans="1:11">
      <c r="A53">
        <v>2</v>
      </c>
      <c r="B53" t="s">
        <v>118</v>
      </c>
      <c r="C53">
        <v>10</v>
      </c>
      <c r="D53">
        <v>0</v>
      </c>
      <c r="E53">
        <v>1</v>
      </c>
      <c r="F53">
        <v>0</v>
      </c>
      <c r="G53">
        <v>0</v>
      </c>
      <c r="H53">
        <v>0</v>
      </c>
      <c r="I53">
        <v>-6.5330390000000003E-4</v>
      </c>
      <c r="J53">
        <v>6.1384139999999998E-4</v>
      </c>
      <c r="K53">
        <v>-5.34415E-5</v>
      </c>
    </row>
    <row r="54" spans="1:11">
      <c r="A54">
        <v>2</v>
      </c>
      <c r="B54" t="s">
        <v>118</v>
      </c>
      <c r="C54">
        <v>11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1:11">
      <c r="A55">
        <v>2</v>
      </c>
      <c r="B55" t="s">
        <v>118</v>
      </c>
      <c r="C55">
        <v>12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</row>
    <row r="56" spans="1:11">
      <c r="A56">
        <v>2</v>
      </c>
      <c r="B56" t="s">
        <v>118</v>
      </c>
      <c r="C56">
        <v>13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</row>
    <row r="57" spans="1:11">
      <c r="A57">
        <v>2</v>
      </c>
      <c r="B57" t="s">
        <v>118</v>
      </c>
      <c r="C57">
        <v>14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</row>
    <row r="58" spans="1:11">
      <c r="A58">
        <v>2</v>
      </c>
      <c r="B58" t="s">
        <v>119</v>
      </c>
      <c r="C58">
        <v>1</v>
      </c>
      <c r="D58">
        <v>1</v>
      </c>
      <c r="E58">
        <v>0</v>
      </c>
      <c r="F58">
        <v>-5.78297E-5</v>
      </c>
      <c r="G58">
        <v>7.4437250000000004E-4</v>
      </c>
      <c r="H58">
        <v>4.5440099999999999E-5</v>
      </c>
      <c r="I58">
        <v>0</v>
      </c>
      <c r="J58">
        <v>0</v>
      </c>
      <c r="K58">
        <v>0</v>
      </c>
    </row>
    <row r="59" spans="1:11">
      <c r="A59">
        <v>2</v>
      </c>
      <c r="B59" t="s">
        <v>119</v>
      </c>
      <c r="C59">
        <v>2</v>
      </c>
      <c r="D59">
        <v>1</v>
      </c>
      <c r="E59">
        <v>0</v>
      </c>
      <c r="F59">
        <v>-1.053297E-4</v>
      </c>
      <c r="G59">
        <v>7.8754129999999999E-4</v>
      </c>
      <c r="H59">
        <v>4.5442699999999998E-5</v>
      </c>
      <c r="I59">
        <v>0</v>
      </c>
      <c r="J59">
        <v>0</v>
      </c>
      <c r="K59">
        <v>0</v>
      </c>
    </row>
    <row r="60" spans="1:11">
      <c r="A60">
        <v>2</v>
      </c>
      <c r="B60" t="s">
        <v>119</v>
      </c>
      <c r="C60">
        <v>3</v>
      </c>
      <c r="D60">
        <v>1</v>
      </c>
      <c r="E60">
        <v>0</v>
      </c>
      <c r="F60">
        <v>-1.17003E-4</v>
      </c>
      <c r="G60">
        <v>1.0148329999999999E-3</v>
      </c>
      <c r="H60">
        <v>8.2405000000000001E-6</v>
      </c>
      <c r="I60">
        <v>0</v>
      </c>
      <c r="J60">
        <v>0</v>
      </c>
      <c r="K60">
        <v>0</v>
      </c>
    </row>
    <row r="61" spans="1:11">
      <c r="A61">
        <v>2</v>
      </c>
      <c r="B61" t="s">
        <v>119</v>
      </c>
      <c r="C61">
        <v>4</v>
      </c>
      <c r="D61">
        <v>1</v>
      </c>
      <c r="E61">
        <v>0</v>
      </c>
      <c r="F61">
        <v>-3.432973E-4</v>
      </c>
      <c r="G61">
        <v>9.2348490000000001E-4</v>
      </c>
      <c r="H61">
        <v>-2.9428200000000001E-5</v>
      </c>
      <c r="I61">
        <v>0</v>
      </c>
      <c r="J61">
        <v>0</v>
      </c>
      <c r="K61">
        <v>0</v>
      </c>
    </row>
    <row r="62" spans="1:11">
      <c r="A62">
        <v>2</v>
      </c>
      <c r="B62" t="s">
        <v>119</v>
      </c>
      <c r="C62">
        <v>5</v>
      </c>
      <c r="D62">
        <v>1</v>
      </c>
      <c r="E62">
        <v>0</v>
      </c>
      <c r="F62">
        <v>-3.8135969999999997E-4</v>
      </c>
      <c r="G62">
        <v>6.2145929999999998E-4</v>
      </c>
      <c r="H62">
        <v>-5.0867900000000001E-5</v>
      </c>
      <c r="I62">
        <v>0</v>
      </c>
      <c r="J62">
        <v>0</v>
      </c>
      <c r="K62">
        <v>0</v>
      </c>
    </row>
    <row r="63" spans="1:11">
      <c r="A63">
        <v>2</v>
      </c>
      <c r="B63" t="s">
        <v>119</v>
      </c>
      <c r="C63">
        <v>6</v>
      </c>
      <c r="D63">
        <v>1</v>
      </c>
      <c r="E63">
        <v>0</v>
      </c>
      <c r="F63">
        <v>-3.832091E-4</v>
      </c>
      <c r="G63">
        <v>5.7313660000000001E-4</v>
      </c>
      <c r="H63">
        <v>-5.0865300000000002E-5</v>
      </c>
      <c r="I63">
        <v>0</v>
      </c>
      <c r="J63">
        <v>0</v>
      </c>
      <c r="K63">
        <v>0</v>
      </c>
    </row>
    <row r="64" spans="1:11">
      <c r="A64">
        <v>2</v>
      </c>
      <c r="B64" t="s">
        <v>119</v>
      </c>
      <c r="C64">
        <v>7</v>
      </c>
      <c r="D64">
        <v>1</v>
      </c>
      <c r="E64">
        <v>0</v>
      </c>
      <c r="F64">
        <v>-1.7459039999999999E-4</v>
      </c>
      <c r="G64">
        <v>7.8711760000000003E-4</v>
      </c>
      <c r="H64">
        <v>4.5392200000000002E-5</v>
      </c>
      <c r="I64">
        <v>0</v>
      </c>
      <c r="J64">
        <v>0</v>
      </c>
      <c r="K64">
        <v>0</v>
      </c>
    </row>
    <row r="65" spans="1:11">
      <c r="A65">
        <v>2</v>
      </c>
      <c r="B65" t="s">
        <v>119</v>
      </c>
      <c r="C65">
        <v>8</v>
      </c>
      <c r="D65">
        <v>1</v>
      </c>
      <c r="E65">
        <v>0</v>
      </c>
      <c r="F65">
        <v>-1.295569E-4</v>
      </c>
      <c r="G65">
        <v>1.0142630000000001E-3</v>
      </c>
      <c r="H65">
        <v>8.2239999999999995E-6</v>
      </c>
      <c r="I65">
        <v>0</v>
      </c>
      <c r="J65">
        <v>0</v>
      </c>
      <c r="K65">
        <v>0</v>
      </c>
    </row>
    <row r="66" spans="1:11">
      <c r="A66">
        <v>2</v>
      </c>
      <c r="B66" t="s">
        <v>119</v>
      </c>
      <c r="C66">
        <v>9</v>
      </c>
      <c r="D66">
        <v>1</v>
      </c>
      <c r="E66">
        <v>0</v>
      </c>
      <c r="F66">
        <v>-2.9842090000000001E-4</v>
      </c>
      <c r="G66">
        <v>9.2297349999999995E-4</v>
      </c>
      <c r="H66">
        <v>-2.9425999999999999E-5</v>
      </c>
      <c r="I66">
        <v>0</v>
      </c>
      <c r="J66">
        <v>0</v>
      </c>
      <c r="K66">
        <v>0</v>
      </c>
    </row>
    <row r="67" spans="1:11">
      <c r="A67">
        <v>2</v>
      </c>
      <c r="B67" t="s">
        <v>119</v>
      </c>
      <c r="C67">
        <v>10</v>
      </c>
      <c r="D67">
        <v>1</v>
      </c>
      <c r="E67">
        <v>0</v>
      </c>
      <c r="F67">
        <v>-3.0380130000000002E-4</v>
      </c>
      <c r="G67">
        <v>6.2114250000000005E-4</v>
      </c>
      <c r="H67">
        <v>-5.0848399999999999E-5</v>
      </c>
      <c r="I67">
        <v>0</v>
      </c>
      <c r="J67">
        <v>0</v>
      </c>
      <c r="K67">
        <v>0</v>
      </c>
    </row>
    <row r="68" spans="1:11">
      <c r="A68">
        <v>2</v>
      </c>
      <c r="B68" t="s">
        <v>119</v>
      </c>
      <c r="C68">
        <v>11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</row>
    <row r="69" spans="1:11">
      <c r="A69">
        <v>2</v>
      </c>
      <c r="B69" t="s">
        <v>119</v>
      </c>
      <c r="C69">
        <v>12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>
      <c r="A70">
        <v>2</v>
      </c>
      <c r="B70" t="s">
        <v>119</v>
      </c>
      <c r="C70">
        <v>13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>
      <c r="A71">
        <v>2</v>
      </c>
      <c r="B71" t="s">
        <v>119</v>
      </c>
      <c r="C71">
        <v>14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>
        <v>2</v>
      </c>
      <c r="B72" t="s">
        <v>124</v>
      </c>
      <c r="C72">
        <v>1</v>
      </c>
      <c r="D72">
        <v>1</v>
      </c>
      <c r="E72">
        <v>0</v>
      </c>
      <c r="F72">
        <v>1.207336E-3</v>
      </c>
      <c r="G72">
        <v>7.2862529999999999E-4</v>
      </c>
      <c r="H72">
        <v>5.2231899999999997E-5</v>
      </c>
      <c r="I72">
        <v>0</v>
      </c>
      <c r="J72">
        <v>0</v>
      </c>
      <c r="K72">
        <v>0</v>
      </c>
    </row>
    <row r="73" spans="1:11">
      <c r="A73">
        <v>2</v>
      </c>
      <c r="B73" t="s">
        <v>124</v>
      </c>
      <c r="C73">
        <v>2</v>
      </c>
      <c r="D73">
        <v>1</v>
      </c>
      <c r="E73">
        <v>0</v>
      </c>
      <c r="F73">
        <v>9.698358E-4</v>
      </c>
      <c r="G73">
        <v>7.7824619999999998E-4</v>
      </c>
      <c r="H73">
        <v>5.2234500000000003E-5</v>
      </c>
      <c r="I73">
        <v>0</v>
      </c>
      <c r="J73">
        <v>0</v>
      </c>
      <c r="K73">
        <v>0</v>
      </c>
    </row>
    <row r="74" spans="1:11">
      <c r="A74">
        <v>2</v>
      </c>
      <c r="B74" t="s">
        <v>124</v>
      </c>
      <c r="C74">
        <v>3</v>
      </c>
      <c r="D74">
        <v>1</v>
      </c>
      <c r="E74">
        <v>0</v>
      </c>
      <c r="F74">
        <v>2.31461E-4</v>
      </c>
      <c r="G74">
        <v>1.003114E-3</v>
      </c>
      <c r="H74">
        <v>8.4807E-6</v>
      </c>
      <c r="I74">
        <v>0</v>
      </c>
      <c r="J74">
        <v>0</v>
      </c>
      <c r="K74">
        <v>0</v>
      </c>
    </row>
    <row r="75" spans="1:11">
      <c r="A75">
        <v>2</v>
      </c>
      <c r="B75" t="s">
        <v>124</v>
      </c>
      <c r="C75">
        <v>4</v>
      </c>
      <c r="D75">
        <v>0</v>
      </c>
      <c r="E75">
        <v>1</v>
      </c>
      <c r="F75">
        <v>0</v>
      </c>
      <c r="G75">
        <v>0</v>
      </c>
      <c r="H75">
        <v>0</v>
      </c>
      <c r="I75">
        <v>-3.432973E-4</v>
      </c>
      <c r="J75">
        <v>9.2348490000000001E-4</v>
      </c>
      <c r="K75">
        <v>-2.9428200000000001E-5</v>
      </c>
    </row>
    <row r="76" spans="1:11">
      <c r="A76">
        <v>2</v>
      </c>
      <c r="B76" t="s">
        <v>124</v>
      </c>
      <c r="C76">
        <v>5</v>
      </c>
      <c r="D76">
        <v>0</v>
      </c>
      <c r="E76">
        <v>1</v>
      </c>
      <c r="F76">
        <v>0</v>
      </c>
      <c r="G76">
        <v>0</v>
      </c>
      <c r="H76">
        <v>0</v>
      </c>
      <c r="I76">
        <v>-7.3479929999999995E-4</v>
      </c>
      <c r="J76">
        <v>6.1415350000000005E-4</v>
      </c>
      <c r="K76">
        <v>-5.3437299999999997E-5</v>
      </c>
    </row>
    <row r="77" spans="1:11">
      <c r="A77">
        <v>2</v>
      </c>
      <c r="B77" t="s">
        <v>124</v>
      </c>
      <c r="C77">
        <v>6</v>
      </c>
      <c r="D77">
        <v>0</v>
      </c>
      <c r="E77">
        <v>1</v>
      </c>
      <c r="F77">
        <v>0</v>
      </c>
      <c r="G77">
        <v>0</v>
      </c>
      <c r="H77">
        <v>0</v>
      </c>
      <c r="I77">
        <v>-7.4404620000000001E-4</v>
      </c>
      <c r="J77">
        <v>5.6338989999999995E-4</v>
      </c>
      <c r="K77">
        <v>-5.3434699999999998E-5</v>
      </c>
    </row>
    <row r="78" spans="1:11">
      <c r="A78">
        <v>2</v>
      </c>
      <c r="B78" t="s">
        <v>124</v>
      </c>
      <c r="C78">
        <v>7</v>
      </c>
      <c r="D78">
        <v>1</v>
      </c>
      <c r="E78">
        <v>0</v>
      </c>
      <c r="F78">
        <v>8.9015999999999997E-4</v>
      </c>
      <c r="G78">
        <v>7.778285E-4</v>
      </c>
      <c r="H78">
        <v>5.2257399999999999E-5</v>
      </c>
      <c r="I78">
        <v>0</v>
      </c>
      <c r="J78">
        <v>0</v>
      </c>
      <c r="K78">
        <v>0</v>
      </c>
    </row>
    <row r="79" spans="1:11">
      <c r="A79">
        <v>2</v>
      </c>
      <c r="B79" t="s">
        <v>124</v>
      </c>
      <c r="C79">
        <v>8</v>
      </c>
      <c r="D79">
        <v>1</v>
      </c>
      <c r="E79">
        <v>0</v>
      </c>
      <c r="F79">
        <v>2.1852079999999999E-4</v>
      </c>
      <c r="G79">
        <v>1.0025520000000001E-3</v>
      </c>
      <c r="H79">
        <v>8.4898999999999998E-6</v>
      </c>
      <c r="I79">
        <v>0</v>
      </c>
      <c r="J79">
        <v>0</v>
      </c>
      <c r="K79">
        <v>0</v>
      </c>
    </row>
    <row r="80" spans="1:11">
      <c r="A80">
        <v>2</v>
      </c>
      <c r="B80" t="s">
        <v>124</v>
      </c>
      <c r="C80">
        <v>9</v>
      </c>
      <c r="D80">
        <v>0</v>
      </c>
      <c r="E80">
        <v>1</v>
      </c>
      <c r="F80">
        <v>0</v>
      </c>
      <c r="G80">
        <v>0</v>
      </c>
      <c r="H80">
        <v>0</v>
      </c>
      <c r="I80">
        <v>-2.9842090000000001E-4</v>
      </c>
      <c r="J80">
        <v>9.2297349999999995E-4</v>
      </c>
      <c r="K80">
        <v>-2.9425999999999999E-5</v>
      </c>
    </row>
    <row r="81" spans="1:11">
      <c r="A81">
        <v>2</v>
      </c>
      <c r="B81" t="s">
        <v>124</v>
      </c>
      <c r="C81">
        <v>10</v>
      </c>
      <c r="D81">
        <v>0</v>
      </c>
      <c r="E81">
        <v>1</v>
      </c>
      <c r="F81">
        <v>0</v>
      </c>
      <c r="G81">
        <v>0</v>
      </c>
      <c r="H81">
        <v>0</v>
      </c>
      <c r="I81">
        <v>-6.5330390000000003E-4</v>
      </c>
      <c r="J81">
        <v>6.1384139999999998E-4</v>
      </c>
      <c r="K81">
        <v>-5.34415E-5</v>
      </c>
    </row>
    <row r="82" spans="1:11">
      <c r="A82">
        <v>2</v>
      </c>
      <c r="B82" t="s">
        <v>124</v>
      </c>
      <c r="C82">
        <v>11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1:11">
      <c r="A83">
        <v>2</v>
      </c>
      <c r="B83" t="s">
        <v>124</v>
      </c>
      <c r="C83">
        <v>12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1:11">
      <c r="A84">
        <v>2</v>
      </c>
      <c r="B84" t="s">
        <v>124</v>
      </c>
      <c r="C84">
        <v>13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1:11">
      <c r="A85">
        <v>2</v>
      </c>
      <c r="B85" t="s">
        <v>124</v>
      </c>
      <c r="C85">
        <v>14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1:11">
      <c r="A86">
        <v>3</v>
      </c>
      <c r="B86" t="s">
        <v>118</v>
      </c>
      <c r="C86">
        <v>1</v>
      </c>
      <c r="D86">
        <v>3</v>
      </c>
      <c r="E86">
        <v>2</v>
      </c>
      <c r="F86">
        <v>1.3930259999999999E-3</v>
      </c>
      <c r="G86">
        <v>7.6852859999999997E-4</v>
      </c>
      <c r="H86">
        <v>5.6962800000000003E-5</v>
      </c>
      <c r="I86">
        <v>-2.6238260000000001E-4</v>
      </c>
      <c r="J86">
        <v>8.9632500000000001E-4</v>
      </c>
      <c r="K86">
        <v>4.2665800000000001E-5</v>
      </c>
    </row>
    <row r="87" spans="1:11">
      <c r="A87">
        <v>3</v>
      </c>
      <c r="B87" t="s">
        <v>118</v>
      </c>
      <c r="C87">
        <v>2</v>
      </c>
      <c r="D87">
        <v>3</v>
      </c>
      <c r="E87">
        <v>2</v>
      </c>
      <c r="F87">
        <v>1.155526E-3</v>
      </c>
      <c r="G87">
        <v>8.2264399999999998E-4</v>
      </c>
      <c r="H87">
        <v>5.6965700000000002E-5</v>
      </c>
      <c r="I87">
        <v>-3.0988259999999997E-4</v>
      </c>
      <c r="J87">
        <v>9.3685820000000001E-4</v>
      </c>
      <c r="K87">
        <v>4.26687E-5</v>
      </c>
    </row>
    <row r="88" spans="1:11">
      <c r="A88">
        <v>3</v>
      </c>
      <c r="B88" t="s">
        <v>118</v>
      </c>
      <c r="C88">
        <v>3</v>
      </c>
      <c r="D88">
        <v>3</v>
      </c>
      <c r="E88">
        <v>2</v>
      </c>
      <c r="F88">
        <v>4.1710519999999999E-4</v>
      </c>
      <c r="G88">
        <v>1.072384E-3</v>
      </c>
      <c r="H88">
        <v>1.10517E-5</v>
      </c>
      <c r="I88">
        <v>-3.2164580000000002E-4</v>
      </c>
      <c r="J88">
        <v>1.1229499999999999E-3</v>
      </c>
      <c r="K88">
        <v>3.7300000000000003E-8</v>
      </c>
    </row>
    <row r="89" spans="1:11">
      <c r="A89">
        <v>3</v>
      </c>
      <c r="B89" t="s">
        <v>118</v>
      </c>
      <c r="C89">
        <v>4</v>
      </c>
      <c r="D89">
        <v>3</v>
      </c>
      <c r="E89">
        <v>2</v>
      </c>
      <c r="F89">
        <v>1.917318E-4</v>
      </c>
      <c r="G89">
        <v>1.0127739999999999E-3</v>
      </c>
      <c r="H89">
        <v>-2.32781E-5</v>
      </c>
      <c r="I89">
        <v>-5.4792749999999998E-4</v>
      </c>
      <c r="J89">
        <v>9.7590060000000002E-4</v>
      </c>
      <c r="K89">
        <v>-3.5601700000000002E-5</v>
      </c>
    </row>
    <row r="90" spans="1:11">
      <c r="A90">
        <v>3</v>
      </c>
      <c r="B90" t="s">
        <v>118</v>
      </c>
      <c r="C90">
        <v>5</v>
      </c>
      <c r="D90">
        <v>0</v>
      </c>
      <c r="E90">
        <v>2</v>
      </c>
      <c r="F90">
        <v>0</v>
      </c>
      <c r="G90">
        <v>0</v>
      </c>
      <c r="H90">
        <v>0</v>
      </c>
      <c r="I90">
        <v>-9.3938609999999999E-4</v>
      </c>
      <c r="J90">
        <v>6.316669E-4</v>
      </c>
      <c r="K90">
        <v>-5.7528500000000003E-5</v>
      </c>
    </row>
    <row r="91" spans="1:11">
      <c r="A91">
        <v>3</v>
      </c>
      <c r="B91" t="s">
        <v>118</v>
      </c>
      <c r="C91">
        <v>6</v>
      </c>
      <c r="D91">
        <v>0</v>
      </c>
      <c r="E91">
        <v>2</v>
      </c>
      <c r="F91">
        <v>0</v>
      </c>
      <c r="G91">
        <v>0</v>
      </c>
      <c r="H91">
        <v>0</v>
      </c>
      <c r="I91">
        <v>-9.4863309999999998E-4</v>
      </c>
      <c r="J91">
        <v>5.77018E-4</v>
      </c>
      <c r="K91">
        <v>-5.75238E-5</v>
      </c>
    </row>
    <row r="92" spans="1:11">
      <c r="A92">
        <v>3</v>
      </c>
      <c r="B92" t="s">
        <v>118</v>
      </c>
      <c r="C92">
        <v>7</v>
      </c>
      <c r="D92">
        <v>3</v>
      </c>
      <c r="E92">
        <v>2</v>
      </c>
      <c r="F92">
        <v>1.0686280000000001E-3</v>
      </c>
      <c r="G92">
        <v>8.2219759999999998E-4</v>
      </c>
      <c r="H92">
        <v>5.6997899999999999E-5</v>
      </c>
      <c r="I92">
        <v>-3.7490309999999998E-4</v>
      </c>
      <c r="J92">
        <v>9.3633840000000002E-4</v>
      </c>
      <c r="K92">
        <v>4.2605599999999997E-5</v>
      </c>
    </row>
    <row r="93" spans="1:11">
      <c r="A93">
        <v>3</v>
      </c>
      <c r="B93" t="s">
        <v>118</v>
      </c>
      <c r="C93">
        <v>8</v>
      </c>
      <c r="D93">
        <v>3</v>
      </c>
      <c r="E93">
        <v>2</v>
      </c>
      <c r="F93">
        <v>4.0023530000000003E-4</v>
      </c>
      <c r="G93">
        <v>1.071776E-3</v>
      </c>
      <c r="H93">
        <v>1.10722E-5</v>
      </c>
      <c r="I93">
        <v>-3.216839E-4</v>
      </c>
      <c r="J93">
        <v>1.1223100000000001E-3</v>
      </c>
      <c r="K93">
        <v>1.3399999999999999E-8</v>
      </c>
    </row>
    <row r="94" spans="1:11">
      <c r="A94">
        <v>3</v>
      </c>
      <c r="B94" t="s">
        <v>118</v>
      </c>
      <c r="C94">
        <v>9</v>
      </c>
      <c r="D94">
        <v>3</v>
      </c>
      <c r="E94">
        <v>2</v>
      </c>
      <c r="F94">
        <v>2.2720269999999999E-4</v>
      </c>
      <c r="G94">
        <v>1.012205E-3</v>
      </c>
      <c r="H94">
        <v>-2.3241899999999998E-5</v>
      </c>
      <c r="I94">
        <v>-4.9362899999999999E-4</v>
      </c>
      <c r="J94">
        <v>9.7535540000000004E-4</v>
      </c>
      <c r="K94">
        <v>-3.5608899999999997E-5</v>
      </c>
    </row>
    <row r="95" spans="1:11">
      <c r="A95">
        <v>3</v>
      </c>
      <c r="B95" t="s">
        <v>118</v>
      </c>
      <c r="C95">
        <v>10</v>
      </c>
      <c r="D95">
        <v>0</v>
      </c>
      <c r="E95">
        <v>2</v>
      </c>
      <c r="F95">
        <v>0</v>
      </c>
      <c r="G95">
        <v>0</v>
      </c>
      <c r="H95">
        <v>0</v>
      </c>
      <c r="I95">
        <v>-8.5164279999999995E-4</v>
      </c>
      <c r="J95">
        <v>6.3134339999999995E-4</v>
      </c>
      <c r="K95">
        <v>-5.7544099999999997E-5</v>
      </c>
    </row>
    <row r="96" spans="1:11">
      <c r="A96">
        <v>3</v>
      </c>
      <c r="B96" t="s">
        <v>118</v>
      </c>
      <c r="C96">
        <v>11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1:11">
      <c r="A97">
        <v>3</v>
      </c>
      <c r="B97" t="s">
        <v>118</v>
      </c>
      <c r="C97">
        <v>12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1:11">
      <c r="A98">
        <v>3</v>
      </c>
      <c r="B98" t="s">
        <v>118</v>
      </c>
      <c r="C98">
        <v>13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1:11">
      <c r="A99">
        <v>3</v>
      </c>
      <c r="B99" t="s">
        <v>118</v>
      </c>
      <c r="C99">
        <v>14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1:11">
      <c r="A100">
        <v>3</v>
      </c>
      <c r="B100" t="s">
        <v>119</v>
      </c>
      <c r="C100">
        <v>1</v>
      </c>
      <c r="D100">
        <v>2</v>
      </c>
      <c r="E100">
        <v>0</v>
      </c>
      <c r="F100">
        <v>-2.6238260000000001E-4</v>
      </c>
      <c r="G100">
        <v>8.9632500000000001E-4</v>
      </c>
      <c r="H100">
        <v>4.2665800000000001E-5</v>
      </c>
      <c r="I100">
        <v>0</v>
      </c>
      <c r="J100">
        <v>0</v>
      </c>
      <c r="K100">
        <v>0</v>
      </c>
    </row>
    <row r="101" spans="1:11">
      <c r="A101">
        <v>3</v>
      </c>
      <c r="B101" t="s">
        <v>119</v>
      </c>
      <c r="C101">
        <v>2</v>
      </c>
      <c r="D101">
        <v>2</v>
      </c>
      <c r="E101">
        <v>0</v>
      </c>
      <c r="F101">
        <v>-3.0988259999999997E-4</v>
      </c>
      <c r="G101">
        <v>9.3685820000000001E-4</v>
      </c>
      <c r="H101">
        <v>4.26687E-5</v>
      </c>
      <c r="I101">
        <v>0</v>
      </c>
      <c r="J101">
        <v>0</v>
      </c>
      <c r="K101">
        <v>0</v>
      </c>
    </row>
    <row r="102" spans="1:11">
      <c r="A102">
        <v>3</v>
      </c>
      <c r="B102" t="s">
        <v>119</v>
      </c>
      <c r="C102">
        <v>3</v>
      </c>
      <c r="D102">
        <v>2</v>
      </c>
      <c r="E102">
        <v>0</v>
      </c>
      <c r="F102">
        <v>-3.2164580000000002E-4</v>
      </c>
      <c r="G102">
        <v>1.1229499999999999E-3</v>
      </c>
      <c r="H102">
        <v>3.7300000000000003E-8</v>
      </c>
      <c r="I102">
        <v>0</v>
      </c>
      <c r="J102">
        <v>0</v>
      </c>
      <c r="K102">
        <v>0</v>
      </c>
    </row>
    <row r="103" spans="1:11">
      <c r="A103">
        <v>3</v>
      </c>
      <c r="B103" t="s">
        <v>119</v>
      </c>
      <c r="C103">
        <v>4</v>
      </c>
      <c r="D103">
        <v>3</v>
      </c>
      <c r="E103">
        <v>0</v>
      </c>
      <c r="F103">
        <v>-1.5766900000000001E-4</v>
      </c>
      <c r="G103">
        <v>1.018335E-3</v>
      </c>
      <c r="H103">
        <v>-2.4888600000000001E-5</v>
      </c>
      <c r="I103">
        <v>0</v>
      </c>
      <c r="J103">
        <v>0</v>
      </c>
      <c r="K103">
        <v>0</v>
      </c>
    </row>
    <row r="104" spans="1:11">
      <c r="A104">
        <v>3</v>
      </c>
      <c r="B104" t="s">
        <v>119</v>
      </c>
      <c r="C104">
        <v>5</v>
      </c>
      <c r="D104">
        <v>3</v>
      </c>
      <c r="E104">
        <v>0</v>
      </c>
      <c r="F104">
        <v>-1.9578679999999999E-4</v>
      </c>
      <c r="G104">
        <v>7.4030500000000002E-4</v>
      </c>
      <c r="H104">
        <v>-4.9009699999999999E-5</v>
      </c>
      <c r="I104">
        <v>0</v>
      </c>
      <c r="J104">
        <v>0</v>
      </c>
      <c r="K104">
        <v>0</v>
      </c>
    </row>
    <row r="105" spans="1:11">
      <c r="A105">
        <v>3</v>
      </c>
      <c r="B105" t="s">
        <v>119</v>
      </c>
      <c r="C105">
        <v>6</v>
      </c>
      <c r="D105">
        <v>3</v>
      </c>
      <c r="E105">
        <v>0</v>
      </c>
      <c r="F105">
        <v>-1.9763619999999999E-4</v>
      </c>
      <c r="G105">
        <v>6.9374889999999998E-4</v>
      </c>
      <c r="H105">
        <v>-4.9005000000000003E-5</v>
      </c>
      <c r="I105">
        <v>0</v>
      </c>
      <c r="J105">
        <v>0</v>
      </c>
      <c r="K105">
        <v>0</v>
      </c>
    </row>
    <row r="106" spans="1:11">
      <c r="A106">
        <v>3</v>
      </c>
      <c r="B106" t="s">
        <v>119</v>
      </c>
      <c r="C106">
        <v>7</v>
      </c>
      <c r="D106">
        <v>2</v>
      </c>
      <c r="E106">
        <v>0</v>
      </c>
      <c r="F106">
        <v>-3.7490309999999998E-4</v>
      </c>
      <c r="G106">
        <v>9.3633840000000002E-4</v>
      </c>
      <c r="H106">
        <v>4.2605599999999997E-5</v>
      </c>
      <c r="I106">
        <v>0</v>
      </c>
      <c r="J106">
        <v>0</v>
      </c>
      <c r="K106">
        <v>0</v>
      </c>
    </row>
    <row r="107" spans="1:11">
      <c r="A107">
        <v>3</v>
      </c>
      <c r="B107" t="s">
        <v>119</v>
      </c>
      <c r="C107">
        <v>8</v>
      </c>
      <c r="D107">
        <v>2</v>
      </c>
      <c r="E107">
        <v>0</v>
      </c>
      <c r="F107">
        <v>-3.216839E-4</v>
      </c>
      <c r="G107">
        <v>1.1223100000000001E-3</v>
      </c>
      <c r="H107">
        <v>1.3399999999999999E-8</v>
      </c>
      <c r="I107">
        <v>0</v>
      </c>
      <c r="J107">
        <v>0</v>
      </c>
      <c r="K107">
        <v>0</v>
      </c>
    </row>
    <row r="108" spans="1:11">
      <c r="A108">
        <v>3</v>
      </c>
      <c r="B108" t="s">
        <v>119</v>
      </c>
      <c r="C108">
        <v>9</v>
      </c>
      <c r="D108">
        <v>3</v>
      </c>
      <c r="E108">
        <v>0</v>
      </c>
      <c r="F108">
        <v>-1.1972300000000001E-4</v>
      </c>
      <c r="G108">
        <v>1.017762E-3</v>
      </c>
      <c r="H108">
        <v>-2.4876899999999999E-5</v>
      </c>
      <c r="I108">
        <v>0</v>
      </c>
      <c r="J108">
        <v>0</v>
      </c>
      <c r="K108">
        <v>0</v>
      </c>
    </row>
    <row r="109" spans="1:11">
      <c r="A109">
        <v>3</v>
      </c>
      <c r="B109" t="s">
        <v>119</v>
      </c>
      <c r="C109">
        <v>10</v>
      </c>
      <c r="D109">
        <v>3</v>
      </c>
      <c r="E109">
        <v>0</v>
      </c>
      <c r="F109">
        <v>-1.2107159999999999E-4</v>
      </c>
      <c r="G109">
        <v>7.3991159999999999E-4</v>
      </c>
      <c r="H109">
        <v>-4.8978099999999998E-5</v>
      </c>
      <c r="I109">
        <v>0</v>
      </c>
      <c r="J109">
        <v>0</v>
      </c>
      <c r="K109">
        <v>0</v>
      </c>
    </row>
    <row r="110" spans="1:11">
      <c r="A110">
        <v>3</v>
      </c>
      <c r="B110" t="s">
        <v>119</v>
      </c>
      <c r="C110">
        <v>11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>
      <c r="A111">
        <v>3</v>
      </c>
      <c r="B111" t="s">
        <v>119</v>
      </c>
      <c r="C111">
        <v>12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>
      <c r="A112">
        <v>3</v>
      </c>
      <c r="B112" t="s">
        <v>119</v>
      </c>
      <c r="C112">
        <v>13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>
      <c r="A113">
        <v>3</v>
      </c>
      <c r="B113" t="s">
        <v>119</v>
      </c>
      <c r="C113">
        <v>14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1:11">
      <c r="A114">
        <v>3</v>
      </c>
      <c r="B114" t="s">
        <v>124</v>
      </c>
      <c r="C114">
        <v>1</v>
      </c>
      <c r="D114">
        <v>3</v>
      </c>
      <c r="E114">
        <v>0</v>
      </c>
      <c r="F114">
        <v>1.3930259999999999E-3</v>
      </c>
      <c r="G114">
        <v>7.6852859999999997E-4</v>
      </c>
      <c r="H114">
        <v>5.6962800000000003E-5</v>
      </c>
      <c r="I114">
        <v>0</v>
      </c>
      <c r="J114">
        <v>0</v>
      </c>
      <c r="K114">
        <v>0</v>
      </c>
    </row>
    <row r="115" spans="1:11">
      <c r="A115">
        <v>3</v>
      </c>
      <c r="B115" t="s">
        <v>124</v>
      </c>
      <c r="C115">
        <v>2</v>
      </c>
      <c r="D115">
        <v>3</v>
      </c>
      <c r="E115">
        <v>0</v>
      </c>
      <c r="F115">
        <v>1.155526E-3</v>
      </c>
      <c r="G115">
        <v>8.2264399999999998E-4</v>
      </c>
      <c r="H115">
        <v>5.6965700000000002E-5</v>
      </c>
      <c r="I115">
        <v>0</v>
      </c>
      <c r="J115">
        <v>0</v>
      </c>
      <c r="K115">
        <v>0</v>
      </c>
    </row>
    <row r="116" spans="1:11">
      <c r="A116">
        <v>3</v>
      </c>
      <c r="B116" t="s">
        <v>124</v>
      </c>
      <c r="C116">
        <v>3</v>
      </c>
      <c r="D116">
        <v>1</v>
      </c>
      <c r="E116">
        <v>0</v>
      </c>
      <c r="F116">
        <v>3.5337429999999999E-4</v>
      </c>
      <c r="G116">
        <v>1.027975E-3</v>
      </c>
      <c r="H116">
        <v>1.42202E-5</v>
      </c>
      <c r="I116">
        <v>0</v>
      </c>
      <c r="J116">
        <v>0</v>
      </c>
      <c r="K116">
        <v>0</v>
      </c>
    </row>
    <row r="117" spans="1:11">
      <c r="A117">
        <v>3</v>
      </c>
      <c r="B117" t="s">
        <v>124</v>
      </c>
      <c r="C117">
        <v>4</v>
      </c>
      <c r="D117">
        <v>0</v>
      </c>
      <c r="E117">
        <v>2</v>
      </c>
      <c r="F117">
        <v>0</v>
      </c>
      <c r="G117">
        <v>0</v>
      </c>
      <c r="H117">
        <v>0</v>
      </c>
      <c r="I117">
        <v>-5.4792749999999998E-4</v>
      </c>
      <c r="J117">
        <v>9.7590060000000002E-4</v>
      </c>
      <c r="K117">
        <v>-3.5601700000000002E-5</v>
      </c>
    </row>
    <row r="118" spans="1:11">
      <c r="A118">
        <v>3</v>
      </c>
      <c r="B118" t="s">
        <v>124</v>
      </c>
      <c r="C118">
        <v>5</v>
      </c>
      <c r="D118">
        <v>0</v>
      </c>
      <c r="E118">
        <v>1</v>
      </c>
      <c r="F118">
        <v>0</v>
      </c>
      <c r="G118">
        <v>0</v>
      </c>
      <c r="H118">
        <v>0</v>
      </c>
      <c r="I118">
        <v>-8.5522210000000003E-4</v>
      </c>
      <c r="J118">
        <v>6.0584560000000003E-4</v>
      </c>
      <c r="K118">
        <v>-5.7949299999999998E-5</v>
      </c>
    </row>
    <row r="119" spans="1:11">
      <c r="A119">
        <v>3</v>
      </c>
      <c r="B119" t="s">
        <v>124</v>
      </c>
      <c r="C119">
        <v>6</v>
      </c>
      <c r="D119">
        <v>0</v>
      </c>
      <c r="E119">
        <v>1</v>
      </c>
      <c r="F119">
        <v>0</v>
      </c>
      <c r="G119">
        <v>0</v>
      </c>
      <c r="H119">
        <v>0</v>
      </c>
      <c r="I119">
        <v>-8.6446899999999998E-4</v>
      </c>
      <c r="J119">
        <v>5.5079559999999996E-4</v>
      </c>
      <c r="K119">
        <v>-5.7946699999999999E-5</v>
      </c>
    </row>
    <row r="120" spans="1:11">
      <c r="A120">
        <v>3</v>
      </c>
      <c r="B120" t="s">
        <v>124</v>
      </c>
      <c r="C120">
        <v>7</v>
      </c>
      <c r="D120">
        <v>3</v>
      </c>
      <c r="E120">
        <v>0</v>
      </c>
      <c r="F120">
        <v>1.0686280000000001E-3</v>
      </c>
      <c r="G120">
        <v>8.2219759999999998E-4</v>
      </c>
      <c r="H120">
        <v>5.6997899999999999E-5</v>
      </c>
      <c r="I120">
        <v>0</v>
      </c>
      <c r="J120">
        <v>0</v>
      </c>
      <c r="K120">
        <v>0</v>
      </c>
    </row>
    <row r="121" spans="1:11">
      <c r="A121">
        <v>3</v>
      </c>
      <c r="B121" t="s">
        <v>124</v>
      </c>
      <c r="C121">
        <v>8</v>
      </c>
      <c r="D121">
        <v>1</v>
      </c>
      <c r="E121">
        <v>0</v>
      </c>
      <c r="F121">
        <v>3.3167830000000001E-4</v>
      </c>
      <c r="G121">
        <v>1.0273960000000001E-3</v>
      </c>
      <c r="H121">
        <v>1.4233000000000001E-5</v>
      </c>
      <c r="I121">
        <v>0</v>
      </c>
      <c r="J121">
        <v>0</v>
      </c>
      <c r="K121">
        <v>0</v>
      </c>
    </row>
    <row r="122" spans="1:11">
      <c r="A122">
        <v>3</v>
      </c>
      <c r="B122" t="s">
        <v>124</v>
      </c>
      <c r="C122">
        <v>9</v>
      </c>
      <c r="D122">
        <v>0</v>
      </c>
      <c r="E122">
        <v>2</v>
      </c>
      <c r="F122">
        <v>0</v>
      </c>
      <c r="G122">
        <v>0</v>
      </c>
      <c r="H122">
        <v>0</v>
      </c>
      <c r="I122">
        <v>-4.9362899999999999E-4</v>
      </c>
      <c r="J122">
        <v>9.7535540000000004E-4</v>
      </c>
      <c r="K122">
        <v>-3.5608899999999997E-5</v>
      </c>
    </row>
    <row r="123" spans="1:11">
      <c r="A123">
        <v>3</v>
      </c>
      <c r="B123" t="s">
        <v>124</v>
      </c>
      <c r="C123">
        <v>10</v>
      </c>
      <c r="D123">
        <v>0</v>
      </c>
      <c r="E123">
        <v>1</v>
      </c>
      <c r="F123">
        <v>0</v>
      </c>
      <c r="G123">
        <v>0</v>
      </c>
      <c r="H123">
        <v>0</v>
      </c>
      <c r="I123">
        <v>-7.6684219999999996E-4</v>
      </c>
      <c r="J123">
        <v>6.0553889999999996E-4</v>
      </c>
      <c r="K123">
        <v>-5.7958199999999997E-5</v>
      </c>
    </row>
    <row r="124" spans="1:11">
      <c r="A124">
        <v>3</v>
      </c>
      <c r="B124" t="s">
        <v>124</v>
      </c>
      <c r="C124">
        <v>11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1:11">
      <c r="A125">
        <v>3</v>
      </c>
      <c r="B125" t="s">
        <v>124</v>
      </c>
      <c r="C125">
        <v>12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1:11">
      <c r="A126">
        <v>3</v>
      </c>
      <c r="B126" t="s">
        <v>124</v>
      </c>
      <c r="C126">
        <v>13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1:11">
      <c r="A127">
        <v>3</v>
      </c>
      <c r="B127" t="s">
        <v>124</v>
      </c>
      <c r="C127">
        <v>14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1:11">
      <c r="A128">
        <v>4</v>
      </c>
      <c r="B128" t="s">
        <v>118</v>
      </c>
      <c r="C128">
        <v>1</v>
      </c>
      <c r="D128">
        <v>3</v>
      </c>
      <c r="E128">
        <v>2</v>
      </c>
      <c r="F128">
        <v>2.6633569999999999E-3</v>
      </c>
      <c r="G128">
        <v>7.3183540000000004E-4</v>
      </c>
      <c r="H128">
        <v>6.6637599999999994E-5</v>
      </c>
      <c r="I128">
        <v>-1.5367670000000001E-3</v>
      </c>
      <c r="J128">
        <v>9.8537860000000007E-4</v>
      </c>
      <c r="K128">
        <v>3.4972099999999997E-5</v>
      </c>
    </row>
    <row r="129" spans="1:11">
      <c r="A129">
        <v>4</v>
      </c>
      <c r="B129" t="s">
        <v>118</v>
      </c>
      <c r="C129">
        <v>2</v>
      </c>
      <c r="D129">
        <v>3</v>
      </c>
      <c r="E129">
        <v>2</v>
      </c>
      <c r="F129">
        <v>2.4258560000000001E-3</v>
      </c>
      <c r="G129">
        <v>7.9514189999999995E-4</v>
      </c>
      <c r="H129">
        <v>6.66406E-5</v>
      </c>
      <c r="I129">
        <v>-1.5842670000000001E-3</v>
      </c>
      <c r="J129">
        <v>1.0186030000000001E-3</v>
      </c>
      <c r="K129">
        <v>3.4975100000000003E-5</v>
      </c>
    </row>
    <row r="130" spans="1:11">
      <c r="A130">
        <v>4</v>
      </c>
      <c r="B130" t="s">
        <v>118</v>
      </c>
      <c r="C130">
        <v>3</v>
      </c>
      <c r="D130">
        <v>3</v>
      </c>
      <c r="E130">
        <v>2</v>
      </c>
      <c r="F130">
        <v>1.6873089999999999E-3</v>
      </c>
      <c r="G130">
        <v>1.0934339999999999E-3</v>
      </c>
      <c r="H130">
        <v>1.6589600000000001E-5</v>
      </c>
      <c r="I130">
        <v>-1.595988E-3</v>
      </c>
      <c r="J130">
        <v>1.1615810000000001E-3</v>
      </c>
      <c r="K130">
        <v>-5.947E-6</v>
      </c>
    </row>
    <row r="131" spans="1:11">
      <c r="A131">
        <v>4</v>
      </c>
      <c r="B131" t="s">
        <v>118</v>
      </c>
      <c r="C131">
        <v>4</v>
      </c>
      <c r="D131">
        <v>3</v>
      </c>
      <c r="E131">
        <v>2</v>
      </c>
      <c r="F131">
        <v>1.4618280000000001E-3</v>
      </c>
      <c r="G131">
        <v>1.0557679999999999E-3</v>
      </c>
      <c r="H131">
        <v>-2.0075799999999998E-5</v>
      </c>
      <c r="I131">
        <v>-1.822246E-3</v>
      </c>
      <c r="J131">
        <v>9.869232999999999E-4</v>
      </c>
      <c r="K131">
        <v>-3.97171E-5</v>
      </c>
    </row>
    <row r="132" spans="1:11">
      <c r="A132">
        <v>4</v>
      </c>
      <c r="B132" t="s">
        <v>118</v>
      </c>
      <c r="C132">
        <v>5</v>
      </c>
      <c r="D132">
        <v>3</v>
      </c>
      <c r="E132">
        <v>2</v>
      </c>
      <c r="F132">
        <v>1.0743040000000001E-3</v>
      </c>
      <c r="G132">
        <v>8.0896660000000003E-4</v>
      </c>
      <c r="H132">
        <v>-4.3090699999999997E-5</v>
      </c>
      <c r="I132">
        <v>-2.2137649999999999E-3</v>
      </c>
      <c r="J132">
        <v>6.054713E-4</v>
      </c>
      <c r="K132">
        <v>-6.5729799999999995E-5</v>
      </c>
    </row>
    <row r="133" spans="1:11">
      <c r="A133">
        <v>4</v>
      </c>
      <c r="B133" t="s">
        <v>118</v>
      </c>
      <c r="C133">
        <v>6</v>
      </c>
      <c r="D133">
        <v>3</v>
      </c>
      <c r="E133">
        <v>2</v>
      </c>
      <c r="F133">
        <v>1.072454E-3</v>
      </c>
      <c r="G133">
        <v>7.6803380000000005E-4</v>
      </c>
      <c r="H133">
        <v>-4.30856E-5</v>
      </c>
      <c r="I133">
        <v>-2.2230119999999999E-3</v>
      </c>
      <c r="J133">
        <v>5.4303140000000005E-4</v>
      </c>
      <c r="K133">
        <v>-6.5724700000000004E-5</v>
      </c>
    </row>
    <row r="134" spans="1:11">
      <c r="A134">
        <v>4</v>
      </c>
      <c r="B134" t="s">
        <v>118</v>
      </c>
      <c r="C134">
        <v>7</v>
      </c>
      <c r="D134">
        <v>3</v>
      </c>
      <c r="E134">
        <v>2</v>
      </c>
      <c r="F134">
        <v>2.324137E-3</v>
      </c>
      <c r="G134">
        <v>7.9471330000000005E-4</v>
      </c>
      <c r="H134">
        <v>6.6757900000000007E-5</v>
      </c>
      <c r="I134">
        <v>-1.637487E-3</v>
      </c>
      <c r="J134">
        <v>1.0180300000000001E-3</v>
      </c>
      <c r="K134">
        <v>3.4824699999999999E-5</v>
      </c>
    </row>
    <row r="135" spans="1:11">
      <c r="A135">
        <v>4</v>
      </c>
      <c r="B135" t="s">
        <v>118</v>
      </c>
      <c r="C135">
        <v>8</v>
      </c>
      <c r="D135">
        <v>3</v>
      </c>
      <c r="E135">
        <v>2</v>
      </c>
      <c r="F135">
        <v>1.661923E-3</v>
      </c>
      <c r="G135">
        <v>1.092813E-3</v>
      </c>
      <c r="H135">
        <v>1.6699200000000001E-5</v>
      </c>
      <c r="I135">
        <v>-1.5868309999999999E-3</v>
      </c>
      <c r="J135">
        <v>1.160917E-3</v>
      </c>
      <c r="K135">
        <v>-6.0598E-6</v>
      </c>
    </row>
    <row r="136" spans="1:11">
      <c r="A136">
        <v>4</v>
      </c>
      <c r="B136" t="s">
        <v>118</v>
      </c>
      <c r="C136">
        <v>9</v>
      </c>
      <c r="D136">
        <v>3</v>
      </c>
      <c r="E136">
        <v>2</v>
      </c>
      <c r="F136">
        <v>1.492344E-3</v>
      </c>
      <c r="G136">
        <v>1.0551709999999999E-3</v>
      </c>
      <c r="H136">
        <v>-1.99484E-5</v>
      </c>
      <c r="I136">
        <v>-1.7616000000000001E-3</v>
      </c>
      <c r="J136">
        <v>9.8637120000000006E-4</v>
      </c>
      <c r="K136">
        <v>-3.9814999999999997E-5</v>
      </c>
    </row>
    <row r="137" spans="1:11">
      <c r="A137">
        <v>4</v>
      </c>
      <c r="B137" t="s">
        <v>118</v>
      </c>
      <c r="C137">
        <v>10</v>
      </c>
      <c r="D137">
        <v>3</v>
      </c>
      <c r="E137">
        <v>2</v>
      </c>
      <c r="F137">
        <v>1.1399229999999999E-3</v>
      </c>
      <c r="G137">
        <v>8.0852910000000003E-4</v>
      </c>
      <c r="H137">
        <v>-4.2970399999999998E-5</v>
      </c>
      <c r="I137">
        <v>-2.1134470000000001E-3</v>
      </c>
      <c r="J137">
        <v>6.051648E-4</v>
      </c>
      <c r="K137">
        <v>-6.5832200000000003E-5</v>
      </c>
    </row>
    <row r="138" spans="1:11">
      <c r="A138">
        <v>4</v>
      </c>
      <c r="B138" t="s">
        <v>118</v>
      </c>
      <c r="C138">
        <v>11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1:11">
      <c r="A139">
        <v>4</v>
      </c>
      <c r="B139" t="s">
        <v>118</v>
      </c>
      <c r="C139">
        <v>12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1:11">
      <c r="A140">
        <v>4</v>
      </c>
      <c r="B140" t="s">
        <v>118</v>
      </c>
      <c r="C140">
        <v>13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1:11">
      <c r="A141">
        <v>4</v>
      </c>
      <c r="B141" t="s">
        <v>118</v>
      </c>
      <c r="C141">
        <v>14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1:11">
      <c r="A142">
        <v>4</v>
      </c>
      <c r="B142" t="s">
        <v>119</v>
      </c>
      <c r="C142">
        <v>1</v>
      </c>
      <c r="D142">
        <v>2</v>
      </c>
      <c r="E142">
        <v>0</v>
      </c>
      <c r="F142">
        <v>-1.5367670000000001E-3</v>
      </c>
      <c r="G142">
        <v>9.8537860000000007E-4</v>
      </c>
      <c r="H142">
        <v>3.4972099999999997E-5</v>
      </c>
      <c r="I142">
        <v>0</v>
      </c>
      <c r="J142">
        <v>0</v>
      </c>
      <c r="K142">
        <v>0</v>
      </c>
    </row>
    <row r="143" spans="1:11">
      <c r="A143">
        <v>4</v>
      </c>
      <c r="B143" t="s">
        <v>119</v>
      </c>
      <c r="C143">
        <v>2</v>
      </c>
      <c r="D143">
        <v>2</v>
      </c>
      <c r="E143">
        <v>0</v>
      </c>
      <c r="F143">
        <v>-1.5842670000000001E-3</v>
      </c>
      <c r="G143">
        <v>1.0186030000000001E-3</v>
      </c>
      <c r="H143">
        <v>3.4975100000000003E-5</v>
      </c>
      <c r="I143">
        <v>0</v>
      </c>
      <c r="J143">
        <v>0</v>
      </c>
      <c r="K143">
        <v>0</v>
      </c>
    </row>
    <row r="144" spans="1:11">
      <c r="A144">
        <v>4</v>
      </c>
      <c r="B144" t="s">
        <v>119</v>
      </c>
      <c r="C144">
        <v>3</v>
      </c>
      <c r="D144">
        <v>2</v>
      </c>
      <c r="E144">
        <v>0</v>
      </c>
      <c r="F144">
        <v>-1.595988E-3</v>
      </c>
      <c r="G144">
        <v>1.1615810000000001E-3</v>
      </c>
      <c r="H144">
        <v>-5.947E-6</v>
      </c>
      <c r="I144">
        <v>0</v>
      </c>
      <c r="J144">
        <v>0</v>
      </c>
      <c r="K144">
        <v>0</v>
      </c>
    </row>
    <row r="145" spans="1:11">
      <c r="A145">
        <v>4</v>
      </c>
      <c r="B145" t="s">
        <v>119</v>
      </c>
      <c r="C145">
        <v>4</v>
      </c>
      <c r="D145">
        <v>3</v>
      </c>
      <c r="E145">
        <v>0</v>
      </c>
      <c r="F145">
        <v>1.112427E-3</v>
      </c>
      <c r="G145">
        <v>1.0613280000000001E-3</v>
      </c>
      <c r="H145">
        <v>-2.1686299999999999E-5</v>
      </c>
      <c r="I145">
        <v>0</v>
      </c>
      <c r="J145">
        <v>0</v>
      </c>
      <c r="K145">
        <v>0</v>
      </c>
    </row>
    <row r="146" spans="1:11">
      <c r="A146">
        <v>4</v>
      </c>
      <c r="B146" t="s">
        <v>119</v>
      </c>
      <c r="C146">
        <v>5</v>
      </c>
      <c r="D146">
        <v>3</v>
      </c>
      <c r="E146">
        <v>0</v>
      </c>
      <c r="F146">
        <v>1.0743040000000001E-3</v>
      </c>
      <c r="G146">
        <v>8.0896660000000003E-4</v>
      </c>
      <c r="H146">
        <v>-4.3090699999999997E-5</v>
      </c>
      <c r="I146">
        <v>0</v>
      </c>
      <c r="J146">
        <v>0</v>
      </c>
      <c r="K146">
        <v>0</v>
      </c>
    </row>
    <row r="147" spans="1:11">
      <c r="A147">
        <v>4</v>
      </c>
      <c r="B147" t="s">
        <v>119</v>
      </c>
      <c r="C147">
        <v>6</v>
      </c>
      <c r="D147">
        <v>3</v>
      </c>
      <c r="E147">
        <v>0</v>
      </c>
      <c r="F147">
        <v>1.072454E-3</v>
      </c>
      <c r="G147">
        <v>7.6803380000000005E-4</v>
      </c>
      <c r="H147">
        <v>-4.30856E-5</v>
      </c>
      <c r="I147">
        <v>0</v>
      </c>
      <c r="J147">
        <v>0</v>
      </c>
      <c r="K147">
        <v>0</v>
      </c>
    </row>
    <row r="148" spans="1:11">
      <c r="A148">
        <v>4</v>
      </c>
      <c r="B148" t="s">
        <v>119</v>
      </c>
      <c r="C148">
        <v>7</v>
      </c>
      <c r="D148">
        <v>2</v>
      </c>
      <c r="E148">
        <v>0</v>
      </c>
      <c r="F148">
        <v>-1.637487E-3</v>
      </c>
      <c r="G148">
        <v>1.0180300000000001E-3</v>
      </c>
      <c r="H148">
        <v>3.4824699999999999E-5</v>
      </c>
      <c r="I148">
        <v>0</v>
      </c>
      <c r="J148">
        <v>0</v>
      </c>
      <c r="K148">
        <v>0</v>
      </c>
    </row>
    <row r="149" spans="1:11">
      <c r="A149">
        <v>4</v>
      </c>
      <c r="B149" t="s">
        <v>119</v>
      </c>
      <c r="C149">
        <v>8</v>
      </c>
      <c r="D149">
        <v>2</v>
      </c>
      <c r="E149">
        <v>0</v>
      </c>
      <c r="F149">
        <v>-1.5868309999999999E-3</v>
      </c>
      <c r="G149">
        <v>1.160917E-3</v>
      </c>
      <c r="H149">
        <v>-6.0598E-6</v>
      </c>
      <c r="I149">
        <v>0</v>
      </c>
      <c r="J149">
        <v>0</v>
      </c>
      <c r="K149">
        <v>0</v>
      </c>
    </row>
    <row r="150" spans="1:11">
      <c r="A150">
        <v>4</v>
      </c>
      <c r="B150" t="s">
        <v>119</v>
      </c>
      <c r="C150">
        <v>9</v>
      </c>
      <c r="D150">
        <v>3</v>
      </c>
      <c r="E150">
        <v>0</v>
      </c>
      <c r="F150">
        <v>1.145418E-3</v>
      </c>
      <c r="G150">
        <v>1.0607279999999999E-3</v>
      </c>
      <c r="H150">
        <v>-2.1583400000000001E-5</v>
      </c>
      <c r="I150">
        <v>0</v>
      </c>
      <c r="J150">
        <v>0</v>
      </c>
      <c r="K150">
        <v>0</v>
      </c>
    </row>
    <row r="151" spans="1:11">
      <c r="A151">
        <v>4</v>
      </c>
      <c r="B151" t="s">
        <v>119</v>
      </c>
      <c r="C151">
        <v>10</v>
      </c>
      <c r="D151">
        <v>3</v>
      </c>
      <c r="E151">
        <v>0</v>
      </c>
      <c r="F151">
        <v>1.1399229999999999E-3</v>
      </c>
      <c r="G151">
        <v>8.0852910000000003E-4</v>
      </c>
      <c r="H151">
        <v>-4.2970399999999998E-5</v>
      </c>
      <c r="I151">
        <v>0</v>
      </c>
      <c r="J151">
        <v>0</v>
      </c>
      <c r="K151">
        <v>0</v>
      </c>
    </row>
    <row r="152" spans="1:11">
      <c r="A152">
        <v>4</v>
      </c>
      <c r="B152" t="s">
        <v>119</v>
      </c>
      <c r="C152">
        <v>11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1:11">
      <c r="A153">
        <v>4</v>
      </c>
      <c r="B153" t="s">
        <v>119</v>
      </c>
      <c r="C153">
        <v>12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1:11">
      <c r="A154">
        <v>4</v>
      </c>
      <c r="B154" t="s">
        <v>119</v>
      </c>
      <c r="C154">
        <v>13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1:11">
      <c r="A155">
        <v>4</v>
      </c>
      <c r="B155" t="s">
        <v>119</v>
      </c>
      <c r="C155">
        <v>14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1:11">
      <c r="A156">
        <v>4</v>
      </c>
      <c r="B156" t="s">
        <v>124</v>
      </c>
      <c r="C156">
        <v>1</v>
      </c>
      <c r="D156">
        <v>3</v>
      </c>
      <c r="E156">
        <v>0</v>
      </c>
      <c r="F156">
        <v>2.6633569999999999E-3</v>
      </c>
      <c r="G156">
        <v>7.3183540000000004E-4</v>
      </c>
      <c r="H156">
        <v>6.6637599999999994E-5</v>
      </c>
      <c r="I156">
        <v>0</v>
      </c>
      <c r="J156">
        <v>0</v>
      </c>
      <c r="K156">
        <v>0</v>
      </c>
    </row>
    <row r="157" spans="1:11">
      <c r="A157">
        <v>4</v>
      </c>
      <c r="B157" t="s">
        <v>124</v>
      </c>
      <c r="C157">
        <v>2</v>
      </c>
      <c r="D157">
        <v>3</v>
      </c>
      <c r="E157">
        <v>0</v>
      </c>
      <c r="F157">
        <v>2.4258560000000001E-3</v>
      </c>
      <c r="G157">
        <v>7.9514189999999995E-4</v>
      </c>
      <c r="H157">
        <v>6.66406E-5</v>
      </c>
      <c r="I157">
        <v>0</v>
      </c>
      <c r="J157">
        <v>0</v>
      </c>
      <c r="K157">
        <v>0</v>
      </c>
    </row>
    <row r="158" spans="1:11">
      <c r="A158">
        <v>4</v>
      </c>
      <c r="B158" t="s">
        <v>124</v>
      </c>
      <c r="C158">
        <v>3</v>
      </c>
      <c r="D158">
        <v>1</v>
      </c>
      <c r="E158">
        <v>2</v>
      </c>
      <c r="F158">
        <v>1.561563E-3</v>
      </c>
      <c r="G158">
        <v>1.041424E-3</v>
      </c>
      <c r="H158">
        <v>2.0162299999999998E-5</v>
      </c>
      <c r="I158">
        <v>-1.595988E-3</v>
      </c>
      <c r="J158">
        <v>1.1615810000000001E-3</v>
      </c>
      <c r="K158">
        <v>-5.947E-6</v>
      </c>
    </row>
    <row r="159" spans="1:11">
      <c r="A159">
        <v>4</v>
      </c>
      <c r="B159" t="s">
        <v>124</v>
      </c>
      <c r="C159">
        <v>4</v>
      </c>
      <c r="D159">
        <v>0</v>
      </c>
      <c r="E159">
        <v>2</v>
      </c>
      <c r="F159">
        <v>0</v>
      </c>
      <c r="G159">
        <v>0</v>
      </c>
      <c r="H159">
        <v>0</v>
      </c>
      <c r="I159">
        <v>-1.822246E-3</v>
      </c>
      <c r="J159">
        <v>9.869232999999999E-4</v>
      </c>
      <c r="K159">
        <v>-3.97171E-5</v>
      </c>
    </row>
    <row r="160" spans="1:11">
      <c r="A160">
        <v>4</v>
      </c>
      <c r="B160" t="s">
        <v>124</v>
      </c>
      <c r="C160">
        <v>5</v>
      </c>
      <c r="D160">
        <v>0</v>
      </c>
      <c r="E160">
        <v>1</v>
      </c>
      <c r="F160">
        <v>0</v>
      </c>
      <c r="G160">
        <v>0</v>
      </c>
      <c r="H160">
        <v>0</v>
      </c>
      <c r="I160">
        <v>-2.0638319999999998E-3</v>
      </c>
      <c r="J160">
        <v>5.7625419999999996E-4</v>
      </c>
      <c r="K160">
        <v>-6.6107799999999997E-5</v>
      </c>
    </row>
    <row r="161" spans="1:11">
      <c r="A161">
        <v>4</v>
      </c>
      <c r="B161" t="s">
        <v>124</v>
      </c>
      <c r="C161">
        <v>6</v>
      </c>
      <c r="D161">
        <v>0</v>
      </c>
      <c r="E161">
        <v>1</v>
      </c>
      <c r="F161">
        <v>0</v>
      </c>
      <c r="G161">
        <v>0</v>
      </c>
      <c r="H161">
        <v>0</v>
      </c>
      <c r="I161">
        <v>-2.0730789999999998E-3</v>
      </c>
      <c r="J161">
        <v>5.1345359999999997E-4</v>
      </c>
      <c r="K161">
        <v>-6.6105299999999999E-5</v>
      </c>
    </row>
    <row r="162" spans="1:11">
      <c r="A162">
        <v>4</v>
      </c>
      <c r="B162" t="s">
        <v>124</v>
      </c>
      <c r="C162">
        <v>7</v>
      </c>
      <c r="D162">
        <v>3</v>
      </c>
      <c r="E162">
        <v>0</v>
      </c>
      <c r="F162">
        <v>2.324137E-3</v>
      </c>
      <c r="G162">
        <v>7.9471330000000005E-4</v>
      </c>
      <c r="H162">
        <v>6.6757900000000007E-5</v>
      </c>
      <c r="I162">
        <v>0</v>
      </c>
      <c r="J162">
        <v>0</v>
      </c>
      <c r="K162">
        <v>0</v>
      </c>
    </row>
    <row r="163" spans="1:11">
      <c r="A163">
        <v>4</v>
      </c>
      <c r="B163" t="s">
        <v>124</v>
      </c>
      <c r="C163">
        <v>8</v>
      </c>
      <c r="D163">
        <v>1</v>
      </c>
      <c r="E163">
        <v>2</v>
      </c>
      <c r="F163">
        <v>1.5307400000000001E-3</v>
      </c>
      <c r="G163">
        <v>1.040837E-3</v>
      </c>
      <c r="H163">
        <v>2.0259200000000001E-5</v>
      </c>
      <c r="I163">
        <v>-1.5868309999999999E-3</v>
      </c>
      <c r="J163">
        <v>1.160917E-3</v>
      </c>
      <c r="K163">
        <v>-6.0598E-6</v>
      </c>
    </row>
    <row r="164" spans="1:11">
      <c r="A164">
        <v>4</v>
      </c>
      <c r="B164" t="s">
        <v>124</v>
      </c>
      <c r="C164">
        <v>9</v>
      </c>
      <c r="D164">
        <v>0</v>
      </c>
      <c r="E164">
        <v>2</v>
      </c>
      <c r="F164">
        <v>0</v>
      </c>
      <c r="G164">
        <v>0</v>
      </c>
      <c r="H164">
        <v>0</v>
      </c>
      <c r="I164">
        <v>-1.7616000000000001E-3</v>
      </c>
      <c r="J164">
        <v>9.8637120000000006E-4</v>
      </c>
      <c r="K164">
        <v>-3.9814999999999997E-5</v>
      </c>
    </row>
    <row r="165" spans="1:11">
      <c r="A165">
        <v>4</v>
      </c>
      <c r="B165" t="s">
        <v>124</v>
      </c>
      <c r="C165">
        <v>10</v>
      </c>
      <c r="D165">
        <v>0</v>
      </c>
      <c r="E165">
        <v>1</v>
      </c>
      <c r="F165">
        <v>0</v>
      </c>
      <c r="G165">
        <v>0</v>
      </c>
      <c r="H165">
        <v>0</v>
      </c>
      <c r="I165">
        <v>-1.9629460000000001E-3</v>
      </c>
      <c r="J165">
        <v>5.7596649999999998E-4</v>
      </c>
      <c r="K165">
        <v>-6.6198799999999994E-5</v>
      </c>
    </row>
    <row r="166" spans="1:11">
      <c r="A166">
        <v>4</v>
      </c>
      <c r="B166" t="s">
        <v>124</v>
      </c>
      <c r="C166">
        <v>11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1:11">
      <c r="A167">
        <v>4</v>
      </c>
      <c r="B167" t="s">
        <v>124</v>
      </c>
      <c r="C167">
        <v>12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1:11">
      <c r="A168">
        <v>4</v>
      </c>
      <c r="B168" t="s">
        <v>124</v>
      </c>
      <c r="C168">
        <v>13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1:11">
      <c r="A169">
        <v>4</v>
      </c>
      <c r="B169" t="s">
        <v>124</v>
      </c>
      <c r="C169">
        <v>14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15" sqref="N15"/>
    </sheetView>
  </sheetViews>
  <sheetFormatPr defaultColWidth="8.875" defaultRowHeight="16.5" customHeight="1"/>
  <cols>
    <col min="1" max="3" width="8.875" style="48"/>
    <col min="4" max="4" width="9.5" style="48" bestFit="1" customWidth="1"/>
    <col min="5" max="16384" width="8.875" style="48"/>
  </cols>
  <sheetData>
    <row r="2" spans="2:11" ht="16.5" customHeight="1">
      <c r="B2" s="77" t="s">
        <v>38</v>
      </c>
    </row>
    <row r="4" spans="2:11" ht="16.5" customHeight="1">
      <c r="B4" s="192" t="s">
        <v>39</v>
      </c>
      <c r="C4" s="193"/>
      <c r="D4" s="90" t="s">
        <v>75</v>
      </c>
      <c r="F4" s="197"/>
      <c r="G4" s="198"/>
      <c r="H4" s="198"/>
      <c r="I4" s="198"/>
      <c r="J4" s="198"/>
      <c r="K4" s="199"/>
    </row>
    <row r="5" spans="2:11" ht="16.5" customHeight="1">
      <c r="B5" s="78"/>
      <c r="C5" s="79" t="s">
        <v>40</v>
      </c>
      <c r="D5" s="90" t="s">
        <v>139</v>
      </c>
      <c r="F5" s="200"/>
      <c r="G5" s="194"/>
      <c r="H5" s="194"/>
      <c r="I5" s="194"/>
      <c r="J5" s="194"/>
      <c r="K5" s="201"/>
    </row>
    <row r="6" spans="2:11" ht="16.5" customHeight="1">
      <c r="B6" s="80"/>
      <c r="C6" s="81" t="s">
        <v>41</v>
      </c>
      <c r="D6" s="91">
        <v>1</v>
      </c>
      <c r="F6" s="200"/>
      <c r="G6" s="194"/>
      <c r="H6" s="194"/>
      <c r="I6" s="194"/>
      <c r="J6" s="194"/>
      <c r="K6" s="201"/>
    </row>
    <row r="7" spans="2:11" ht="16.5" customHeight="1">
      <c r="B7" s="192" t="s">
        <v>42</v>
      </c>
      <c r="C7" s="193"/>
      <c r="D7" s="90" t="s">
        <v>75</v>
      </c>
      <c r="F7" s="200"/>
      <c r="G7" s="194"/>
      <c r="H7" s="194"/>
      <c r="I7" s="194"/>
      <c r="J7" s="194"/>
      <c r="K7" s="201"/>
    </row>
    <row r="8" spans="2:11" ht="16.5" customHeight="1">
      <c r="B8" s="78"/>
      <c r="C8" s="79" t="s">
        <v>40</v>
      </c>
      <c r="D8" s="90" t="s">
        <v>76</v>
      </c>
      <c r="F8" s="200"/>
      <c r="G8" s="194"/>
      <c r="H8" s="194"/>
      <c r="I8" s="194"/>
      <c r="J8" s="194"/>
      <c r="K8" s="201"/>
    </row>
    <row r="9" spans="2:11" ht="16.5" customHeight="1">
      <c r="B9" s="80"/>
      <c r="C9" s="81" t="s">
        <v>41</v>
      </c>
      <c r="D9" s="92">
        <v>1</v>
      </c>
      <c r="F9" s="200"/>
      <c r="G9" s="194"/>
      <c r="H9" s="194"/>
      <c r="I9" s="194"/>
      <c r="J9" s="194"/>
      <c r="K9" s="201"/>
    </row>
    <row r="10" spans="2:11" ht="16.5" customHeight="1">
      <c r="B10" s="192" t="s">
        <v>82</v>
      </c>
      <c r="C10" s="193"/>
      <c r="D10" s="90" t="s">
        <v>83</v>
      </c>
      <c r="F10" s="200"/>
      <c r="G10" s="194"/>
      <c r="H10" s="194"/>
      <c r="I10" s="194"/>
      <c r="J10" s="194"/>
      <c r="K10" s="201"/>
    </row>
    <row r="11" spans="2:11" ht="16.5" customHeight="1">
      <c r="B11" s="80"/>
      <c r="C11" s="82" t="s">
        <v>43</v>
      </c>
      <c r="D11" s="93">
        <v>20</v>
      </c>
      <c r="F11" s="200"/>
      <c r="G11" s="194"/>
      <c r="H11" s="194"/>
      <c r="I11" s="194"/>
      <c r="J11" s="194"/>
      <c r="K11" s="201"/>
    </row>
    <row r="12" spans="2:11" ht="16.5" customHeight="1">
      <c r="D12" s="83"/>
      <c r="F12" s="200"/>
      <c r="G12" s="194"/>
      <c r="H12" s="194"/>
      <c r="I12" s="194"/>
      <c r="J12" s="194"/>
      <c r="K12" s="201"/>
    </row>
    <row r="13" spans="2:11" ht="16.5" customHeight="1">
      <c r="B13" s="84" t="s">
        <v>44</v>
      </c>
      <c r="C13" s="85"/>
      <c r="D13" s="86"/>
      <c r="F13" s="200"/>
      <c r="G13" s="194"/>
      <c r="H13" s="194"/>
      <c r="I13" s="194"/>
      <c r="J13" s="194"/>
      <c r="K13" s="201"/>
    </row>
    <row r="14" spans="2:11" ht="16.5" customHeight="1">
      <c r="B14" s="87"/>
      <c r="C14" s="88" t="s">
        <v>45</v>
      </c>
      <c r="D14" s="90">
        <v>180</v>
      </c>
      <c r="F14" s="200"/>
      <c r="G14" s="194"/>
      <c r="H14" s="194"/>
      <c r="I14" s="194"/>
      <c r="J14" s="194"/>
      <c r="K14" s="201"/>
    </row>
    <row r="15" spans="2:11" ht="16.5" customHeight="1">
      <c r="B15" s="87"/>
      <c r="C15" s="88" t="s">
        <v>46</v>
      </c>
      <c r="D15" s="90">
        <v>0</v>
      </c>
      <c r="F15" s="200"/>
      <c r="G15" s="194"/>
      <c r="H15" s="194"/>
      <c r="I15" s="194"/>
      <c r="J15" s="194"/>
      <c r="K15" s="201"/>
    </row>
    <row r="16" spans="2:11" ht="16.5" customHeight="1">
      <c r="B16" s="89"/>
      <c r="C16" s="88" t="s">
        <v>47</v>
      </c>
      <c r="D16" s="90">
        <v>0</v>
      </c>
      <c r="F16" s="200"/>
      <c r="G16" s="194"/>
      <c r="H16" s="194"/>
      <c r="I16" s="194"/>
      <c r="J16" s="194"/>
      <c r="K16" s="201"/>
    </row>
    <row r="17" spans="3:11" ht="16.5" customHeight="1">
      <c r="F17" s="200"/>
      <c r="G17" s="194"/>
      <c r="H17" s="194"/>
      <c r="I17" s="194"/>
      <c r="J17" s="194"/>
      <c r="K17" s="201"/>
    </row>
    <row r="18" spans="3:11" ht="16.5" customHeight="1">
      <c r="F18" s="200"/>
      <c r="G18" s="194"/>
      <c r="H18" s="194"/>
      <c r="I18" s="194"/>
      <c r="J18" s="194"/>
      <c r="K18" s="201"/>
    </row>
    <row r="19" spans="3:11" ht="16.5" customHeight="1">
      <c r="F19" s="200"/>
      <c r="G19" s="194"/>
      <c r="H19" s="194"/>
      <c r="I19" s="194"/>
      <c r="J19" s="194"/>
      <c r="K19" s="201"/>
    </row>
    <row r="20" spans="3:11" ht="16.5" customHeight="1">
      <c r="F20" s="200"/>
      <c r="G20" s="194"/>
      <c r="H20" s="194"/>
      <c r="I20" s="194"/>
      <c r="J20" s="194"/>
      <c r="K20" s="201"/>
    </row>
    <row r="21" spans="3:11" ht="16.5" customHeight="1">
      <c r="F21" s="200"/>
      <c r="G21" s="194"/>
      <c r="H21" s="194"/>
      <c r="I21" s="194"/>
      <c r="J21" s="194"/>
      <c r="K21" s="201"/>
    </row>
    <row r="22" spans="3:11" ht="16.5" customHeight="1">
      <c r="F22" s="200"/>
      <c r="G22" s="194"/>
      <c r="H22" s="194"/>
      <c r="I22" s="194"/>
      <c r="J22" s="194"/>
      <c r="K22" s="201"/>
    </row>
    <row r="23" spans="3:11" ht="16.5" customHeight="1">
      <c r="F23" s="200"/>
      <c r="G23" s="194"/>
      <c r="H23" s="194"/>
      <c r="I23" s="194"/>
      <c r="J23" s="194"/>
      <c r="K23" s="201"/>
    </row>
    <row r="24" spans="3:11" ht="16.5" customHeight="1">
      <c r="F24" s="200"/>
      <c r="G24" s="194"/>
      <c r="H24" s="194"/>
      <c r="I24" s="194"/>
      <c r="J24" s="194"/>
      <c r="K24" s="201"/>
    </row>
    <row r="25" spans="3:11" ht="16.5" customHeight="1">
      <c r="C25" s="88" t="s">
        <v>59</v>
      </c>
      <c r="D25" s="90">
        <v>1</v>
      </c>
      <c r="F25" s="200"/>
      <c r="G25" s="194"/>
      <c r="H25" s="194"/>
      <c r="I25" s="194"/>
      <c r="J25" s="194"/>
      <c r="K25" s="201"/>
    </row>
    <row r="26" spans="3:11" ht="16.5" customHeight="1">
      <c r="F26" s="200"/>
      <c r="G26" s="194"/>
      <c r="H26" s="194"/>
      <c r="I26" s="194"/>
      <c r="J26" s="194"/>
      <c r="K26" s="201"/>
    </row>
    <row r="27" spans="3:11" ht="16.5" customHeight="1">
      <c r="F27" s="202"/>
      <c r="G27" s="203"/>
      <c r="H27" s="203"/>
      <c r="I27" s="203"/>
      <c r="J27" s="203"/>
      <c r="K27" s="204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642</vt:i4>
      </vt:variant>
    </vt:vector>
  </HeadingPairs>
  <TitlesOfParts>
    <vt:vector size="660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PickUp・変位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計算・出力!header_回転X10</vt:lpstr>
      <vt:lpstr>計算・出力!header_回転X11</vt:lpstr>
      <vt:lpstr>計算・出力!header_回転X12</vt:lpstr>
      <vt:lpstr>計算・出力!header_回転X13</vt:lpstr>
      <vt:lpstr>計算・出力!header_回転X14</vt:lpstr>
      <vt:lpstr>計算・出力!header_回転X15</vt:lpstr>
      <vt:lpstr>計算・出力!header_回転X16</vt:lpstr>
      <vt:lpstr>計算・出力!header_回転X17</vt:lpstr>
      <vt:lpstr>計算・出力!header_回転X2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計算・出力!header_回転X7</vt:lpstr>
      <vt:lpstr>計算・出力!header_回転X8</vt:lpstr>
      <vt:lpstr>計算・出力!header_回転X9</vt:lpstr>
      <vt:lpstr>計算・出力!header_回転Y1</vt:lpstr>
      <vt:lpstr>計算・出力!header_回転Y10</vt:lpstr>
      <vt:lpstr>計算・出力!header_回転Y11</vt:lpstr>
      <vt:lpstr>計算・出力!header_回転Y12</vt:lpstr>
      <vt:lpstr>計算・出力!header_回転Y13</vt:lpstr>
      <vt:lpstr>計算・出力!header_回転Y14</vt:lpstr>
      <vt:lpstr>計算・出力!header_回転Y15</vt:lpstr>
      <vt:lpstr>計算・出力!header_回転Y16</vt:lpstr>
      <vt:lpstr>計算・出力!header_回転Y17</vt:lpstr>
      <vt:lpstr>計算・出力!header_回転Y2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計算・出力!header_回転Y7</vt:lpstr>
      <vt:lpstr>計算・出力!header_回転Y8</vt:lpstr>
      <vt:lpstr>計算・出力!header_回転Y9</vt:lpstr>
      <vt:lpstr>計算・出力!header_回転Z1</vt:lpstr>
      <vt:lpstr>計算・出力!header_回転Z10</vt:lpstr>
      <vt:lpstr>計算・出力!header_回転Z11</vt:lpstr>
      <vt:lpstr>計算・出力!header_回転Z12</vt:lpstr>
      <vt:lpstr>計算・出力!header_回転Z13</vt:lpstr>
      <vt:lpstr>計算・出力!header_回転Z14</vt:lpstr>
      <vt:lpstr>計算・出力!header_回転Z15</vt:lpstr>
      <vt:lpstr>計算・出力!header_回転Z16</vt:lpstr>
      <vt:lpstr>計算・出力!header_回転Z17</vt:lpstr>
      <vt:lpstr>計算・出力!header_回転Z2</vt:lpstr>
      <vt:lpstr>計算・出力!header_回転Z3</vt:lpstr>
      <vt:lpstr>計算・出力!header_回転Z4</vt:lpstr>
      <vt:lpstr>計算・出力!header_回転Z5</vt:lpstr>
      <vt:lpstr>計算・出力!header_回転Z6</vt:lpstr>
      <vt:lpstr>計算・出力!header_回転Z7</vt:lpstr>
      <vt:lpstr>計算・出力!header_回転Z8</vt:lpstr>
      <vt:lpstr>計算・出力!header_回転Z9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計算・出力!header_節点X10</vt:lpstr>
      <vt:lpstr>計算・出力!header_節点X11</vt:lpstr>
      <vt:lpstr>計算・出力!header_節点X12</vt:lpstr>
      <vt:lpstr>計算・出力!header_節点X13</vt:lpstr>
      <vt:lpstr>計算・出力!header_節点X14</vt:lpstr>
      <vt:lpstr>計算・出力!header_節点X15</vt:lpstr>
      <vt:lpstr>計算・出力!header_節点X16</vt:lpstr>
      <vt:lpstr>計算・出力!header_節点X17</vt:lpstr>
      <vt:lpstr>計算・出力!header_節点X2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計算・出力!header_節点X7</vt:lpstr>
      <vt:lpstr>計算・出力!header_節点X8</vt:lpstr>
      <vt:lpstr>計算・出力!header_節点X9</vt:lpstr>
      <vt:lpstr>計算・出力!header_節点Y1</vt:lpstr>
      <vt:lpstr>計算・出力!header_節点Y10</vt:lpstr>
      <vt:lpstr>計算・出力!header_節点Y11</vt:lpstr>
      <vt:lpstr>計算・出力!header_節点Y12</vt:lpstr>
      <vt:lpstr>計算・出力!header_節点Y13</vt:lpstr>
      <vt:lpstr>計算・出力!header_節点Y14</vt:lpstr>
      <vt:lpstr>計算・出力!header_節点Y15</vt:lpstr>
      <vt:lpstr>計算・出力!header_節点Y16</vt:lpstr>
      <vt:lpstr>計算・出力!header_節点Y17</vt:lpstr>
      <vt:lpstr>計算・出力!header_節点Y2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計算・出力!header_節点Y7</vt:lpstr>
      <vt:lpstr>計算・出力!header_節点Y8</vt:lpstr>
      <vt:lpstr>計算・出力!header_節点Y9</vt:lpstr>
      <vt:lpstr>計算・出力!header_節点Z1</vt:lpstr>
      <vt:lpstr>計算・出力!header_節点Z10</vt:lpstr>
      <vt:lpstr>計算・出力!header_節点Z11</vt:lpstr>
      <vt:lpstr>計算・出力!header_節点Z12</vt:lpstr>
      <vt:lpstr>計算・出力!header_節点Z13</vt:lpstr>
      <vt:lpstr>計算・出力!header_節点Z14</vt:lpstr>
      <vt:lpstr>計算・出力!header_節点Z15</vt:lpstr>
      <vt:lpstr>計算・出力!header_節点Z16</vt:lpstr>
      <vt:lpstr>計算・出力!header_節点Z17</vt:lpstr>
      <vt:lpstr>計算・出力!header_節点Z2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計算・出力!header_節点Z7</vt:lpstr>
      <vt:lpstr>計算・出力!header_節点Z8</vt:lpstr>
      <vt:lpstr>計算・出力!header_節点Z9</vt:lpstr>
      <vt:lpstr>計算・出力!header_断面力FX1</vt:lpstr>
      <vt:lpstr>計算・出力!header_断面力FX10</vt:lpstr>
      <vt:lpstr>計算・出力!header_断面力FX11</vt:lpstr>
      <vt:lpstr>計算・出力!header_断面力FX12</vt:lpstr>
      <vt:lpstr>計算・出力!header_断面力FX13</vt:lpstr>
      <vt:lpstr>計算・出力!header_断面力FX14</vt:lpstr>
      <vt:lpstr>計算・出力!header_断面力FX15</vt:lpstr>
      <vt:lpstr>計算・出力!header_断面力FX16</vt:lpstr>
      <vt:lpstr>計算・出力!header_断面力FX17</vt:lpstr>
      <vt:lpstr>計算・出力!header_断面力FX2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計算・出力!header_断面力FX7</vt:lpstr>
      <vt:lpstr>計算・出力!header_断面力FX8</vt:lpstr>
      <vt:lpstr>計算・出力!header_断面力FX9</vt:lpstr>
      <vt:lpstr>計算・出力!header_断面力FY1</vt:lpstr>
      <vt:lpstr>計算・出力!header_断面力FY10</vt:lpstr>
      <vt:lpstr>計算・出力!header_断面力FY11</vt:lpstr>
      <vt:lpstr>計算・出力!header_断面力FY12</vt:lpstr>
      <vt:lpstr>計算・出力!header_断面力FY13</vt:lpstr>
      <vt:lpstr>計算・出力!header_断面力FY14</vt:lpstr>
      <vt:lpstr>計算・出力!header_断面力FY15</vt:lpstr>
      <vt:lpstr>計算・出力!header_断面力FY16</vt:lpstr>
      <vt:lpstr>計算・出力!header_断面力FY17</vt:lpstr>
      <vt:lpstr>計算・出力!header_断面力FY2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計算・出力!header_断面力FY7</vt:lpstr>
      <vt:lpstr>計算・出力!header_断面力FY8</vt:lpstr>
      <vt:lpstr>計算・出力!header_断面力FY9</vt:lpstr>
      <vt:lpstr>計算・出力!header_断面力FZ1</vt:lpstr>
      <vt:lpstr>計算・出力!header_断面力FZ10</vt:lpstr>
      <vt:lpstr>計算・出力!header_断面力FZ11</vt:lpstr>
      <vt:lpstr>計算・出力!header_断面力FZ12</vt:lpstr>
      <vt:lpstr>計算・出力!header_断面力FZ13</vt:lpstr>
      <vt:lpstr>計算・出力!header_断面力FZ14</vt:lpstr>
      <vt:lpstr>計算・出力!header_断面力FZ15</vt:lpstr>
      <vt:lpstr>計算・出力!header_断面力FZ16</vt:lpstr>
      <vt:lpstr>計算・出力!header_断面力FZ17</vt:lpstr>
      <vt:lpstr>計算・出力!header_断面力FZ2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計算・出力!header_断面力FZ7</vt:lpstr>
      <vt:lpstr>計算・出力!header_断面力FZ8</vt:lpstr>
      <vt:lpstr>計算・出力!header_断面力FZ9</vt:lpstr>
      <vt:lpstr>計算・出力!header_断面力MX1</vt:lpstr>
      <vt:lpstr>計算・出力!header_断面力MX10</vt:lpstr>
      <vt:lpstr>計算・出力!header_断面力MX11</vt:lpstr>
      <vt:lpstr>計算・出力!header_断面力MX12</vt:lpstr>
      <vt:lpstr>計算・出力!header_断面力MX13</vt:lpstr>
      <vt:lpstr>計算・出力!header_断面力MX14</vt:lpstr>
      <vt:lpstr>計算・出力!header_断面力MX15</vt:lpstr>
      <vt:lpstr>計算・出力!header_断面力MX16</vt:lpstr>
      <vt:lpstr>計算・出力!header_断面力MX17</vt:lpstr>
      <vt:lpstr>計算・出力!header_断面力MX2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計算・出力!header_断面力MX7</vt:lpstr>
      <vt:lpstr>計算・出力!header_断面力MX8</vt:lpstr>
      <vt:lpstr>計算・出力!header_断面力MX9</vt:lpstr>
      <vt:lpstr>計算・出力!header_断面力MY1</vt:lpstr>
      <vt:lpstr>計算・出力!header_断面力MY10</vt:lpstr>
      <vt:lpstr>計算・出力!header_断面力MY11</vt:lpstr>
      <vt:lpstr>計算・出力!header_断面力MY12</vt:lpstr>
      <vt:lpstr>計算・出力!header_断面力MY13</vt:lpstr>
      <vt:lpstr>計算・出力!header_断面力MY14</vt:lpstr>
      <vt:lpstr>計算・出力!header_断面力MY15</vt:lpstr>
      <vt:lpstr>計算・出力!header_断面力MY16</vt:lpstr>
      <vt:lpstr>計算・出力!header_断面力MY17</vt:lpstr>
      <vt:lpstr>計算・出力!header_断面力MY2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計算・出力!header_断面力MY7</vt:lpstr>
      <vt:lpstr>計算・出力!header_断面力MY8</vt:lpstr>
      <vt:lpstr>計算・出力!header_断面力MY9</vt:lpstr>
      <vt:lpstr>計算・出力!header_断面力MZ1</vt:lpstr>
      <vt:lpstr>計算・出力!header_断面力MZ10</vt:lpstr>
      <vt:lpstr>計算・出力!header_断面力MZ11</vt:lpstr>
      <vt:lpstr>計算・出力!header_断面力MZ12</vt:lpstr>
      <vt:lpstr>計算・出力!header_断面力MZ13</vt:lpstr>
      <vt:lpstr>計算・出力!header_断面力MZ14</vt:lpstr>
      <vt:lpstr>計算・出力!header_断面力MZ15</vt:lpstr>
      <vt:lpstr>計算・出力!header_断面力MZ16</vt:lpstr>
      <vt:lpstr>計算・出力!header_断面力MZ17</vt:lpstr>
      <vt:lpstr>計算・出力!header_断面力MZ2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計算・出力!header_断面力MZ7</vt:lpstr>
      <vt:lpstr>計算・出力!header_断面力MZ8</vt:lpstr>
      <vt:lpstr>計算・出力!header_断面力MZ9</vt:lpstr>
      <vt:lpstr>計算・出力!header_断面力節点1</vt:lpstr>
      <vt:lpstr>計算・出力!header_断面力節点10</vt:lpstr>
      <vt:lpstr>計算・出力!header_断面力節点11</vt:lpstr>
      <vt:lpstr>計算・出力!header_断面力節点12</vt:lpstr>
      <vt:lpstr>計算・出力!header_断面力節点13</vt:lpstr>
      <vt:lpstr>計算・出力!header_断面力節点14</vt:lpstr>
      <vt:lpstr>計算・出力!header_断面力節点15</vt:lpstr>
      <vt:lpstr>計算・出力!header_断面力節点16</vt:lpstr>
      <vt:lpstr>計算・出力!header_断面力節点17</vt:lpstr>
      <vt:lpstr>計算・出力!header_断面力節点2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計算・出力!header_断面力節点7</vt:lpstr>
      <vt:lpstr>計算・出力!header_断面力節点8</vt:lpstr>
      <vt:lpstr>計算・出力!header_断面力節点9</vt:lpstr>
      <vt:lpstr>計算・出力!header_着目点1</vt:lpstr>
      <vt:lpstr>計算・出力!header_着目点10</vt:lpstr>
      <vt:lpstr>計算・出力!header_着目点11</vt:lpstr>
      <vt:lpstr>計算・出力!header_着目点12</vt:lpstr>
      <vt:lpstr>計算・出力!header_着目点13</vt:lpstr>
      <vt:lpstr>計算・出力!header_着目点14</vt:lpstr>
      <vt:lpstr>計算・出力!header_着目点15</vt:lpstr>
      <vt:lpstr>計算・出力!header_着目点16</vt:lpstr>
      <vt:lpstr>計算・出力!header_着目点17</vt:lpstr>
      <vt:lpstr>計算・出力!header_着目点2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計算・出力!header_着目点7</vt:lpstr>
      <vt:lpstr>計算・出力!header_着目点8</vt:lpstr>
      <vt:lpstr>計算・出力!header_着目点9</vt:lpstr>
      <vt:lpstr>計算・出力!header_反力MX1</vt:lpstr>
      <vt:lpstr>計算・出力!header_反力MX10</vt:lpstr>
      <vt:lpstr>計算・出力!header_反力MX11</vt:lpstr>
      <vt:lpstr>計算・出力!header_反力MX12</vt:lpstr>
      <vt:lpstr>計算・出力!header_反力MX13</vt:lpstr>
      <vt:lpstr>計算・出力!header_反力MX14</vt:lpstr>
      <vt:lpstr>計算・出力!header_反力MX15</vt:lpstr>
      <vt:lpstr>計算・出力!header_反力MX16</vt:lpstr>
      <vt:lpstr>計算・出力!header_反力MX17</vt:lpstr>
      <vt:lpstr>計算・出力!header_反力MX2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計算・出力!header_反力MX7</vt:lpstr>
      <vt:lpstr>計算・出力!header_反力MX8</vt:lpstr>
      <vt:lpstr>計算・出力!header_反力MX9</vt:lpstr>
      <vt:lpstr>計算・出力!header_反力MY1</vt:lpstr>
      <vt:lpstr>計算・出力!header_反力MY10</vt:lpstr>
      <vt:lpstr>計算・出力!header_反力MY11</vt:lpstr>
      <vt:lpstr>計算・出力!header_反力MY12</vt:lpstr>
      <vt:lpstr>計算・出力!header_反力MY13</vt:lpstr>
      <vt:lpstr>計算・出力!header_反力MY14</vt:lpstr>
      <vt:lpstr>計算・出力!header_反力MY15</vt:lpstr>
      <vt:lpstr>計算・出力!header_反力MY16</vt:lpstr>
      <vt:lpstr>計算・出力!header_反力MY17</vt:lpstr>
      <vt:lpstr>計算・出力!header_反力MY2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計算・出力!header_反力MY7</vt:lpstr>
      <vt:lpstr>計算・出力!header_反力MY8</vt:lpstr>
      <vt:lpstr>計算・出力!header_反力MY9</vt:lpstr>
      <vt:lpstr>計算・出力!header_反力MZ1</vt:lpstr>
      <vt:lpstr>計算・出力!header_反力MZ10</vt:lpstr>
      <vt:lpstr>計算・出力!header_反力MZ11</vt:lpstr>
      <vt:lpstr>計算・出力!header_反力MZ12</vt:lpstr>
      <vt:lpstr>計算・出力!header_反力MZ13</vt:lpstr>
      <vt:lpstr>計算・出力!header_反力MZ14</vt:lpstr>
      <vt:lpstr>計算・出力!header_反力MZ15</vt:lpstr>
      <vt:lpstr>計算・出力!header_反力MZ16</vt:lpstr>
      <vt:lpstr>計算・出力!header_反力MZ17</vt:lpstr>
      <vt:lpstr>計算・出力!header_反力MZ2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計算・出力!header_反力MZ7</vt:lpstr>
      <vt:lpstr>計算・出力!header_反力MZ8</vt:lpstr>
      <vt:lpstr>計算・出力!header_反力MZ9</vt:lpstr>
      <vt:lpstr>計算・出力!header_反力RX1</vt:lpstr>
      <vt:lpstr>計算・出力!header_反力RX10</vt:lpstr>
      <vt:lpstr>計算・出力!header_反力RX11</vt:lpstr>
      <vt:lpstr>計算・出力!header_反力RX12</vt:lpstr>
      <vt:lpstr>計算・出力!header_反力RX13</vt:lpstr>
      <vt:lpstr>計算・出力!header_反力RX14</vt:lpstr>
      <vt:lpstr>計算・出力!header_反力RX15</vt:lpstr>
      <vt:lpstr>計算・出力!header_反力RX16</vt:lpstr>
      <vt:lpstr>計算・出力!header_反力RX17</vt:lpstr>
      <vt:lpstr>計算・出力!header_反力RX2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計算・出力!header_反力RX7</vt:lpstr>
      <vt:lpstr>計算・出力!header_反力RX8</vt:lpstr>
      <vt:lpstr>計算・出力!header_反力RX9</vt:lpstr>
      <vt:lpstr>計算・出力!header_反力RY1</vt:lpstr>
      <vt:lpstr>計算・出力!header_反力RY10</vt:lpstr>
      <vt:lpstr>計算・出力!header_反力RY11</vt:lpstr>
      <vt:lpstr>計算・出力!header_反力RY12</vt:lpstr>
      <vt:lpstr>計算・出力!header_反力RY13</vt:lpstr>
      <vt:lpstr>計算・出力!header_反力RY14</vt:lpstr>
      <vt:lpstr>計算・出力!header_反力RY15</vt:lpstr>
      <vt:lpstr>計算・出力!header_反力RY16</vt:lpstr>
      <vt:lpstr>計算・出力!header_反力RY17</vt:lpstr>
      <vt:lpstr>計算・出力!header_反力RY2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計算・出力!header_反力RY7</vt:lpstr>
      <vt:lpstr>計算・出力!header_反力RY8</vt:lpstr>
      <vt:lpstr>計算・出力!header_反力RY9</vt:lpstr>
      <vt:lpstr>計算・出力!header_反力RZ1</vt:lpstr>
      <vt:lpstr>計算・出力!header_反力RZ10</vt:lpstr>
      <vt:lpstr>計算・出力!header_反力RZ11</vt:lpstr>
      <vt:lpstr>計算・出力!header_反力RZ12</vt:lpstr>
      <vt:lpstr>計算・出力!header_反力RZ13</vt:lpstr>
      <vt:lpstr>計算・出力!header_反力RZ14</vt:lpstr>
      <vt:lpstr>計算・出力!header_反力RZ15</vt:lpstr>
      <vt:lpstr>計算・出力!header_反力RZ16</vt:lpstr>
      <vt:lpstr>計算・出力!header_反力RZ17</vt:lpstr>
      <vt:lpstr>計算・出力!header_反力RZ2</vt:lpstr>
      <vt:lpstr>計算・出力!header_反力RZ3</vt:lpstr>
      <vt:lpstr>計算・出力!header_反力RZ4</vt:lpstr>
      <vt:lpstr>計算・出力!header_反力RZ5</vt:lpstr>
      <vt:lpstr>計算・出力!header_反力RZ6</vt:lpstr>
      <vt:lpstr>計算・出力!header_反力RZ7</vt:lpstr>
      <vt:lpstr>計算・出力!header_反力RZ8</vt:lpstr>
      <vt:lpstr>計算・出力!header_反力RZ9</vt:lpstr>
      <vt:lpstr>荷重強度!header_部材1</vt:lpstr>
      <vt:lpstr>荷重強度!header_部材2</vt:lpstr>
      <vt:lpstr>計算・出力!header_変位X1</vt:lpstr>
      <vt:lpstr>計算・出力!header_変位X10</vt:lpstr>
      <vt:lpstr>計算・出力!header_変位X11</vt:lpstr>
      <vt:lpstr>計算・出力!header_変位X12</vt:lpstr>
      <vt:lpstr>計算・出力!header_変位X13</vt:lpstr>
      <vt:lpstr>計算・出力!header_変位X14</vt:lpstr>
      <vt:lpstr>計算・出力!header_変位X15</vt:lpstr>
      <vt:lpstr>計算・出力!header_変位X16</vt:lpstr>
      <vt:lpstr>計算・出力!header_変位X17</vt:lpstr>
      <vt:lpstr>計算・出力!header_変位X2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計算・出力!header_変位X7</vt:lpstr>
      <vt:lpstr>計算・出力!header_変位X8</vt:lpstr>
      <vt:lpstr>計算・出力!header_変位X9</vt:lpstr>
      <vt:lpstr>計算・出力!header_変位Y1</vt:lpstr>
      <vt:lpstr>計算・出力!header_変位Y10</vt:lpstr>
      <vt:lpstr>計算・出力!header_変位Y11</vt:lpstr>
      <vt:lpstr>計算・出力!header_変位Y12</vt:lpstr>
      <vt:lpstr>計算・出力!header_変位Y13</vt:lpstr>
      <vt:lpstr>計算・出力!header_変位Y14</vt:lpstr>
      <vt:lpstr>計算・出力!header_変位Y15</vt:lpstr>
      <vt:lpstr>計算・出力!header_変位Y16</vt:lpstr>
      <vt:lpstr>計算・出力!header_変位Y17</vt:lpstr>
      <vt:lpstr>計算・出力!header_変位Y2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計算・出力!header_変位Y7</vt:lpstr>
      <vt:lpstr>計算・出力!header_変位Y8</vt:lpstr>
      <vt:lpstr>計算・出力!header_変位Y9</vt:lpstr>
      <vt:lpstr>計算・出力!header_変位Z1</vt:lpstr>
      <vt:lpstr>計算・出力!header_変位Z10</vt:lpstr>
      <vt:lpstr>計算・出力!header_変位Z11</vt:lpstr>
      <vt:lpstr>計算・出力!header_変位Z12</vt:lpstr>
      <vt:lpstr>計算・出力!header_変位Z13</vt:lpstr>
      <vt:lpstr>計算・出力!header_変位Z14</vt:lpstr>
      <vt:lpstr>計算・出力!header_変位Z15</vt:lpstr>
      <vt:lpstr>計算・出力!header_変位Z16</vt:lpstr>
      <vt:lpstr>計算・出力!header_変位Z17</vt:lpstr>
      <vt:lpstr>計算・出力!header_変位Z2</vt:lpstr>
      <vt:lpstr>計算・出力!header_変位Z3</vt:lpstr>
      <vt:lpstr>計算・出力!header_変位Z4</vt:lpstr>
      <vt:lpstr>計算・出力!header_変位Z5</vt:lpstr>
      <vt:lpstr>計算・出力!header_変位Z6</vt:lpstr>
      <vt:lpstr>計算・出力!header_変位Z7</vt:lpstr>
      <vt:lpstr>計算・出力!header_変位Z8</vt:lpstr>
      <vt:lpstr>計算・出力!header_変位Z9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計算・出力!荷重No10</vt:lpstr>
      <vt:lpstr>計算・出力!荷重No11</vt:lpstr>
      <vt:lpstr>計算・出力!荷重No12</vt:lpstr>
      <vt:lpstr>計算・出力!荷重No13</vt:lpstr>
      <vt:lpstr>計算・出力!荷重No14</vt:lpstr>
      <vt:lpstr>計算・出力!荷重No15</vt:lpstr>
      <vt:lpstr>計算・出力!荷重No16</vt:lpstr>
      <vt:lpstr>計算・出力!荷重No17</vt:lpstr>
      <vt:lpstr>計算・出力!荷重No2</vt:lpstr>
      <vt:lpstr>計算・出力!荷重No3</vt:lpstr>
      <vt:lpstr>計算・出力!荷重No4</vt:lpstr>
      <vt:lpstr>計算・出力!荷重No5</vt:lpstr>
      <vt:lpstr>計算・出力!荷重No6</vt:lpstr>
      <vt:lpstr>計算・出力!荷重No7</vt:lpstr>
      <vt:lpstr>計算・出力!荷重No8</vt:lpstr>
      <vt:lpstr>計算・出力!荷重No9</vt:lpstr>
      <vt:lpstr>荷重名称!割増係数_header</vt:lpstr>
      <vt:lpstr>計算・出力!割増係数1</vt:lpstr>
      <vt:lpstr>計算・出力!割増係数10</vt:lpstr>
      <vt:lpstr>計算・出力!割増係数11</vt:lpstr>
      <vt:lpstr>計算・出力!割増係数12</vt:lpstr>
      <vt:lpstr>計算・出力!割増係数13</vt:lpstr>
      <vt:lpstr>計算・出力!割増係数14</vt:lpstr>
      <vt:lpstr>計算・出力!割増係数15</vt:lpstr>
      <vt:lpstr>計算・出力!割増係数16</vt:lpstr>
      <vt:lpstr>計算・出力!割増係数17</vt:lpstr>
      <vt:lpstr>計算・出力!割増係数2</vt:lpstr>
      <vt:lpstr>計算・出力!割増係数3</vt:lpstr>
      <vt:lpstr>計算・出力!割増係数4</vt:lpstr>
      <vt:lpstr>計算・出力!割増係数5</vt:lpstr>
      <vt:lpstr>計算・出力!割増係数6</vt:lpstr>
      <vt:lpstr>計算・出力!割増係数7</vt:lpstr>
      <vt:lpstr>計算・出力!割増係数8</vt:lpstr>
      <vt:lpstr>計算・出力!割増係数9</vt:lpstr>
      <vt:lpstr>荷重名称!記号_header</vt:lpstr>
      <vt:lpstr>計算・出力!記号1</vt:lpstr>
      <vt:lpstr>計算・出力!記号10</vt:lpstr>
      <vt:lpstr>計算・出力!記号11</vt:lpstr>
      <vt:lpstr>計算・出力!記号12</vt:lpstr>
      <vt:lpstr>計算・出力!記号13</vt:lpstr>
      <vt:lpstr>計算・出力!記号14</vt:lpstr>
      <vt:lpstr>計算・出力!記号15</vt:lpstr>
      <vt:lpstr>計算・出力!記号16</vt:lpstr>
      <vt:lpstr>計算・出力!記号17</vt:lpstr>
      <vt:lpstr>計算・出力!記号2</vt:lpstr>
      <vt:lpstr>計算・出力!記号3</vt:lpstr>
      <vt:lpstr>計算・出力!記号4</vt:lpstr>
      <vt:lpstr>計算・出力!記号5</vt:lpstr>
      <vt:lpstr>計算・出力!記号6</vt:lpstr>
      <vt:lpstr>計算・出力!記号7</vt:lpstr>
      <vt:lpstr>計算・出力!記号8</vt:lpstr>
      <vt:lpstr>計算・出力!記号9</vt:lpstr>
      <vt:lpstr>荷重名称!結合_header</vt:lpstr>
      <vt:lpstr>荷重名称!支点_header</vt:lpstr>
      <vt:lpstr>計算・出力!節点数1</vt:lpstr>
      <vt:lpstr>計算・出力!節点数10</vt:lpstr>
      <vt:lpstr>計算・出力!節点数11</vt:lpstr>
      <vt:lpstr>計算・出力!節点数12</vt:lpstr>
      <vt:lpstr>計算・出力!節点数13</vt:lpstr>
      <vt:lpstr>計算・出力!節点数14</vt:lpstr>
      <vt:lpstr>計算・出力!節点数15</vt:lpstr>
      <vt:lpstr>計算・出力!節点数16</vt:lpstr>
      <vt:lpstr>計算・出力!節点数17</vt:lpstr>
      <vt:lpstr>計算・出力!節点数2</vt:lpstr>
      <vt:lpstr>計算・出力!節点数3</vt:lpstr>
      <vt:lpstr>計算・出力!節点数4</vt:lpstr>
      <vt:lpstr>計算・出力!節点数5</vt:lpstr>
      <vt:lpstr>計算・出力!節点数6</vt:lpstr>
      <vt:lpstr>計算・出力!節点数7</vt:lpstr>
      <vt:lpstr>計算・出力!節点数8</vt:lpstr>
      <vt:lpstr>計算・出力!節点数9</vt:lpstr>
      <vt:lpstr>荷重名称!断面_header</vt:lpstr>
      <vt:lpstr>荷重名称!名称_header</vt:lpstr>
      <vt:lpstr>計算・出力!名称1</vt:lpstr>
      <vt:lpstr>計算・出力!名称10</vt:lpstr>
      <vt:lpstr>計算・出力!名称11</vt:lpstr>
      <vt:lpstr>計算・出力!名称12</vt:lpstr>
      <vt:lpstr>計算・出力!名称13</vt:lpstr>
      <vt:lpstr>計算・出力!名称14</vt:lpstr>
      <vt:lpstr>計算・出力!名称15</vt:lpstr>
      <vt:lpstr>計算・出力!名称16</vt:lpstr>
      <vt:lpstr>計算・出力!名称17</vt:lpstr>
      <vt:lpstr>計算・出力!名称2</vt:lpstr>
      <vt:lpstr>計算・出力!名称3</vt:lpstr>
      <vt:lpstr>計算・出力!名称4</vt:lpstr>
      <vt:lpstr>計算・出力!名称5</vt:lpstr>
      <vt:lpstr>計算・出力!名称6</vt:lpstr>
      <vt:lpstr>計算・出力!名称7</vt:lpstr>
      <vt:lpstr>計算・出力!名称8</vt:lpstr>
      <vt:lpstr>計算・出力!名称9</vt:lpstr>
      <vt:lpstr>計算・出力!要素数1</vt:lpstr>
      <vt:lpstr>計算・出力!要素数10</vt:lpstr>
      <vt:lpstr>計算・出力!要素数11</vt:lpstr>
      <vt:lpstr>計算・出力!要素数12</vt:lpstr>
      <vt:lpstr>計算・出力!要素数13</vt:lpstr>
      <vt:lpstr>計算・出力!要素数14</vt:lpstr>
      <vt:lpstr>計算・出力!要素数15</vt:lpstr>
      <vt:lpstr>計算・出力!要素数16</vt:lpstr>
      <vt:lpstr>計算・出力!要素数17</vt:lpstr>
      <vt:lpstr>計算・出力!要素数2</vt:lpstr>
      <vt:lpstr>計算・出力!要素数3</vt:lpstr>
      <vt:lpstr>計算・出力!要素数4</vt:lpstr>
      <vt:lpstr>計算・出力!要素数5</vt:lpstr>
      <vt:lpstr>計算・出力!要素数6</vt:lpstr>
      <vt:lpstr>計算・出力!要素数7</vt:lpstr>
      <vt:lpstr>計算・出力!要素数8</vt:lpstr>
      <vt:lpstr>計算・出力!要素数9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笹澤陽佑</cp:lastModifiedBy>
  <cp:lastPrinted>2017-08-10T08:04:39Z</cp:lastPrinted>
  <dcterms:created xsi:type="dcterms:W3CDTF">2014-11-11T12:34:56Z</dcterms:created>
  <dcterms:modified xsi:type="dcterms:W3CDTF">2018-06-05T13:43:42Z</dcterms:modified>
</cp:coreProperties>
</file>