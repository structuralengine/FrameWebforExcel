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9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Y1" localSheetId="14">計算・出力!$G$53</definedName>
    <definedName name="header_回転Z1" localSheetId="14">計算・出力!$H$53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Y1" localSheetId="14">計算・出力!$D$12</definedName>
    <definedName name="header_節点Z1" localSheetId="14">計算・出力!$E$12</definedName>
    <definedName name="header_断面力FX1" localSheetId="14">計算・出力!$E$137</definedName>
    <definedName name="header_断面力FY1" localSheetId="14">計算・出力!$F$137</definedName>
    <definedName name="header_断面力FZ1" localSheetId="14">計算・出力!$G$137</definedName>
    <definedName name="header_断面力MX1" localSheetId="14">計算・出力!$H$137</definedName>
    <definedName name="header_断面力MY1" localSheetId="14">計算・出力!$I$137</definedName>
    <definedName name="header_断面力MZ1" localSheetId="14">計算・出力!$J$137</definedName>
    <definedName name="header_断面力節点1" localSheetId="14">計算・出力!$C$137</definedName>
    <definedName name="header_着目点1" localSheetId="14">計算・出力!$D$137</definedName>
    <definedName name="header_反力MX1" localSheetId="14">計算・出力!$F$94</definedName>
    <definedName name="header_反力MY1" localSheetId="14">計算・出力!$G$94</definedName>
    <definedName name="header_反力MZ1" localSheetId="14">計算・出力!$H$94</definedName>
    <definedName name="header_反力RX1" localSheetId="14">計算・出力!$C$94</definedName>
    <definedName name="header_反力RY1" localSheetId="14">計算・出力!$D$94</definedName>
    <definedName name="header_反力RZ1" localSheetId="14">計算・出力!$E$94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Y1" localSheetId="14">計算・出力!$D$53</definedName>
    <definedName name="header_変位Z1" localSheetId="14">計算・出力!$E$53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荷重強度!$A$1:$O$10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割増係数_header" localSheetId="8">荷重名称!$A$4:$A$5</definedName>
    <definedName name="割増係数1" localSheetId="14">計算・出力!$B$7</definedName>
    <definedName name="記号_header" localSheetId="8">荷重名称!$C$4:$C$5</definedName>
    <definedName name="記号1" localSheetId="14">計算・出力!$D$7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要素数1" localSheetId="14">計算・出力!$C$134</definedName>
  </definedNames>
  <calcPr calcId="152511"/>
</workbook>
</file>

<file path=xl/calcChain.xml><?xml version="1.0" encoding="utf-8"?>
<calcChain xmlns="http://schemas.openxmlformats.org/spreadsheetml/2006/main">
  <c r="F10" i="19" l="1"/>
  <c r="F11" i="19" s="1"/>
  <c r="F12" i="19" s="1"/>
  <c r="F13" i="19" s="1"/>
  <c r="F14" i="19" s="1"/>
  <c r="E10" i="19"/>
  <c r="E11" i="19" s="1"/>
  <c r="E12" i="19" s="1"/>
  <c r="E13" i="19" s="1"/>
  <c r="E14" i="19" s="1"/>
  <c r="B10" i="19"/>
  <c r="B11" i="19" s="1"/>
  <c r="B12" i="19" s="1"/>
  <c r="B13" i="19" s="1"/>
  <c r="B14" i="19" s="1"/>
  <c r="G9" i="19"/>
  <c r="G10" i="19" s="1"/>
  <c r="G11" i="19" s="1"/>
  <c r="G12" i="19" s="1"/>
  <c r="G13" i="19" s="1"/>
  <c r="G14" i="19" s="1"/>
  <c r="F9" i="19"/>
  <c r="E9" i="19"/>
  <c r="D9" i="19"/>
  <c r="D10" i="19" s="1"/>
  <c r="D11" i="19" s="1"/>
  <c r="D12" i="19" s="1"/>
  <c r="D13" i="19" s="1"/>
  <c r="D14" i="19" s="1"/>
  <c r="C9" i="19"/>
  <c r="C10" i="19" s="1"/>
  <c r="C11" i="19" s="1"/>
  <c r="C12" i="19" s="1"/>
  <c r="C13" i="19" s="1"/>
  <c r="C14" i="19" s="1"/>
  <c r="B9" i="19"/>
</calcChain>
</file>

<file path=xl/sharedStrings.xml><?xml version="1.0" encoding="utf-8"?>
<sst xmlns="http://schemas.openxmlformats.org/spreadsheetml/2006/main" count="290" uniqueCount="182">
  <si>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</si>
  <si>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</si>
  <si>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</si>
  <si>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</si>
  <si>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</si>
  <si>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</si>
  <si>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</si>
  <si>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</si>
  <si>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</si>
  <si>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</si>
  <si>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</si>
  <si>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</si>
  <si>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</si>
  <si>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</si>
  <si>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</si>
  <si>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</si>
  <si>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</si>
  <si>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</si>
  <si>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</si>
  <si>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</si>
  <si>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</si>
  <si>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</si>
  <si>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</si>
  <si>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</si>
  <si>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</si>
  <si>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</si>
  <si>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</si>
  <si>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</si>
  <si>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</si>
  <si>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</si>
  <si>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</si>
  <si>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</si>
  <si>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</si>
  <si>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</si>
  <si>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</si>
  <si>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</si>
  <si>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</si>
  <si>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</si>
  <si>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</si>
  <si>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</si>
  <si>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</si>
  <si>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</si>
  <si>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</si>
  <si>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</si>
  <si>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</si>
  <si>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</si>
  <si>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</si>
  <si>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</si>
  <si>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</si>
  <si>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</si>
  <si>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</si>
  <si>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</si>
  <si>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</si>
  <si>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</si>
  <si>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</si>
  <si>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</si>
  <si>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</si>
  <si>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</si>
  <si>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</si>
  <si>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</si>
  <si>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</si>
  <si>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</si>
  <si>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</si>
  <si>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</si>
  <si>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</si>
  <si>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</si>
  <si>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</si>
  <si>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</si>
  <si>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</si>
  <si>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</si>
  <si>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</si>
  <si>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</si>
  <si>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</si>
  <si>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</si>
  <si>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</si>
  <si>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</si>
  <si>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</si>
  <si>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</si>
  <si>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</si>
  <si>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</si>
  <si>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</si>
  <si>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</si>
  <si>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</si>
  <si>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</si>
  <si>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</si>
  <si>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</si>
  <si>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</si>
  <si>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</si>
  <si>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</si>
  <si>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</si>
  <si>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</si>
  <si>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</si>
  <si>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</si>
  <si>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</si>
  <si>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</si>
  <si>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</si>
  <si>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</si>
  <si>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</si>
  <si>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</si>
  <si>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</si>
  <si>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</si>
  <si>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</si>
  <si>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</si>
  <si>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</si>
  <si>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</si>
  <si>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</si>
  <si>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</si>
  <si>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</si>
  <si>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</si>
  <si>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</si>
  <si>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</si>
  <si>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</si>
  <si>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X</t>
  </si>
  <si>
    <t>Y</t>
  </si>
  <si>
    <t>argZ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</si>
  <si>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</si>
  <si>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</si>
  <si>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</si>
  <si>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</si>
  <si>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</si>
  <si>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</si>
  <si>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</si>
  <si>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</si>
  <si>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</si>
  <si>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</si>
  <si>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</si>
  <si>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</si>
  <si>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</si>
  <si>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</si>
  <si>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</si>
  <si>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</si>
  <si>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</si>
  <si>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</si>
  <si>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</si>
  <si>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</si>
  <si>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</si>
  <si>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</si>
  <si>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</si>
  <si>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</si>
  <si>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</si>
  <si>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</si>
  <si>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</si>
  <si>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</si>
  <si>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</si>
  <si>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</si>
  <si>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</si>
  <si>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</si>
  <si>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</si>
  <si>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</si>
  <si>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</si>
  <si>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</si>
  <si>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</si>
  <si>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http://structuralengine.com</t>
    <phoneticPr fontId="2"/>
  </si>
  <si>
    <t>D1</t>
  </si>
  <si>
    <t>固定死荷重</t>
    <rPh sb="0" eb="2">
      <t>コテイ</t>
    </rPh>
    <rPh sb="2" eb="5">
      <t>シカジュウ</t>
    </rPh>
    <phoneticPr fontId="2"/>
  </si>
  <si>
    <t>y</t>
    <phoneticPr fontId="2"/>
  </si>
  <si>
    <t>test1105</t>
    <phoneticPr fontId="2"/>
  </si>
  <si>
    <t>ケース</t>
    <phoneticPr fontId="71"/>
  </si>
  <si>
    <t>固定死荷重</t>
  </si>
  <si>
    <t>割増係数</t>
  </si>
  <si>
    <t>荷重No</t>
  </si>
  <si>
    <t>記号</t>
  </si>
  <si>
    <t>名称</t>
  </si>
  <si>
    <t>節点数</t>
  </si>
  <si>
    <t>座標</t>
  </si>
  <si>
    <t>Z</t>
  </si>
  <si>
    <t>変位</t>
  </si>
  <si>
    <t>argX</t>
  </si>
  <si>
    <t>argY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</si>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</sst>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4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16</xdr:row>
      <xdr:rowOff>171101</xdr:rowOff>
    </xdr:from>
    <xdr:to>
      <xdr:col>8</xdr:col>
      <xdr:colOff>152400</xdr:colOff>
      <xdr:row>17</xdr:row>
      <xdr:rowOff>40926</xdr:rowOff>
    </xdr:to>
    <xdr:sp macro="" textlink="">
      <xdr:nvSpPr>
        <xdr:cNvPr id="26" name="円/楕円 25"/>
        <xdr:cNvSpPr/>
      </xdr:nvSpPr>
      <xdr:spPr bwMode="auto">
        <a:xfrm>
          <a:off x="3644900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107118</xdr:colOff>
      <xdr:row>16</xdr:row>
      <xdr:rowOff>171101</xdr:rowOff>
    </xdr:from>
    <xdr:to>
      <xdr:col>9</xdr:col>
      <xdr:colOff>157918</xdr:colOff>
      <xdr:row>17</xdr:row>
      <xdr:rowOff>40926</xdr:rowOff>
    </xdr:to>
    <xdr:sp macro="" textlink="">
      <xdr:nvSpPr>
        <xdr:cNvPr id="27" name="円/楕円 26"/>
        <xdr:cNvSpPr/>
      </xdr:nvSpPr>
      <xdr:spPr bwMode="auto">
        <a:xfrm>
          <a:off x="386949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16</xdr:row>
      <xdr:rowOff>171101</xdr:rowOff>
    </xdr:from>
    <xdr:to>
      <xdr:col>9</xdr:col>
      <xdr:colOff>197384</xdr:colOff>
      <xdr:row>17</xdr:row>
      <xdr:rowOff>40926</xdr:rowOff>
    </xdr:to>
    <xdr:sp macro="" textlink="">
      <xdr:nvSpPr>
        <xdr:cNvPr id="28" name="円/楕円 27"/>
        <xdr:cNvSpPr/>
      </xdr:nvSpPr>
      <xdr:spPr bwMode="auto">
        <a:xfrm>
          <a:off x="3908959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186049</xdr:colOff>
      <xdr:row>16</xdr:row>
      <xdr:rowOff>171101</xdr:rowOff>
    </xdr:from>
    <xdr:to>
      <xdr:col>10</xdr:col>
      <xdr:colOff>17774</xdr:colOff>
      <xdr:row>17</xdr:row>
      <xdr:rowOff>40926</xdr:rowOff>
    </xdr:to>
    <xdr:sp macro="" textlink="">
      <xdr:nvSpPr>
        <xdr:cNvPr id="29" name="円/楕円 28"/>
        <xdr:cNvSpPr/>
      </xdr:nvSpPr>
      <xdr:spPr bwMode="auto">
        <a:xfrm>
          <a:off x="3948424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159328</xdr:colOff>
      <xdr:row>16</xdr:row>
      <xdr:rowOff>171101</xdr:rowOff>
    </xdr:from>
    <xdr:to>
      <xdr:col>13</xdr:col>
      <xdr:colOff>210128</xdr:colOff>
      <xdr:row>17</xdr:row>
      <xdr:rowOff>40926</xdr:rowOff>
    </xdr:to>
    <xdr:sp macro="" textlink="">
      <xdr:nvSpPr>
        <xdr:cNvPr id="30" name="円/楕円 29"/>
        <xdr:cNvSpPr/>
      </xdr:nvSpPr>
      <xdr:spPr bwMode="auto">
        <a:xfrm>
          <a:off x="479800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16</xdr:row>
      <xdr:rowOff>171101</xdr:rowOff>
    </xdr:from>
    <xdr:to>
      <xdr:col>14</xdr:col>
      <xdr:colOff>30518</xdr:colOff>
      <xdr:row>17</xdr:row>
      <xdr:rowOff>40926</xdr:rowOff>
    </xdr:to>
    <xdr:sp macro="" textlink="">
      <xdr:nvSpPr>
        <xdr:cNvPr id="31" name="円/楕円 30"/>
        <xdr:cNvSpPr/>
      </xdr:nvSpPr>
      <xdr:spPr bwMode="auto">
        <a:xfrm>
          <a:off x="483746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19183</xdr:colOff>
      <xdr:row>16</xdr:row>
      <xdr:rowOff>171101</xdr:rowOff>
    </xdr:from>
    <xdr:to>
      <xdr:col>14</xdr:col>
      <xdr:colOff>69983</xdr:colOff>
      <xdr:row>17</xdr:row>
      <xdr:rowOff>40926</xdr:rowOff>
    </xdr:to>
    <xdr:sp macro="" textlink="">
      <xdr:nvSpPr>
        <xdr:cNvPr id="67680" name="円/楕円 67679"/>
        <xdr:cNvSpPr/>
      </xdr:nvSpPr>
      <xdr:spPr bwMode="auto">
        <a:xfrm>
          <a:off x="487693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211538</xdr:colOff>
      <xdr:row>16</xdr:row>
      <xdr:rowOff>171101</xdr:rowOff>
    </xdr:from>
    <xdr:to>
      <xdr:col>18</xdr:col>
      <xdr:colOff>43263</xdr:colOff>
      <xdr:row>17</xdr:row>
      <xdr:rowOff>40926</xdr:rowOff>
    </xdr:to>
    <xdr:sp macro="" textlink="">
      <xdr:nvSpPr>
        <xdr:cNvPr id="67681" name="円/楕円 67680"/>
        <xdr:cNvSpPr/>
      </xdr:nvSpPr>
      <xdr:spPr bwMode="auto">
        <a:xfrm>
          <a:off x="572651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16</xdr:row>
      <xdr:rowOff>171101</xdr:rowOff>
    </xdr:from>
    <xdr:to>
      <xdr:col>18</xdr:col>
      <xdr:colOff>82728</xdr:colOff>
      <xdr:row>17</xdr:row>
      <xdr:rowOff>40926</xdr:rowOff>
    </xdr:to>
    <xdr:sp macro="" textlink="">
      <xdr:nvSpPr>
        <xdr:cNvPr id="67682" name="円/楕円 67681"/>
        <xdr:cNvSpPr/>
      </xdr:nvSpPr>
      <xdr:spPr bwMode="auto">
        <a:xfrm>
          <a:off x="576597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71393</xdr:colOff>
      <xdr:row>16</xdr:row>
      <xdr:rowOff>171101</xdr:rowOff>
    </xdr:from>
    <xdr:to>
      <xdr:col>18</xdr:col>
      <xdr:colOff>122193</xdr:colOff>
      <xdr:row>17</xdr:row>
      <xdr:rowOff>40926</xdr:rowOff>
    </xdr:to>
    <xdr:sp macro="" textlink="">
      <xdr:nvSpPr>
        <xdr:cNvPr id="67683" name="円/楕円 67682"/>
        <xdr:cNvSpPr/>
      </xdr:nvSpPr>
      <xdr:spPr bwMode="auto">
        <a:xfrm>
          <a:off x="580544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44672</xdr:colOff>
      <xdr:row>16</xdr:row>
      <xdr:rowOff>171101</xdr:rowOff>
    </xdr:from>
    <xdr:to>
      <xdr:col>22</xdr:col>
      <xdr:colOff>95472</xdr:colOff>
      <xdr:row>17</xdr:row>
      <xdr:rowOff>40926</xdr:rowOff>
    </xdr:to>
    <xdr:sp macro="" textlink="">
      <xdr:nvSpPr>
        <xdr:cNvPr id="67684" name="円/楕円 67683"/>
        <xdr:cNvSpPr/>
      </xdr:nvSpPr>
      <xdr:spPr bwMode="auto">
        <a:xfrm>
          <a:off x="665502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171101</xdr:rowOff>
    </xdr:from>
    <xdr:to>
      <xdr:col>22</xdr:col>
      <xdr:colOff>134938</xdr:colOff>
      <xdr:row>17</xdr:row>
      <xdr:rowOff>40926</xdr:rowOff>
    </xdr:to>
    <xdr:sp macro="" textlink="">
      <xdr:nvSpPr>
        <xdr:cNvPr id="67685" name="円/楕円 67684"/>
        <xdr:cNvSpPr/>
      </xdr:nvSpPr>
      <xdr:spPr bwMode="auto">
        <a:xfrm>
          <a:off x="669448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123603</xdr:colOff>
      <xdr:row>16</xdr:row>
      <xdr:rowOff>171101</xdr:rowOff>
    </xdr:from>
    <xdr:to>
      <xdr:col>22</xdr:col>
      <xdr:colOff>174403</xdr:colOff>
      <xdr:row>17</xdr:row>
      <xdr:rowOff>40926</xdr:rowOff>
    </xdr:to>
    <xdr:sp macro="" textlink="">
      <xdr:nvSpPr>
        <xdr:cNvPr id="67686" name="円/楕円 67685"/>
        <xdr:cNvSpPr/>
      </xdr:nvSpPr>
      <xdr:spPr bwMode="auto">
        <a:xfrm>
          <a:off x="673395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96882</xdr:colOff>
      <xdr:row>16</xdr:row>
      <xdr:rowOff>171101</xdr:rowOff>
    </xdr:from>
    <xdr:to>
      <xdr:col>26</xdr:col>
      <xdr:colOff>147682</xdr:colOff>
      <xdr:row>17</xdr:row>
      <xdr:rowOff>40926</xdr:rowOff>
    </xdr:to>
    <xdr:sp macro="" textlink="">
      <xdr:nvSpPr>
        <xdr:cNvPr id="67687" name="円/楕円 67686"/>
        <xdr:cNvSpPr/>
      </xdr:nvSpPr>
      <xdr:spPr bwMode="auto">
        <a:xfrm>
          <a:off x="758353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16</xdr:row>
      <xdr:rowOff>171101</xdr:rowOff>
    </xdr:from>
    <xdr:to>
      <xdr:col>26</xdr:col>
      <xdr:colOff>187147</xdr:colOff>
      <xdr:row>17</xdr:row>
      <xdr:rowOff>40926</xdr:rowOff>
    </xdr:to>
    <xdr:sp macro="" textlink="">
      <xdr:nvSpPr>
        <xdr:cNvPr id="67688" name="円/楕円 67687"/>
        <xdr:cNvSpPr/>
      </xdr:nvSpPr>
      <xdr:spPr bwMode="auto">
        <a:xfrm>
          <a:off x="762299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175813</xdr:colOff>
      <xdr:row>16</xdr:row>
      <xdr:rowOff>171101</xdr:rowOff>
    </xdr:from>
    <xdr:to>
      <xdr:col>27</xdr:col>
      <xdr:colOff>7538</xdr:colOff>
      <xdr:row>17</xdr:row>
      <xdr:rowOff>40926</xdr:rowOff>
    </xdr:to>
    <xdr:sp macro="" textlink="">
      <xdr:nvSpPr>
        <xdr:cNvPr id="67689" name="円/楕円 67688"/>
        <xdr:cNvSpPr/>
      </xdr:nvSpPr>
      <xdr:spPr bwMode="auto">
        <a:xfrm>
          <a:off x="766246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149092</xdr:colOff>
      <xdr:row>16</xdr:row>
      <xdr:rowOff>171101</xdr:rowOff>
    </xdr:from>
    <xdr:to>
      <xdr:col>30</xdr:col>
      <xdr:colOff>199892</xdr:colOff>
      <xdr:row>17</xdr:row>
      <xdr:rowOff>40926</xdr:rowOff>
    </xdr:to>
    <xdr:sp macro="" textlink="">
      <xdr:nvSpPr>
        <xdr:cNvPr id="67690" name="円/楕円 67689"/>
        <xdr:cNvSpPr/>
      </xdr:nvSpPr>
      <xdr:spPr bwMode="auto">
        <a:xfrm>
          <a:off x="851204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16</xdr:row>
      <xdr:rowOff>171101</xdr:rowOff>
    </xdr:from>
    <xdr:to>
      <xdr:col>31</xdr:col>
      <xdr:colOff>20282</xdr:colOff>
      <xdr:row>17</xdr:row>
      <xdr:rowOff>40926</xdr:rowOff>
    </xdr:to>
    <xdr:sp macro="" textlink="">
      <xdr:nvSpPr>
        <xdr:cNvPr id="67691" name="円/楕円 67690"/>
        <xdr:cNvSpPr/>
      </xdr:nvSpPr>
      <xdr:spPr bwMode="auto">
        <a:xfrm>
          <a:off x="855150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8948</xdr:colOff>
      <xdr:row>16</xdr:row>
      <xdr:rowOff>171101</xdr:rowOff>
    </xdr:from>
    <xdr:to>
      <xdr:col>31</xdr:col>
      <xdr:colOff>59748</xdr:colOff>
      <xdr:row>17</xdr:row>
      <xdr:rowOff>40926</xdr:rowOff>
    </xdr:to>
    <xdr:sp macro="" textlink="">
      <xdr:nvSpPr>
        <xdr:cNvPr id="67692" name="円/楕円 67691"/>
        <xdr:cNvSpPr/>
      </xdr:nvSpPr>
      <xdr:spPr bwMode="auto">
        <a:xfrm>
          <a:off x="859097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201302</xdr:colOff>
      <xdr:row>16</xdr:row>
      <xdr:rowOff>171101</xdr:rowOff>
    </xdr:from>
    <xdr:to>
      <xdr:col>35</xdr:col>
      <xdr:colOff>33027</xdr:colOff>
      <xdr:row>17</xdr:row>
      <xdr:rowOff>40926</xdr:rowOff>
    </xdr:to>
    <xdr:sp macro="" textlink="">
      <xdr:nvSpPr>
        <xdr:cNvPr id="67693" name="円/楕円 67692"/>
        <xdr:cNvSpPr/>
      </xdr:nvSpPr>
      <xdr:spPr bwMode="auto">
        <a:xfrm>
          <a:off x="944055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16</xdr:row>
      <xdr:rowOff>171101</xdr:rowOff>
    </xdr:from>
    <xdr:to>
      <xdr:col>35</xdr:col>
      <xdr:colOff>72492</xdr:colOff>
      <xdr:row>17</xdr:row>
      <xdr:rowOff>40926</xdr:rowOff>
    </xdr:to>
    <xdr:sp macro="" textlink="">
      <xdr:nvSpPr>
        <xdr:cNvPr id="67694" name="円/楕円 67693"/>
        <xdr:cNvSpPr/>
      </xdr:nvSpPr>
      <xdr:spPr bwMode="auto">
        <a:xfrm>
          <a:off x="948001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61157</xdr:colOff>
      <xdr:row>16</xdr:row>
      <xdr:rowOff>171101</xdr:rowOff>
    </xdr:from>
    <xdr:to>
      <xdr:col>35</xdr:col>
      <xdr:colOff>111957</xdr:colOff>
      <xdr:row>17</xdr:row>
      <xdr:rowOff>40926</xdr:rowOff>
    </xdr:to>
    <xdr:sp macro="" textlink="">
      <xdr:nvSpPr>
        <xdr:cNvPr id="67695" name="円/楕円 67694"/>
        <xdr:cNvSpPr/>
      </xdr:nvSpPr>
      <xdr:spPr bwMode="auto">
        <a:xfrm>
          <a:off x="951948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16</xdr:row>
      <xdr:rowOff>171101</xdr:rowOff>
    </xdr:from>
    <xdr:to>
      <xdr:col>36</xdr:col>
      <xdr:colOff>117475</xdr:colOff>
      <xdr:row>17</xdr:row>
      <xdr:rowOff>40926</xdr:rowOff>
    </xdr:to>
    <xdr:sp macro="" textlink="">
      <xdr:nvSpPr>
        <xdr:cNvPr id="67696" name="円/楕円 67695"/>
        <xdr:cNvSpPr/>
      </xdr:nvSpPr>
      <xdr:spPr bwMode="auto">
        <a:xfrm>
          <a:off x="9744075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17</xdr:row>
      <xdr:rowOff>158750</xdr:rowOff>
    </xdr:from>
    <xdr:to>
      <xdr:col>9</xdr:col>
      <xdr:colOff>197384</xdr:colOff>
      <xdr:row>18</xdr:row>
      <xdr:rowOff>28575</xdr:rowOff>
    </xdr:to>
    <xdr:sp macro="" textlink="">
      <xdr:nvSpPr>
        <xdr:cNvPr id="67697" name="円/楕円 67696"/>
        <xdr:cNvSpPr/>
      </xdr:nvSpPr>
      <xdr:spPr bwMode="auto">
        <a:xfrm>
          <a:off x="3908959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17</xdr:row>
      <xdr:rowOff>158750</xdr:rowOff>
    </xdr:from>
    <xdr:to>
      <xdr:col>14</xdr:col>
      <xdr:colOff>30518</xdr:colOff>
      <xdr:row>18</xdr:row>
      <xdr:rowOff>28575</xdr:rowOff>
    </xdr:to>
    <xdr:sp macro="" textlink="">
      <xdr:nvSpPr>
        <xdr:cNvPr id="67698" name="円/楕円 67697"/>
        <xdr:cNvSpPr/>
      </xdr:nvSpPr>
      <xdr:spPr bwMode="auto">
        <a:xfrm>
          <a:off x="483746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17</xdr:row>
      <xdr:rowOff>158750</xdr:rowOff>
    </xdr:from>
    <xdr:to>
      <xdr:col>18</xdr:col>
      <xdr:colOff>82728</xdr:colOff>
      <xdr:row>18</xdr:row>
      <xdr:rowOff>28575</xdr:rowOff>
    </xdr:to>
    <xdr:sp macro="" textlink="">
      <xdr:nvSpPr>
        <xdr:cNvPr id="67699" name="円/楕円 67698"/>
        <xdr:cNvSpPr/>
      </xdr:nvSpPr>
      <xdr:spPr bwMode="auto">
        <a:xfrm>
          <a:off x="576597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17</xdr:row>
      <xdr:rowOff>158750</xdr:rowOff>
    </xdr:from>
    <xdr:to>
      <xdr:col>22</xdr:col>
      <xdr:colOff>134938</xdr:colOff>
      <xdr:row>18</xdr:row>
      <xdr:rowOff>28575</xdr:rowOff>
    </xdr:to>
    <xdr:sp macro="" textlink="">
      <xdr:nvSpPr>
        <xdr:cNvPr id="67700" name="円/楕円 67699"/>
        <xdr:cNvSpPr/>
      </xdr:nvSpPr>
      <xdr:spPr bwMode="auto">
        <a:xfrm>
          <a:off x="669448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17</xdr:row>
      <xdr:rowOff>158750</xdr:rowOff>
    </xdr:from>
    <xdr:to>
      <xdr:col>26</xdr:col>
      <xdr:colOff>187147</xdr:colOff>
      <xdr:row>18</xdr:row>
      <xdr:rowOff>28575</xdr:rowOff>
    </xdr:to>
    <xdr:sp macro="" textlink="">
      <xdr:nvSpPr>
        <xdr:cNvPr id="67701" name="円/楕円 67700"/>
        <xdr:cNvSpPr/>
      </xdr:nvSpPr>
      <xdr:spPr bwMode="auto">
        <a:xfrm>
          <a:off x="762299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17</xdr:row>
      <xdr:rowOff>158750</xdr:rowOff>
    </xdr:from>
    <xdr:to>
      <xdr:col>31</xdr:col>
      <xdr:colOff>20282</xdr:colOff>
      <xdr:row>18</xdr:row>
      <xdr:rowOff>28575</xdr:rowOff>
    </xdr:to>
    <xdr:sp macro="" textlink="">
      <xdr:nvSpPr>
        <xdr:cNvPr id="67704" name="円/楕円 67703"/>
        <xdr:cNvSpPr/>
      </xdr:nvSpPr>
      <xdr:spPr bwMode="auto">
        <a:xfrm>
          <a:off x="855150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17</xdr:row>
      <xdr:rowOff>158750</xdr:rowOff>
    </xdr:from>
    <xdr:to>
      <xdr:col>35</xdr:col>
      <xdr:colOff>72492</xdr:colOff>
      <xdr:row>18</xdr:row>
      <xdr:rowOff>28575</xdr:rowOff>
    </xdr:to>
    <xdr:sp macro="" textlink="">
      <xdr:nvSpPr>
        <xdr:cNvPr id="67705" name="円/楕円 67704"/>
        <xdr:cNvSpPr/>
      </xdr:nvSpPr>
      <xdr:spPr bwMode="auto">
        <a:xfrm>
          <a:off x="948001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7706" name="円/楕円 67705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7707" name="円/楕円 67706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7708" name="円/楕円 67707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22</xdr:row>
      <xdr:rowOff>140050</xdr:rowOff>
    </xdr:from>
    <xdr:to>
      <xdr:col>22</xdr:col>
      <xdr:colOff>134938</xdr:colOff>
      <xdr:row>23</xdr:row>
      <xdr:rowOff>9875</xdr:rowOff>
    </xdr:to>
    <xdr:sp macro="" textlink="">
      <xdr:nvSpPr>
        <xdr:cNvPr id="67709" name="円/楕円 67708"/>
        <xdr:cNvSpPr/>
      </xdr:nvSpPr>
      <xdr:spPr bwMode="auto">
        <a:xfrm>
          <a:off x="669448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7710" name="円/楕円 67709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7711" name="円/楕円 67710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7905" name="円/楕円 67904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17</xdr:row>
      <xdr:rowOff>15526</xdr:rowOff>
    </xdr:from>
    <xdr:to>
      <xdr:col>9</xdr:col>
      <xdr:colOff>132518</xdr:colOff>
      <xdr:row>17</xdr:row>
      <xdr:rowOff>15526</xdr:rowOff>
    </xdr:to>
    <xdr:cxnSp macro="">
      <xdr:nvCxnSpPr>
        <xdr:cNvPr id="67906" name="直線コネクタ 67905"/>
        <xdr:cNvCxnSpPr/>
      </xdr:nvCxnSpPr>
      <xdr:spPr bwMode="auto">
        <a:xfrm>
          <a:off x="3670300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17</xdr:row>
      <xdr:rowOff>15526</xdr:rowOff>
    </xdr:from>
    <xdr:to>
      <xdr:col>9</xdr:col>
      <xdr:colOff>171984</xdr:colOff>
      <xdr:row>17</xdr:row>
      <xdr:rowOff>15526</xdr:rowOff>
    </xdr:to>
    <xdr:cxnSp macro="">
      <xdr:nvCxnSpPr>
        <xdr:cNvPr id="67907" name="直線コネクタ 67906"/>
        <xdr:cNvCxnSpPr/>
      </xdr:nvCxnSpPr>
      <xdr:spPr bwMode="auto">
        <a:xfrm>
          <a:off x="3894893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211449</xdr:colOff>
      <xdr:row>17</xdr:row>
      <xdr:rowOff>15526</xdr:rowOff>
    </xdr:to>
    <xdr:cxnSp macro="">
      <xdr:nvCxnSpPr>
        <xdr:cNvPr id="67908" name="直線コネクタ 67907"/>
        <xdr:cNvCxnSpPr/>
      </xdr:nvCxnSpPr>
      <xdr:spPr bwMode="auto">
        <a:xfrm>
          <a:off x="3934359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17</xdr:row>
      <xdr:rowOff>15526</xdr:rowOff>
    </xdr:from>
    <xdr:to>
      <xdr:col>13</xdr:col>
      <xdr:colOff>184728</xdr:colOff>
      <xdr:row>17</xdr:row>
      <xdr:rowOff>15526</xdr:rowOff>
    </xdr:to>
    <xdr:cxnSp macro="">
      <xdr:nvCxnSpPr>
        <xdr:cNvPr id="67909" name="直線コネクタ 67908"/>
        <xdr:cNvCxnSpPr/>
      </xdr:nvCxnSpPr>
      <xdr:spPr bwMode="auto">
        <a:xfrm>
          <a:off x="3973824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17</xdr:row>
      <xdr:rowOff>15526</xdr:rowOff>
    </xdr:from>
    <xdr:to>
      <xdr:col>14</xdr:col>
      <xdr:colOff>5118</xdr:colOff>
      <xdr:row>17</xdr:row>
      <xdr:rowOff>15526</xdr:rowOff>
    </xdr:to>
    <xdr:cxnSp macro="">
      <xdr:nvCxnSpPr>
        <xdr:cNvPr id="67910" name="直線コネクタ 67909"/>
        <xdr:cNvCxnSpPr/>
      </xdr:nvCxnSpPr>
      <xdr:spPr bwMode="auto">
        <a:xfrm>
          <a:off x="482340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44583</xdr:colOff>
      <xdr:row>17</xdr:row>
      <xdr:rowOff>15526</xdr:rowOff>
    </xdr:to>
    <xdr:cxnSp macro="">
      <xdr:nvCxnSpPr>
        <xdr:cNvPr id="67911" name="直線コネクタ 67910"/>
        <xdr:cNvCxnSpPr/>
      </xdr:nvCxnSpPr>
      <xdr:spPr bwMode="auto">
        <a:xfrm>
          <a:off x="486286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17</xdr:row>
      <xdr:rowOff>15526</xdr:rowOff>
    </xdr:from>
    <xdr:to>
      <xdr:col>18</xdr:col>
      <xdr:colOff>17863</xdr:colOff>
      <xdr:row>17</xdr:row>
      <xdr:rowOff>15526</xdr:rowOff>
    </xdr:to>
    <xdr:cxnSp macro="">
      <xdr:nvCxnSpPr>
        <xdr:cNvPr id="67912" name="直線コネクタ 67911"/>
        <xdr:cNvCxnSpPr/>
      </xdr:nvCxnSpPr>
      <xdr:spPr bwMode="auto">
        <a:xfrm>
          <a:off x="4902333" y="3092101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17</xdr:row>
      <xdr:rowOff>15526</xdr:rowOff>
    </xdr:from>
    <xdr:to>
      <xdr:col>18</xdr:col>
      <xdr:colOff>57328</xdr:colOff>
      <xdr:row>17</xdr:row>
      <xdr:rowOff>15526</xdr:rowOff>
    </xdr:to>
    <xdr:cxnSp macro="">
      <xdr:nvCxnSpPr>
        <xdr:cNvPr id="67913" name="直線コネクタ 67912"/>
        <xdr:cNvCxnSpPr/>
      </xdr:nvCxnSpPr>
      <xdr:spPr bwMode="auto">
        <a:xfrm>
          <a:off x="575191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96793</xdr:colOff>
      <xdr:row>17</xdr:row>
      <xdr:rowOff>15526</xdr:rowOff>
    </xdr:to>
    <xdr:cxnSp macro="">
      <xdr:nvCxnSpPr>
        <xdr:cNvPr id="67914" name="直線コネクタ 67913"/>
        <xdr:cNvCxnSpPr/>
      </xdr:nvCxnSpPr>
      <xdr:spPr bwMode="auto">
        <a:xfrm>
          <a:off x="579137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17</xdr:row>
      <xdr:rowOff>15526</xdr:rowOff>
    </xdr:from>
    <xdr:to>
      <xdr:col>22</xdr:col>
      <xdr:colOff>70072</xdr:colOff>
      <xdr:row>17</xdr:row>
      <xdr:rowOff>15526</xdr:rowOff>
    </xdr:to>
    <xdr:cxnSp macro="">
      <xdr:nvCxnSpPr>
        <xdr:cNvPr id="67915" name="直線コネクタ 67914"/>
        <xdr:cNvCxnSpPr/>
      </xdr:nvCxnSpPr>
      <xdr:spPr bwMode="auto">
        <a:xfrm>
          <a:off x="583084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17</xdr:row>
      <xdr:rowOff>15526</xdr:rowOff>
    </xdr:from>
    <xdr:to>
      <xdr:col>22</xdr:col>
      <xdr:colOff>109538</xdr:colOff>
      <xdr:row>17</xdr:row>
      <xdr:rowOff>15526</xdr:rowOff>
    </xdr:to>
    <xdr:cxnSp macro="">
      <xdr:nvCxnSpPr>
        <xdr:cNvPr id="67916" name="直線コネクタ 67915"/>
        <xdr:cNvCxnSpPr/>
      </xdr:nvCxnSpPr>
      <xdr:spPr bwMode="auto">
        <a:xfrm>
          <a:off x="6680422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149003</xdr:colOff>
      <xdr:row>17</xdr:row>
      <xdr:rowOff>15526</xdr:rowOff>
    </xdr:to>
    <xdr:cxnSp macro="">
      <xdr:nvCxnSpPr>
        <xdr:cNvPr id="67917" name="直線コネクタ 67916"/>
        <xdr:cNvCxnSpPr/>
      </xdr:nvCxnSpPr>
      <xdr:spPr bwMode="auto">
        <a:xfrm>
          <a:off x="671988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17</xdr:row>
      <xdr:rowOff>15526</xdr:rowOff>
    </xdr:from>
    <xdr:to>
      <xdr:col>26</xdr:col>
      <xdr:colOff>122282</xdr:colOff>
      <xdr:row>17</xdr:row>
      <xdr:rowOff>15526</xdr:rowOff>
    </xdr:to>
    <xdr:cxnSp macro="">
      <xdr:nvCxnSpPr>
        <xdr:cNvPr id="67918" name="直線コネクタ 67917"/>
        <xdr:cNvCxnSpPr/>
      </xdr:nvCxnSpPr>
      <xdr:spPr bwMode="auto">
        <a:xfrm>
          <a:off x="675935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17</xdr:row>
      <xdr:rowOff>15526</xdr:rowOff>
    </xdr:from>
    <xdr:to>
      <xdr:col>26</xdr:col>
      <xdr:colOff>161747</xdr:colOff>
      <xdr:row>17</xdr:row>
      <xdr:rowOff>15526</xdr:rowOff>
    </xdr:to>
    <xdr:cxnSp macro="">
      <xdr:nvCxnSpPr>
        <xdr:cNvPr id="67919" name="直線コネクタ 67918"/>
        <xdr:cNvCxnSpPr/>
      </xdr:nvCxnSpPr>
      <xdr:spPr bwMode="auto">
        <a:xfrm>
          <a:off x="760893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201213</xdr:colOff>
      <xdr:row>17</xdr:row>
      <xdr:rowOff>15526</xdr:rowOff>
    </xdr:to>
    <xdr:cxnSp macro="">
      <xdr:nvCxnSpPr>
        <xdr:cNvPr id="67920" name="直線コネクタ 67919"/>
        <xdr:cNvCxnSpPr/>
      </xdr:nvCxnSpPr>
      <xdr:spPr bwMode="auto">
        <a:xfrm>
          <a:off x="764839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17</xdr:row>
      <xdr:rowOff>15526</xdr:rowOff>
    </xdr:from>
    <xdr:to>
      <xdr:col>30</xdr:col>
      <xdr:colOff>174492</xdr:colOff>
      <xdr:row>17</xdr:row>
      <xdr:rowOff>15526</xdr:rowOff>
    </xdr:to>
    <xdr:cxnSp macro="">
      <xdr:nvCxnSpPr>
        <xdr:cNvPr id="67921" name="直線コネクタ 67920"/>
        <xdr:cNvCxnSpPr/>
      </xdr:nvCxnSpPr>
      <xdr:spPr bwMode="auto">
        <a:xfrm>
          <a:off x="768786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17</xdr:row>
      <xdr:rowOff>15526</xdr:rowOff>
    </xdr:from>
    <xdr:to>
      <xdr:col>30</xdr:col>
      <xdr:colOff>213957</xdr:colOff>
      <xdr:row>17</xdr:row>
      <xdr:rowOff>15526</xdr:rowOff>
    </xdr:to>
    <xdr:cxnSp macro="">
      <xdr:nvCxnSpPr>
        <xdr:cNvPr id="67922" name="直線コネクタ 67921"/>
        <xdr:cNvCxnSpPr/>
      </xdr:nvCxnSpPr>
      <xdr:spPr bwMode="auto">
        <a:xfrm>
          <a:off x="853744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31</xdr:col>
      <xdr:colOff>34348</xdr:colOff>
      <xdr:row>17</xdr:row>
      <xdr:rowOff>15526</xdr:rowOff>
    </xdr:to>
    <xdr:cxnSp macro="">
      <xdr:nvCxnSpPr>
        <xdr:cNvPr id="67923" name="直線コネクタ 67922"/>
        <xdr:cNvCxnSpPr/>
      </xdr:nvCxnSpPr>
      <xdr:spPr bwMode="auto">
        <a:xfrm>
          <a:off x="857690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17</xdr:row>
      <xdr:rowOff>15526</xdr:rowOff>
    </xdr:from>
    <xdr:to>
      <xdr:col>35</xdr:col>
      <xdr:colOff>7627</xdr:colOff>
      <xdr:row>17</xdr:row>
      <xdr:rowOff>15526</xdr:rowOff>
    </xdr:to>
    <xdr:cxnSp macro="">
      <xdr:nvCxnSpPr>
        <xdr:cNvPr id="67924" name="直線コネクタ 67923"/>
        <xdr:cNvCxnSpPr/>
      </xdr:nvCxnSpPr>
      <xdr:spPr bwMode="auto">
        <a:xfrm>
          <a:off x="861637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17</xdr:row>
      <xdr:rowOff>15526</xdr:rowOff>
    </xdr:from>
    <xdr:to>
      <xdr:col>35</xdr:col>
      <xdr:colOff>47092</xdr:colOff>
      <xdr:row>17</xdr:row>
      <xdr:rowOff>15526</xdr:rowOff>
    </xdr:to>
    <xdr:cxnSp macro="">
      <xdr:nvCxnSpPr>
        <xdr:cNvPr id="67925" name="直線コネクタ 67924"/>
        <xdr:cNvCxnSpPr/>
      </xdr:nvCxnSpPr>
      <xdr:spPr bwMode="auto">
        <a:xfrm>
          <a:off x="946595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86557</xdr:colOff>
      <xdr:row>17</xdr:row>
      <xdr:rowOff>15526</xdr:rowOff>
    </xdr:to>
    <xdr:cxnSp macro="">
      <xdr:nvCxnSpPr>
        <xdr:cNvPr id="67926" name="直線コネクタ 67925"/>
        <xdr:cNvCxnSpPr/>
      </xdr:nvCxnSpPr>
      <xdr:spPr bwMode="auto">
        <a:xfrm>
          <a:off x="9505417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17</xdr:row>
      <xdr:rowOff>15526</xdr:rowOff>
    </xdr:from>
    <xdr:to>
      <xdr:col>36</xdr:col>
      <xdr:colOff>92075</xdr:colOff>
      <xdr:row>17</xdr:row>
      <xdr:rowOff>15526</xdr:rowOff>
    </xdr:to>
    <xdr:cxnSp macro="">
      <xdr:nvCxnSpPr>
        <xdr:cNvPr id="67927" name="直線コネクタ 67926"/>
        <xdr:cNvCxnSpPr/>
      </xdr:nvCxnSpPr>
      <xdr:spPr bwMode="auto">
        <a:xfrm>
          <a:off x="9544882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171984</xdr:colOff>
      <xdr:row>18</xdr:row>
      <xdr:rowOff>3175</xdr:rowOff>
    </xdr:to>
    <xdr:cxnSp macro="">
      <xdr:nvCxnSpPr>
        <xdr:cNvPr id="67928" name="直線コネクタ 67927"/>
        <xdr:cNvCxnSpPr/>
      </xdr:nvCxnSpPr>
      <xdr:spPr bwMode="auto">
        <a:xfrm>
          <a:off x="3934359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5118</xdr:colOff>
      <xdr:row>18</xdr:row>
      <xdr:rowOff>3175</xdr:rowOff>
    </xdr:to>
    <xdr:cxnSp macro="">
      <xdr:nvCxnSpPr>
        <xdr:cNvPr id="67929" name="直線コネクタ 67928"/>
        <xdr:cNvCxnSpPr/>
      </xdr:nvCxnSpPr>
      <xdr:spPr bwMode="auto">
        <a:xfrm>
          <a:off x="486286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57328</xdr:colOff>
      <xdr:row>18</xdr:row>
      <xdr:rowOff>3175</xdr:rowOff>
    </xdr:to>
    <xdr:cxnSp macro="">
      <xdr:nvCxnSpPr>
        <xdr:cNvPr id="67930" name="直線コネクタ 67929"/>
        <xdr:cNvCxnSpPr/>
      </xdr:nvCxnSpPr>
      <xdr:spPr bwMode="auto">
        <a:xfrm>
          <a:off x="579137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109538</xdr:colOff>
      <xdr:row>18</xdr:row>
      <xdr:rowOff>3175</xdr:rowOff>
    </xdr:to>
    <xdr:cxnSp macro="">
      <xdr:nvCxnSpPr>
        <xdr:cNvPr id="67931" name="直線コネクタ 67930"/>
        <xdr:cNvCxnSpPr/>
      </xdr:nvCxnSpPr>
      <xdr:spPr bwMode="auto">
        <a:xfrm>
          <a:off x="671988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161747</xdr:colOff>
      <xdr:row>18</xdr:row>
      <xdr:rowOff>3175</xdr:rowOff>
    </xdr:to>
    <xdr:cxnSp macro="">
      <xdr:nvCxnSpPr>
        <xdr:cNvPr id="67932" name="直線コネクタ 67931"/>
        <xdr:cNvCxnSpPr/>
      </xdr:nvCxnSpPr>
      <xdr:spPr bwMode="auto">
        <a:xfrm>
          <a:off x="764839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30</xdr:col>
      <xdr:colOff>213957</xdr:colOff>
      <xdr:row>18</xdr:row>
      <xdr:rowOff>3175</xdr:rowOff>
    </xdr:to>
    <xdr:cxnSp macro="">
      <xdr:nvCxnSpPr>
        <xdr:cNvPr id="67933" name="直線コネクタ 67932"/>
        <xdr:cNvCxnSpPr/>
      </xdr:nvCxnSpPr>
      <xdr:spPr bwMode="auto">
        <a:xfrm>
          <a:off x="857690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47092</xdr:colOff>
      <xdr:row>18</xdr:row>
      <xdr:rowOff>3175</xdr:rowOff>
    </xdr:to>
    <xdr:cxnSp macro="">
      <xdr:nvCxnSpPr>
        <xdr:cNvPr id="67934" name="直線コネクタ 67933"/>
        <xdr:cNvCxnSpPr/>
      </xdr:nvCxnSpPr>
      <xdr:spPr bwMode="auto">
        <a:xfrm>
          <a:off x="950541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7935" name="直線コネクタ 67934"/>
        <xdr:cNvCxnSpPr/>
      </xdr:nvCxnSpPr>
      <xdr:spPr bwMode="auto">
        <a:xfrm>
          <a:off x="3934359" y="3260725"/>
          <a:ext cx="5571058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7950" name="直線コネクタ 67949"/>
        <xdr:cNvCxnSpPr/>
      </xdr:nvCxnSpPr>
      <xdr:spPr bwMode="auto">
        <a:xfrm>
          <a:off x="4862868" y="3260725"/>
          <a:ext cx="3714039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7951" name="直線コネクタ 67950"/>
        <xdr:cNvCxnSpPr/>
      </xdr:nvCxnSpPr>
      <xdr:spPr bwMode="auto">
        <a:xfrm>
          <a:off x="5791378" y="3260725"/>
          <a:ext cx="1857019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3175</xdr:rowOff>
    </xdr:from>
    <xdr:to>
      <xdr:col>22</xdr:col>
      <xdr:colOff>109538</xdr:colOff>
      <xdr:row>22</xdr:row>
      <xdr:rowOff>165450</xdr:rowOff>
    </xdr:to>
    <xdr:cxnSp macro="">
      <xdr:nvCxnSpPr>
        <xdr:cNvPr id="67952" name="直線コネクタ 67951"/>
        <xdr:cNvCxnSpPr/>
      </xdr:nvCxnSpPr>
      <xdr:spPr bwMode="auto">
        <a:xfrm>
          <a:off x="671988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7953" name="直線コネクタ 67952"/>
        <xdr:cNvCxnSpPr/>
      </xdr:nvCxnSpPr>
      <xdr:spPr bwMode="auto">
        <a:xfrm>
          <a:off x="764839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7954" name="直線コネクタ 67953"/>
        <xdr:cNvCxnSpPr/>
      </xdr:nvCxnSpPr>
      <xdr:spPr bwMode="auto">
        <a:xfrm>
          <a:off x="857690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7955" name="直線コネクタ 67954"/>
        <xdr:cNvCxnSpPr/>
      </xdr:nvCxnSpPr>
      <xdr:spPr bwMode="auto">
        <a:xfrm>
          <a:off x="950541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153758</xdr:colOff>
      <xdr:row>15</xdr:row>
      <xdr:rowOff>123730</xdr:rowOff>
    </xdr:from>
    <xdr:to>
      <xdr:col>9</xdr:col>
      <xdr:colOff>153758</xdr:colOff>
      <xdr:row>17</xdr:row>
      <xdr:rowOff>15526</xdr:rowOff>
    </xdr:to>
    <xdr:cxnSp macro="">
      <xdr:nvCxnSpPr>
        <xdr:cNvPr id="67956" name="直線コネクタ 67955"/>
        <xdr:cNvCxnSpPr/>
      </xdr:nvCxnSpPr>
      <xdr:spPr bwMode="auto">
        <a:xfrm flipV="1">
          <a:off x="391613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118014</xdr:colOff>
      <xdr:row>16</xdr:row>
      <xdr:rowOff>32408</xdr:rowOff>
    </xdr:from>
    <xdr:to>
      <xdr:col>31</xdr:col>
      <xdr:colOff>118014</xdr:colOff>
      <xdr:row>17</xdr:row>
      <xdr:rowOff>15526</xdr:rowOff>
    </xdr:to>
    <xdr:cxnSp macro="">
      <xdr:nvCxnSpPr>
        <xdr:cNvPr id="67957" name="直線コネクタ 67956"/>
        <xdr:cNvCxnSpPr/>
      </xdr:nvCxnSpPr>
      <xdr:spPr bwMode="auto">
        <a:xfrm flipV="1">
          <a:off x="8700039" y="2928008"/>
          <a:ext cx="0" cy="1640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156303</xdr:colOff>
      <xdr:row>16</xdr:row>
      <xdr:rowOff>73973</xdr:rowOff>
    </xdr:from>
    <xdr:to>
      <xdr:col>35</xdr:col>
      <xdr:colOff>156303</xdr:colOff>
      <xdr:row>17</xdr:row>
      <xdr:rowOff>15526</xdr:rowOff>
    </xdr:to>
    <xdr:cxnSp macro="">
      <xdr:nvCxnSpPr>
        <xdr:cNvPr id="67958" name="直線コネクタ 67957"/>
        <xdr:cNvCxnSpPr/>
      </xdr:nvCxnSpPr>
      <xdr:spPr bwMode="auto">
        <a:xfrm flipV="1">
          <a:off x="9614628" y="2969573"/>
          <a:ext cx="0" cy="1225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16</xdr:row>
      <xdr:rowOff>87119</xdr:rowOff>
    </xdr:from>
    <xdr:to>
      <xdr:col>36</xdr:col>
      <xdr:colOff>92075</xdr:colOff>
      <xdr:row>17</xdr:row>
      <xdr:rowOff>15526</xdr:rowOff>
    </xdr:to>
    <xdr:cxnSp macro="">
      <xdr:nvCxnSpPr>
        <xdr:cNvPr id="67959" name="直線コネクタ 67958"/>
        <xdr:cNvCxnSpPr/>
      </xdr:nvCxnSpPr>
      <xdr:spPr bwMode="auto">
        <a:xfrm flipV="1">
          <a:off x="9769475" y="2982719"/>
          <a:ext cx="0" cy="109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22</xdr:row>
      <xdr:rowOff>32703</xdr:rowOff>
    </xdr:from>
    <xdr:to>
      <xdr:col>10</xdr:col>
      <xdr:colOff>75436</xdr:colOff>
      <xdr:row>22</xdr:row>
      <xdr:rowOff>32703</xdr:rowOff>
    </xdr:to>
    <xdr:cxnSp macro="">
      <xdr:nvCxnSpPr>
        <xdr:cNvPr id="67960" name="直線コネクタ 67959"/>
        <xdr:cNvCxnSpPr/>
      </xdr:nvCxnSpPr>
      <xdr:spPr bwMode="auto">
        <a:xfrm>
          <a:off x="3934359" y="4014153"/>
          <a:ext cx="12252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16</xdr:row>
      <xdr:rowOff>32408</xdr:rowOff>
    </xdr:from>
    <xdr:to>
      <xdr:col>36</xdr:col>
      <xdr:colOff>92075</xdr:colOff>
      <xdr:row>17</xdr:row>
      <xdr:rowOff>15526</xdr:rowOff>
    </xdr:to>
    <xdr:cxnSp macro="">
      <xdr:nvCxnSpPr>
        <xdr:cNvPr id="67961" name="直線コネクタ 67960"/>
        <xdr:cNvCxnSpPr/>
      </xdr:nvCxnSpPr>
      <xdr:spPr bwMode="auto">
        <a:xfrm flipV="1">
          <a:off x="9769475" y="2928008"/>
          <a:ext cx="0" cy="1640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22</xdr:row>
      <xdr:rowOff>77765</xdr:rowOff>
    </xdr:from>
    <xdr:to>
      <xdr:col>10</xdr:col>
      <xdr:colOff>206655</xdr:colOff>
      <xdr:row>22</xdr:row>
      <xdr:rowOff>77765</xdr:rowOff>
    </xdr:to>
    <xdr:cxnSp macro="">
      <xdr:nvCxnSpPr>
        <xdr:cNvPr id="67962" name="直線コネクタ 67961"/>
        <xdr:cNvCxnSpPr/>
      </xdr:nvCxnSpPr>
      <xdr:spPr bwMode="auto">
        <a:xfrm>
          <a:off x="3934359" y="4059215"/>
          <a:ext cx="2537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963" name="テキスト ボックス 67962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964" name="直線コネクタ 67963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965" name="テキスト ボックス 67964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966" name="直線コネクタ 67965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52" zoomScaleNormal="100" workbookViewId="0">
      <selection activeCell="L80" sqref="L80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0" t="s">
        <v>156</v>
      </c>
      <c r="C13" s="170"/>
      <c r="D13" s="170"/>
      <c r="E13" s="170"/>
      <c r="F13" s="170"/>
      <c r="G13" s="170"/>
      <c r="H13" s="170"/>
      <c r="I13" s="170"/>
      <c r="J13" s="170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0" t="s">
        <v>156</v>
      </c>
      <c r="C15" s="170"/>
      <c r="D15" s="170"/>
      <c r="E15" s="170"/>
      <c r="F15" s="170"/>
      <c r="G15" s="170"/>
      <c r="H15" s="170"/>
      <c r="I15" s="170"/>
      <c r="J15" s="170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1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1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152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1" zoomScaleNormal="100" workbookViewId="0">
      <selection activeCell="B53" sqref="B53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122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123</v>
      </c>
      <c r="B5" s="22" t="s">
        <v>124</v>
      </c>
      <c r="C5" s="22" t="s">
        <v>126</v>
      </c>
      <c r="D5" s="23" t="s">
        <v>128</v>
      </c>
    </row>
    <row r="6" spans="1:4" ht="13.5" customHeight="1">
      <c r="A6" s="166">
        <v>1</v>
      </c>
      <c r="B6" s="147">
        <v>-21.249999999999996</v>
      </c>
      <c r="C6" s="147">
        <v>-7.35</v>
      </c>
      <c r="D6" s="40">
        <v>0</v>
      </c>
    </row>
    <row r="7" spans="1:4" ht="13.5" customHeight="1">
      <c r="A7" s="166">
        <v>2</v>
      </c>
      <c r="B7" s="147">
        <v>-19.684999999999999</v>
      </c>
      <c r="C7" s="147">
        <v>-7.35</v>
      </c>
      <c r="D7" s="40">
        <v>0</v>
      </c>
    </row>
    <row r="8" spans="1:4" ht="13.5" customHeight="1">
      <c r="A8" s="166">
        <v>3</v>
      </c>
      <c r="B8" s="147">
        <v>-19.41</v>
      </c>
      <c r="C8" s="147">
        <v>-7.35</v>
      </c>
      <c r="D8" s="40">
        <v>0</v>
      </c>
    </row>
    <row r="9" spans="1:4" ht="13.5" customHeight="1">
      <c r="A9" s="166">
        <v>4</v>
      </c>
      <c r="B9" s="147">
        <v>-19.135000000000002</v>
      </c>
      <c r="C9" s="147">
        <v>-7.35</v>
      </c>
      <c r="D9" s="40">
        <v>0</v>
      </c>
    </row>
    <row r="10" spans="1:4" ht="13.5" customHeight="1">
      <c r="A10" s="166">
        <v>5</v>
      </c>
      <c r="B10" s="147">
        <v>-13.215</v>
      </c>
      <c r="C10" s="147">
        <v>-7.35</v>
      </c>
      <c r="D10" s="40">
        <v>0</v>
      </c>
    </row>
    <row r="11" spans="1:4" ht="13.5" customHeight="1">
      <c r="A11" s="166">
        <v>6</v>
      </c>
      <c r="B11" s="147">
        <v>-12.94</v>
      </c>
      <c r="C11" s="147">
        <v>-7.35</v>
      </c>
      <c r="D11" s="40">
        <v>0</v>
      </c>
    </row>
    <row r="12" spans="1:4" ht="13.5" customHeight="1">
      <c r="A12" s="166">
        <v>7</v>
      </c>
      <c r="B12" s="147">
        <v>-12.664999999999999</v>
      </c>
      <c r="C12" s="147">
        <v>-7.35</v>
      </c>
      <c r="D12" s="40">
        <v>0</v>
      </c>
    </row>
    <row r="13" spans="1:4" ht="13.5" customHeight="1">
      <c r="A13" s="166">
        <v>8</v>
      </c>
      <c r="B13" s="147">
        <v>-6.7449999999999992</v>
      </c>
      <c r="C13" s="147">
        <v>-7.35</v>
      </c>
      <c r="D13" s="40"/>
    </row>
    <row r="14" spans="1:4" ht="13.5" customHeight="1">
      <c r="A14" s="166">
        <v>9</v>
      </c>
      <c r="B14" s="147">
        <v>-6.47</v>
      </c>
      <c r="C14" s="147">
        <v>-7.35</v>
      </c>
      <c r="D14" s="40"/>
    </row>
    <row r="15" spans="1:4" ht="13.5" customHeight="1">
      <c r="A15" s="166">
        <v>10</v>
      </c>
      <c r="B15" s="147">
        <v>-6.1950000000000003</v>
      </c>
      <c r="C15" s="147">
        <v>-7.35</v>
      </c>
      <c r="D15" s="40"/>
    </row>
    <row r="16" spans="1:4" ht="13.5" customHeight="1">
      <c r="A16" s="166">
        <v>11</v>
      </c>
      <c r="B16" s="147">
        <v>-0.27499999999999991</v>
      </c>
      <c r="C16" s="147">
        <v>-7.35</v>
      </c>
      <c r="D16" s="40"/>
    </row>
    <row r="17" spans="1:4" ht="13.5" customHeight="1">
      <c r="A17" s="166">
        <v>12</v>
      </c>
      <c r="B17" s="147">
        <v>0</v>
      </c>
      <c r="C17" s="147">
        <v>-7.35</v>
      </c>
      <c r="D17" s="40"/>
    </row>
    <row r="18" spans="1:4" ht="13.5" customHeight="1">
      <c r="A18" s="166">
        <v>13</v>
      </c>
      <c r="B18" s="147">
        <v>0.27499999999999991</v>
      </c>
      <c r="C18" s="147">
        <v>-7.35</v>
      </c>
      <c r="D18" s="40"/>
    </row>
    <row r="19" spans="1:4" ht="13.5" customHeight="1">
      <c r="A19" s="166">
        <v>14</v>
      </c>
      <c r="B19" s="147">
        <v>6.1950000000000003</v>
      </c>
      <c r="C19" s="147">
        <v>-7.35</v>
      </c>
    </row>
    <row r="20" spans="1:4" ht="13.5" customHeight="1">
      <c r="A20" s="166">
        <v>15</v>
      </c>
      <c r="B20" s="147">
        <v>6.47</v>
      </c>
      <c r="C20" s="147">
        <v>-7.35</v>
      </c>
    </row>
    <row r="21" spans="1:4" ht="13.5" customHeight="1">
      <c r="A21" s="166">
        <v>16</v>
      </c>
      <c r="B21" s="147">
        <v>6.7449999999999992</v>
      </c>
      <c r="C21" s="147">
        <v>-7.35</v>
      </c>
    </row>
    <row r="22" spans="1:4" ht="13.5" customHeight="1">
      <c r="A22" s="166">
        <v>17</v>
      </c>
      <c r="B22" s="147">
        <v>12.664999999999999</v>
      </c>
      <c r="C22" s="147">
        <v>-7.35</v>
      </c>
    </row>
    <row r="23" spans="1:4" ht="13.5" customHeight="1">
      <c r="A23" s="166">
        <v>18</v>
      </c>
      <c r="B23" s="147">
        <v>12.94</v>
      </c>
      <c r="C23" s="147">
        <v>-7.35</v>
      </c>
    </row>
    <row r="24" spans="1:4" ht="13.5" customHeight="1">
      <c r="A24" s="166">
        <v>19</v>
      </c>
      <c r="B24" s="147">
        <v>13.215</v>
      </c>
      <c r="C24" s="147">
        <v>-7.35</v>
      </c>
    </row>
    <row r="25" spans="1:4" ht="13.5" customHeight="1">
      <c r="A25" s="166">
        <v>20</v>
      </c>
      <c r="B25" s="147">
        <v>19.135000000000002</v>
      </c>
      <c r="C25" s="147">
        <v>-7.35</v>
      </c>
    </row>
    <row r="26" spans="1:4" ht="13.5" customHeight="1">
      <c r="A26" s="166">
        <v>21</v>
      </c>
      <c r="B26" s="147">
        <v>19.41</v>
      </c>
      <c r="C26" s="147">
        <v>-7.35</v>
      </c>
    </row>
    <row r="27" spans="1:4" ht="13.5" customHeight="1">
      <c r="A27" s="166">
        <v>22</v>
      </c>
      <c r="B27" s="147">
        <v>19.684999999999999</v>
      </c>
      <c r="C27" s="147">
        <v>-7.35</v>
      </c>
    </row>
    <row r="28" spans="1:4" ht="13.5" customHeight="1">
      <c r="A28" s="166">
        <v>23</v>
      </c>
      <c r="B28" s="147">
        <v>21.25</v>
      </c>
      <c r="C28" s="147">
        <v>-7.35</v>
      </c>
    </row>
    <row r="29" spans="1:4" ht="13.5" customHeight="1">
      <c r="A29" s="166">
        <v>24</v>
      </c>
      <c r="B29" s="147">
        <v>-19.41</v>
      </c>
      <c r="C29" s="147">
        <v>-6.1749999999999998</v>
      </c>
    </row>
    <row r="30" spans="1:4" ht="13.5" customHeight="1">
      <c r="A30" s="166">
        <v>25</v>
      </c>
      <c r="B30" s="147">
        <v>-12.94</v>
      </c>
      <c r="C30" s="147">
        <v>-6.1749999999999998</v>
      </c>
    </row>
    <row r="31" spans="1:4" ht="13.5" customHeight="1">
      <c r="A31" s="166">
        <v>26</v>
      </c>
      <c r="B31" s="147">
        <v>-6.47</v>
      </c>
      <c r="C31" s="147">
        <v>-6.1749999999999998</v>
      </c>
    </row>
    <row r="32" spans="1:4" ht="13.5" customHeight="1">
      <c r="A32" s="166">
        <v>27</v>
      </c>
      <c r="B32" s="147">
        <v>0</v>
      </c>
      <c r="C32" s="147">
        <v>-6.1749999999999998</v>
      </c>
    </row>
    <row r="33" spans="1:3" ht="13.5" customHeight="1">
      <c r="A33" s="166">
        <v>28</v>
      </c>
      <c r="B33" s="147">
        <v>6.47</v>
      </c>
      <c r="C33" s="147">
        <v>-6.1749999999999998</v>
      </c>
    </row>
    <row r="34" spans="1:3" ht="13.5" customHeight="1">
      <c r="A34" s="166">
        <v>29</v>
      </c>
      <c r="B34" s="147">
        <v>12.94</v>
      </c>
      <c r="C34" s="147">
        <v>-6.1749999999999998</v>
      </c>
    </row>
    <row r="35" spans="1:3" ht="13.5" customHeight="1">
      <c r="A35" s="166">
        <v>30</v>
      </c>
      <c r="B35" s="147">
        <v>19.41</v>
      </c>
      <c r="C35" s="147">
        <v>-6.1749999999999998</v>
      </c>
    </row>
    <row r="36" spans="1:3" ht="13.5" customHeight="1">
      <c r="A36" s="166">
        <v>31</v>
      </c>
      <c r="B36" s="147">
        <v>-19.41</v>
      </c>
      <c r="C36" s="147">
        <v>0</v>
      </c>
    </row>
    <row r="37" spans="1:3" ht="13.5" customHeight="1">
      <c r="A37" s="166">
        <v>32</v>
      </c>
      <c r="B37" s="147">
        <v>-12.94</v>
      </c>
      <c r="C37" s="147">
        <v>0</v>
      </c>
    </row>
    <row r="38" spans="1:3" ht="13.5" customHeight="1">
      <c r="A38" s="166">
        <v>33</v>
      </c>
      <c r="B38" s="147">
        <v>-6.47</v>
      </c>
      <c r="C38" s="147">
        <v>0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6.47</v>
      </c>
      <c r="C40" s="147">
        <v>0</v>
      </c>
    </row>
    <row r="41" spans="1:3" ht="13.5" customHeight="1">
      <c r="A41" s="166">
        <v>36</v>
      </c>
      <c r="B41" s="147">
        <v>12.94</v>
      </c>
      <c r="C41" s="147">
        <v>0</v>
      </c>
    </row>
    <row r="42" spans="1:3" ht="13.5" customHeight="1">
      <c r="A42" s="166">
        <v>37</v>
      </c>
      <c r="B42" s="147">
        <v>19.41</v>
      </c>
      <c r="C42" s="147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A14" sqref="A14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4" t="s">
        <v>37</v>
      </c>
      <c r="B5" s="176" t="s">
        <v>129</v>
      </c>
      <c r="C5" s="176"/>
      <c r="D5" s="176"/>
      <c r="E5" s="176"/>
      <c r="F5" s="176"/>
      <c r="G5" s="176"/>
      <c r="H5" s="177" t="s">
        <v>50</v>
      </c>
      <c r="I5" s="177"/>
      <c r="J5" s="177"/>
      <c r="K5" s="177"/>
      <c r="L5" s="177"/>
      <c r="M5" s="177"/>
      <c r="N5" s="172" t="s">
        <v>130</v>
      </c>
      <c r="O5" s="172"/>
      <c r="P5" s="172"/>
      <c r="Q5" s="172"/>
      <c r="R5" s="172"/>
      <c r="S5" s="172"/>
    </row>
    <row r="6" spans="1:19" ht="13.5" customHeight="1">
      <c r="A6" s="174"/>
      <c r="B6" s="175" t="s">
        <v>33</v>
      </c>
      <c r="C6" s="175"/>
      <c r="D6" s="175"/>
      <c r="E6" s="175" t="s">
        <v>34</v>
      </c>
      <c r="F6" s="175"/>
      <c r="G6" s="175"/>
      <c r="H6" s="178" t="s">
        <v>33</v>
      </c>
      <c r="I6" s="178"/>
      <c r="J6" s="178"/>
      <c r="K6" s="178" t="s">
        <v>34</v>
      </c>
      <c r="L6" s="178"/>
      <c r="M6" s="178"/>
      <c r="N6" s="173" t="s">
        <v>33</v>
      </c>
      <c r="O6" s="173"/>
      <c r="P6" s="173"/>
      <c r="Q6" s="173" t="s">
        <v>34</v>
      </c>
      <c r="R6" s="173"/>
      <c r="S6" s="173"/>
    </row>
    <row r="7" spans="1:19" ht="13.5" customHeight="1">
      <c r="A7" s="174"/>
      <c r="B7" s="114" t="s">
        <v>124</v>
      </c>
      <c r="C7" s="114" t="s">
        <v>125</v>
      </c>
      <c r="D7" s="114" t="s">
        <v>127</v>
      </c>
      <c r="E7" s="114" t="s">
        <v>124</v>
      </c>
      <c r="F7" s="114" t="s">
        <v>125</v>
      </c>
      <c r="G7" s="114" t="s">
        <v>127</v>
      </c>
      <c r="H7" s="115" t="s">
        <v>124</v>
      </c>
      <c r="I7" s="115" t="s">
        <v>125</v>
      </c>
      <c r="J7" s="115" t="s">
        <v>127</v>
      </c>
      <c r="K7" s="115" t="s">
        <v>124</v>
      </c>
      <c r="L7" s="115" t="s">
        <v>125</v>
      </c>
      <c r="M7" s="115" t="s">
        <v>127</v>
      </c>
      <c r="N7" s="113" t="s">
        <v>124</v>
      </c>
      <c r="O7" s="113" t="s">
        <v>125</v>
      </c>
      <c r="P7" s="113" t="s">
        <v>127</v>
      </c>
      <c r="Q7" s="113" t="s">
        <v>124</v>
      </c>
      <c r="R7" s="113" t="s">
        <v>125</v>
      </c>
      <c r="S7" s="113" t="s">
        <v>127</v>
      </c>
    </row>
    <row r="8" spans="1:19" ht="13.5" customHeight="1">
      <c r="A8" s="148">
        <v>31</v>
      </c>
      <c r="B8" s="149">
        <v>1</v>
      </c>
      <c r="C8" s="149">
        <v>1</v>
      </c>
      <c r="D8" s="149">
        <v>0</v>
      </c>
      <c r="E8" s="149"/>
      <c r="F8" s="149"/>
      <c r="G8" s="149">
        <v>1</v>
      </c>
    </row>
    <row r="9" spans="1:19" ht="13.5" customHeight="1">
      <c r="A9" s="148">
        <v>32</v>
      </c>
      <c r="B9" s="149">
        <f t="shared" ref="B9:G14" si="0">B8</f>
        <v>1</v>
      </c>
      <c r="C9" s="149">
        <f t="shared" si="0"/>
        <v>1</v>
      </c>
      <c r="D9" s="149">
        <f t="shared" si="0"/>
        <v>0</v>
      </c>
      <c r="E9" s="149">
        <f t="shared" si="0"/>
        <v>0</v>
      </c>
      <c r="F9" s="149">
        <f t="shared" si="0"/>
        <v>0</v>
      </c>
      <c r="G9" s="149">
        <f t="shared" si="0"/>
        <v>1</v>
      </c>
    </row>
    <row r="10" spans="1:19" ht="13.5" customHeight="1">
      <c r="A10" s="148">
        <v>33</v>
      </c>
      <c r="B10" s="149">
        <f t="shared" si="0"/>
        <v>1</v>
      </c>
      <c r="C10" s="149">
        <f t="shared" si="0"/>
        <v>1</v>
      </c>
      <c r="D10" s="149">
        <f t="shared" si="0"/>
        <v>0</v>
      </c>
      <c r="E10" s="149">
        <f t="shared" si="0"/>
        <v>0</v>
      </c>
      <c r="F10" s="149">
        <f t="shared" si="0"/>
        <v>0</v>
      </c>
      <c r="G10" s="149">
        <f t="shared" si="0"/>
        <v>1</v>
      </c>
    </row>
    <row r="11" spans="1:19" ht="13.5" customHeight="1">
      <c r="A11" s="148">
        <v>34</v>
      </c>
      <c r="B11" s="149">
        <f t="shared" si="0"/>
        <v>1</v>
      </c>
      <c r="C11" s="149">
        <f t="shared" si="0"/>
        <v>1</v>
      </c>
      <c r="D11" s="149">
        <f t="shared" si="0"/>
        <v>0</v>
      </c>
      <c r="E11" s="149">
        <f t="shared" si="0"/>
        <v>0</v>
      </c>
      <c r="F11" s="149">
        <f t="shared" si="0"/>
        <v>0</v>
      </c>
      <c r="G11" s="149">
        <f t="shared" si="0"/>
        <v>1</v>
      </c>
    </row>
    <row r="12" spans="1:19" ht="13.5" customHeight="1">
      <c r="A12" s="148">
        <v>35</v>
      </c>
      <c r="B12" s="149">
        <f t="shared" si="0"/>
        <v>1</v>
      </c>
      <c r="C12" s="149">
        <f t="shared" si="0"/>
        <v>1</v>
      </c>
      <c r="D12" s="149">
        <f t="shared" si="0"/>
        <v>0</v>
      </c>
      <c r="E12" s="149">
        <f t="shared" si="0"/>
        <v>0</v>
      </c>
      <c r="F12" s="149">
        <f t="shared" si="0"/>
        <v>0</v>
      </c>
      <c r="G12" s="149">
        <f t="shared" si="0"/>
        <v>1</v>
      </c>
    </row>
    <row r="13" spans="1:19" ht="13.5" customHeight="1">
      <c r="A13" s="148">
        <v>36</v>
      </c>
      <c r="B13" s="149">
        <f t="shared" si="0"/>
        <v>1</v>
      </c>
      <c r="C13" s="149">
        <f t="shared" si="0"/>
        <v>1</v>
      </c>
      <c r="D13" s="149">
        <f t="shared" si="0"/>
        <v>0</v>
      </c>
      <c r="E13" s="149">
        <f t="shared" si="0"/>
        <v>0</v>
      </c>
      <c r="F13" s="149">
        <f t="shared" si="0"/>
        <v>0</v>
      </c>
      <c r="G13" s="149">
        <f t="shared" si="0"/>
        <v>1</v>
      </c>
    </row>
    <row r="14" spans="1:19" ht="13.5" customHeight="1">
      <c r="A14" s="148">
        <v>37</v>
      </c>
      <c r="B14" s="149">
        <f t="shared" si="0"/>
        <v>1</v>
      </c>
      <c r="C14" s="149">
        <f t="shared" si="0"/>
        <v>1</v>
      </c>
      <c r="D14" s="149">
        <f t="shared" si="0"/>
        <v>0</v>
      </c>
      <c r="E14" s="149">
        <f t="shared" si="0"/>
        <v>0</v>
      </c>
      <c r="F14" s="149">
        <f t="shared" si="0"/>
        <v>0</v>
      </c>
      <c r="G14" s="149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A16" sqref="A16:A41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131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132</v>
      </c>
    </row>
    <row r="6" spans="1:7" ht="13.5" customHeight="1">
      <c r="A6" s="150">
        <v>1</v>
      </c>
      <c r="B6" s="151">
        <v>1</v>
      </c>
      <c r="C6" s="151">
        <v>2</v>
      </c>
      <c r="D6" s="152">
        <v>1.5649999999999999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0.27500000000000002</v>
      </c>
      <c r="E7" s="153">
        <v>2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0.27500000000000002</v>
      </c>
      <c r="E8" s="153">
        <v>2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5.92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0.27500000000000002</v>
      </c>
      <c r="E10" s="153">
        <v>2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2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2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2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2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2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2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2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2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2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2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2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3</v>
      </c>
      <c r="C28" s="151">
        <v>24</v>
      </c>
      <c r="D28" s="152">
        <v>1.175</v>
      </c>
      <c r="E28" s="153">
        <v>2</v>
      </c>
    </row>
    <row r="29" spans="1:5" ht="13.5" customHeight="1">
      <c r="A29" s="150">
        <v>24</v>
      </c>
      <c r="B29" s="154">
        <v>6</v>
      </c>
      <c r="C29" s="154">
        <v>25</v>
      </c>
      <c r="D29" s="152">
        <v>1.175</v>
      </c>
      <c r="E29" s="153">
        <v>2</v>
      </c>
    </row>
    <row r="30" spans="1:5" ht="13.5" customHeight="1">
      <c r="A30" s="150">
        <v>25</v>
      </c>
      <c r="B30" s="154">
        <v>9</v>
      </c>
      <c r="C30" s="154">
        <v>26</v>
      </c>
      <c r="D30" s="152">
        <v>1.175</v>
      </c>
      <c r="E30" s="153">
        <v>2</v>
      </c>
    </row>
    <row r="31" spans="1:5" ht="13.5" customHeight="1">
      <c r="A31" s="150">
        <v>26</v>
      </c>
      <c r="B31" s="154">
        <v>12</v>
      </c>
      <c r="C31" s="154">
        <v>27</v>
      </c>
      <c r="D31" s="152">
        <v>1.175</v>
      </c>
      <c r="E31" s="153">
        <v>2</v>
      </c>
    </row>
    <row r="32" spans="1:5" ht="13.5" customHeight="1">
      <c r="A32" s="150">
        <v>27</v>
      </c>
      <c r="B32" s="154">
        <v>15</v>
      </c>
      <c r="C32" s="154">
        <v>28</v>
      </c>
      <c r="D32" s="152">
        <v>1.175</v>
      </c>
      <c r="E32" s="153">
        <v>2</v>
      </c>
    </row>
    <row r="33" spans="1:5" ht="13.5" customHeight="1">
      <c r="A33" s="150">
        <v>28</v>
      </c>
      <c r="B33" s="154">
        <v>18</v>
      </c>
      <c r="C33" s="154">
        <v>29</v>
      </c>
      <c r="D33" s="152">
        <v>1.175</v>
      </c>
      <c r="E33" s="153">
        <v>2</v>
      </c>
    </row>
    <row r="34" spans="1:5" ht="13.5" customHeight="1">
      <c r="A34" s="150">
        <v>29</v>
      </c>
      <c r="B34" s="154">
        <v>21</v>
      </c>
      <c r="C34" s="154">
        <v>30</v>
      </c>
      <c r="D34" s="152">
        <v>1.175</v>
      </c>
      <c r="E34" s="153">
        <v>2</v>
      </c>
    </row>
    <row r="35" spans="1:5" ht="13.5" customHeight="1">
      <c r="A35" s="150">
        <v>30</v>
      </c>
      <c r="B35" s="154">
        <v>24</v>
      </c>
      <c r="C35" s="154">
        <v>31</v>
      </c>
      <c r="D35" s="152">
        <v>6.1749999999999998</v>
      </c>
      <c r="E35" s="153">
        <v>3</v>
      </c>
    </row>
    <row r="36" spans="1:5" ht="13.5" customHeight="1">
      <c r="A36" s="150">
        <v>31</v>
      </c>
      <c r="B36" s="154">
        <v>25</v>
      </c>
      <c r="C36" s="154">
        <v>32</v>
      </c>
      <c r="D36" s="152">
        <v>6.1749999999999998</v>
      </c>
      <c r="E36" s="153">
        <v>3</v>
      </c>
    </row>
    <row r="37" spans="1:5" ht="13.5" customHeight="1">
      <c r="A37" s="150">
        <v>32</v>
      </c>
      <c r="B37" s="154">
        <v>26</v>
      </c>
      <c r="C37" s="154">
        <v>33</v>
      </c>
      <c r="D37" s="152">
        <v>6.1749999999999998</v>
      </c>
      <c r="E37" s="153">
        <v>3</v>
      </c>
    </row>
    <row r="38" spans="1:5" ht="13.5" customHeight="1">
      <c r="A38" s="150">
        <v>33</v>
      </c>
      <c r="B38" s="154">
        <v>27</v>
      </c>
      <c r="C38" s="154">
        <v>34</v>
      </c>
      <c r="D38" s="152">
        <v>6.1749999999999998</v>
      </c>
      <c r="E38" s="153">
        <v>3</v>
      </c>
    </row>
    <row r="39" spans="1:5" ht="13.5" customHeight="1">
      <c r="A39" s="150">
        <v>34</v>
      </c>
      <c r="B39" s="154">
        <v>28</v>
      </c>
      <c r="C39" s="154">
        <v>35</v>
      </c>
      <c r="D39" s="152">
        <v>6.1749999999999998</v>
      </c>
      <c r="E39" s="153">
        <v>3</v>
      </c>
    </row>
    <row r="40" spans="1:5" ht="13.5" customHeight="1">
      <c r="A40" s="150">
        <v>35</v>
      </c>
      <c r="B40" s="154">
        <v>29</v>
      </c>
      <c r="C40" s="154">
        <v>36</v>
      </c>
      <c r="D40" s="152">
        <v>6.1749999999999998</v>
      </c>
      <c r="E40" s="153">
        <v>3</v>
      </c>
    </row>
    <row r="41" spans="1:5" ht="13.5" customHeight="1">
      <c r="A41" s="150">
        <v>36</v>
      </c>
      <c r="B41" s="154">
        <v>30</v>
      </c>
      <c r="C41" s="154">
        <v>37</v>
      </c>
      <c r="D41" s="152">
        <v>6.1749999999999998</v>
      </c>
      <c r="E41" s="153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10" sqref="H10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1" t="s">
        <v>133</v>
      </c>
      <c r="B5" s="183" t="s">
        <v>129</v>
      </c>
      <c r="C5" s="184"/>
      <c r="D5" s="184"/>
      <c r="E5" s="184"/>
      <c r="F5" s="185"/>
      <c r="G5" s="183" t="s">
        <v>91</v>
      </c>
      <c r="H5" s="185"/>
      <c r="I5" s="186" t="s">
        <v>134</v>
      </c>
      <c r="J5" s="187"/>
      <c r="K5" s="187"/>
      <c r="L5" s="187"/>
      <c r="M5" s="188"/>
      <c r="N5" s="186" t="s">
        <v>91</v>
      </c>
      <c r="O5" s="188"/>
      <c r="P5" s="179" t="s">
        <v>130</v>
      </c>
      <c r="Q5" s="189"/>
      <c r="R5" s="189"/>
      <c r="S5" s="189"/>
      <c r="T5" s="180"/>
      <c r="U5" s="179" t="s">
        <v>91</v>
      </c>
      <c r="V5" s="180"/>
    </row>
    <row r="6" spans="1:22" ht="13.5" customHeight="1">
      <c r="A6" s="182"/>
      <c r="B6" s="52" t="s">
        <v>23</v>
      </c>
      <c r="C6" s="52" t="s">
        <v>135</v>
      </c>
      <c r="D6" s="52" t="s">
        <v>73</v>
      </c>
      <c r="E6" s="52" t="s">
        <v>24</v>
      </c>
      <c r="F6" s="52" t="s">
        <v>136</v>
      </c>
      <c r="G6" s="52" t="s">
        <v>137</v>
      </c>
      <c r="H6" s="52" t="s">
        <v>138</v>
      </c>
      <c r="I6" s="53" t="s">
        <v>23</v>
      </c>
      <c r="J6" s="53" t="s">
        <v>135</v>
      </c>
      <c r="K6" s="53" t="s">
        <v>139</v>
      </c>
      <c r="L6" s="53" t="s">
        <v>24</v>
      </c>
      <c r="M6" s="53" t="s">
        <v>136</v>
      </c>
      <c r="N6" s="53" t="s">
        <v>137</v>
      </c>
      <c r="O6" s="53" t="s">
        <v>138</v>
      </c>
      <c r="P6" s="54" t="s">
        <v>23</v>
      </c>
      <c r="Q6" s="54" t="s">
        <v>135</v>
      </c>
      <c r="R6" s="54" t="s">
        <v>139</v>
      </c>
      <c r="S6" s="54" t="s">
        <v>24</v>
      </c>
      <c r="T6" s="54" t="s">
        <v>136</v>
      </c>
      <c r="U6" s="54" t="s">
        <v>137</v>
      </c>
      <c r="V6" s="54" t="s">
        <v>138</v>
      </c>
    </row>
    <row r="7" spans="1:22" ht="13.5" customHeight="1">
      <c r="A7" s="155">
        <v>1</v>
      </c>
      <c r="B7" s="156">
        <v>35000000</v>
      </c>
      <c r="C7" s="156">
        <v>1.0000000000000001E-5</v>
      </c>
      <c r="D7" s="156">
        <v>1.0000000000000001E-5</v>
      </c>
      <c r="E7" s="157">
        <v>22.75</v>
      </c>
      <c r="F7" s="157"/>
      <c r="G7" s="157"/>
      <c r="H7" s="157">
        <v>23.223960000000002</v>
      </c>
      <c r="I7" s="50"/>
      <c r="J7" s="50"/>
      <c r="K7" s="50"/>
    </row>
    <row r="8" spans="1:22" ht="13.5" customHeight="1">
      <c r="A8" s="155">
        <v>2</v>
      </c>
      <c r="B8" s="156">
        <v>35000000</v>
      </c>
      <c r="C8" s="156">
        <v>1.0000000000000001E-5</v>
      </c>
      <c r="D8" s="156">
        <v>1.0000000000000001E-5</v>
      </c>
      <c r="E8" s="157">
        <v>1000</v>
      </c>
      <c r="F8" s="157"/>
      <c r="G8" s="157"/>
      <c r="H8" s="157">
        <v>1000</v>
      </c>
      <c r="I8" s="50"/>
      <c r="J8" s="50"/>
      <c r="K8" s="50"/>
    </row>
    <row r="9" spans="1:22" ht="13.5" customHeight="1">
      <c r="A9" s="155">
        <v>3</v>
      </c>
      <c r="B9" s="156">
        <v>35000000</v>
      </c>
      <c r="C9" s="156"/>
      <c r="D9" s="156">
        <v>1.0000000000000001E-5</v>
      </c>
      <c r="E9" s="157">
        <v>10.579999999999998</v>
      </c>
      <c r="F9" s="157"/>
      <c r="G9" s="157"/>
      <c r="H9" s="157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0" t="s">
        <v>53</v>
      </c>
      <c r="B5" s="191" t="s">
        <v>49</v>
      </c>
      <c r="C5" s="191"/>
      <c r="D5" s="191"/>
      <c r="E5" s="191"/>
      <c r="F5" s="191"/>
      <c r="G5" s="191"/>
      <c r="H5" s="192" t="s">
        <v>50</v>
      </c>
      <c r="I5" s="192"/>
      <c r="J5" s="192"/>
      <c r="K5" s="192"/>
      <c r="L5" s="192"/>
      <c r="M5" s="192"/>
      <c r="N5" s="193" t="s">
        <v>52</v>
      </c>
      <c r="O5" s="193"/>
      <c r="P5" s="193"/>
      <c r="Q5" s="193"/>
      <c r="R5" s="193"/>
      <c r="S5" s="193"/>
    </row>
    <row r="6" spans="1:19" ht="13.5" customHeight="1">
      <c r="A6" s="190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C20" sqref="C20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0" t="s">
        <v>53</v>
      </c>
      <c r="B4" s="190" t="s">
        <v>140</v>
      </c>
      <c r="C4" s="194" t="s">
        <v>96</v>
      </c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</row>
    <row r="5" spans="1:14" s="19" customFormat="1" ht="13.5" customHeight="1">
      <c r="A5" s="190"/>
      <c r="B5" s="190"/>
      <c r="C5" s="116" t="s">
        <v>141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>
        <v>4</v>
      </c>
      <c r="B6" s="169">
        <v>5.92</v>
      </c>
      <c r="C6" s="168">
        <v>0.875</v>
      </c>
      <c r="D6" s="168">
        <v>2.96</v>
      </c>
      <c r="E6" s="168">
        <v>5.0449999999999999</v>
      </c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>
        <v>7</v>
      </c>
      <c r="B7" s="159">
        <v>5.92</v>
      </c>
      <c r="C7" s="158">
        <v>0.875</v>
      </c>
      <c r="D7" s="168">
        <v>2.96</v>
      </c>
      <c r="E7" s="168">
        <v>5.0449999999999999</v>
      </c>
      <c r="F7" s="167"/>
    </row>
    <row r="8" spans="1:14">
      <c r="A8" s="158">
        <v>10</v>
      </c>
      <c r="B8" s="159">
        <v>5.92</v>
      </c>
      <c r="C8" s="158">
        <v>0.875</v>
      </c>
      <c r="D8" s="168">
        <v>2.96</v>
      </c>
      <c r="E8" s="168">
        <v>5.0449999999999999</v>
      </c>
      <c r="F8" s="167"/>
    </row>
    <row r="9" spans="1:14">
      <c r="A9" s="158">
        <v>13</v>
      </c>
      <c r="B9" s="159">
        <v>5.92</v>
      </c>
      <c r="C9" s="158">
        <v>0.875</v>
      </c>
      <c r="D9" s="168">
        <v>2.96</v>
      </c>
      <c r="E9" s="168">
        <v>5.0449999999999999</v>
      </c>
      <c r="F9" s="167"/>
    </row>
    <row r="10" spans="1:14">
      <c r="A10" s="158">
        <v>16</v>
      </c>
      <c r="B10" s="159">
        <v>5.92</v>
      </c>
      <c r="C10" s="158">
        <v>0.875</v>
      </c>
      <c r="D10" s="168">
        <v>2.96</v>
      </c>
      <c r="E10" s="168">
        <v>5.0449999999999999</v>
      </c>
      <c r="F10" s="155"/>
      <c r="G10" s="24"/>
      <c r="H10" s="24"/>
      <c r="I10" s="24"/>
      <c r="J10" s="24"/>
      <c r="K10" s="24"/>
    </row>
    <row r="11" spans="1:14">
      <c r="A11" s="158">
        <v>19</v>
      </c>
      <c r="B11" s="159">
        <v>5.92</v>
      </c>
      <c r="C11" s="158">
        <v>0.875</v>
      </c>
      <c r="D11" s="168">
        <v>2.96</v>
      </c>
      <c r="E11" s="168">
        <v>5.0449999999999999</v>
      </c>
      <c r="F11" s="167"/>
    </row>
    <row r="12" spans="1:14">
      <c r="A12" s="158">
        <v>30</v>
      </c>
      <c r="B12" s="159">
        <v>6.1749999999999998</v>
      </c>
      <c r="C12" s="158">
        <v>0.57499999999999996</v>
      </c>
      <c r="D12" s="158"/>
      <c r="E12" s="158"/>
      <c r="F12" s="167"/>
    </row>
    <row r="13" spans="1:14">
      <c r="A13" s="158">
        <v>31</v>
      </c>
      <c r="B13" s="159">
        <v>6.1749999999999998</v>
      </c>
      <c r="C13" s="158">
        <v>0.57499999999999996</v>
      </c>
      <c r="D13" s="158"/>
      <c r="E13" s="158"/>
      <c r="F13" s="167"/>
    </row>
    <row r="14" spans="1:14">
      <c r="A14" s="158">
        <v>32</v>
      </c>
      <c r="B14" s="159">
        <v>6.1749999999999998</v>
      </c>
      <c r="C14" s="158">
        <v>0.57499999999999996</v>
      </c>
      <c r="D14" s="158"/>
      <c r="E14" s="158"/>
      <c r="F14" s="167"/>
    </row>
    <row r="15" spans="1:14">
      <c r="A15" s="158">
        <v>33</v>
      </c>
      <c r="B15" s="159">
        <v>6.1749999999999998</v>
      </c>
      <c r="C15" s="158">
        <v>0.57499999999999996</v>
      </c>
      <c r="D15" s="158"/>
      <c r="E15" s="158"/>
      <c r="F15" s="167"/>
    </row>
    <row r="16" spans="1:14">
      <c r="A16" s="158">
        <v>34</v>
      </c>
      <c r="B16" s="159">
        <v>6.1749999999999998</v>
      </c>
      <c r="C16" s="158">
        <v>0.57499999999999996</v>
      </c>
      <c r="D16" s="158"/>
      <c r="E16" s="158"/>
      <c r="F16" s="158"/>
    </row>
    <row r="17" spans="1:6">
      <c r="A17" s="158">
        <v>35</v>
      </c>
      <c r="B17" s="159">
        <v>6.1749999999999998</v>
      </c>
      <c r="C17" s="158">
        <v>0.57499999999999996</v>
      </c>
      <c r="D17" s="158"/>
      <c r="E17" s="158"/>
      <c r="F17" s="158"/>
    </row>
    <row r="18" spans="1:6">
      <c r="A18" s="158">
        <v>36</v>
      </c>
      <c r="B18" s="159">
        <v>6.1749999999999998</v>
      </c>
      <c r="C18" s="158">
        <v>0.57499999999999996</v>
      </c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C10" sqref="C10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5" t="s">
        <v>53</v>
      </c>
      <c r="B5" s="179" t="s">
        <v>129</v>
      </c>
      <c r="C5" s="189"/>
      <c r="D5" s="189"/>
      <c r="E5" s="180"/>
      <c r="F5" s="198" t="s">
        <v>57</v>
      </c>
      <c r="G5" s="199"/>
      <c r="H5" s="199"/>
      <c r="I5" s="200"/>
      <c r="J5" s="201" t="s">
        <v>142</v>
      </c>
      <c r="K5" s="202"/>
      <c r="L5" s="202"/>
      <c r="M5" s="203"/>
    </row>
    <row r="6" spans="1:13" ht="13.5" customHeight="1">
      <c r="A6" s="196"/>
      <c r="B6" s="179" t="s">
        <v>33</v>
      </c>
      <c r="C6" s="189"/>
      <c r="D6" s="180"/>
      <c r="E6" s="68" t="s">
        <v>55</v>
      </c>
      <c r="F6" s="198" t="s">
        <v>33</v>
      </c>
      <c r="G6" s="199"/>
      <c r="H6" s="200"/>
      <c r="I6" s="69" t="s">
        <v>55</v>
      </c>
      <c r="J6" s="201" t="s">
        <v>33</v>
      </c>
      <c r="K6" s="202"/>
      <c r="L6" s="203"/>
      <c r="M6" s="70" t="s">
        <v>55</v>
      </c>
    </row>
    <row r="7" spans="1:13" ht="13.5" customHeight="1">
      <c r="A7" s="197"/>
      <c r="B7" s="117" t="s">
        <v>124</v>
      </c>
      <c r="C7" s="117" t="s">
        <v>125</v>
      </c>
      <c r="D7" s="117" t="s">
        <v>127</v>
      </c>
      <c r="E7" s="117" t="s">
        <v>56</v>
      </c>
      <c r="F7" s="119" t="s">
        <v>124</v>
      </c>
      <c r="G7" s="71" t="s">
        <v>125</v>
      </c>
      <c r="H7" s="120" t="s">
        <v>127</v>
      </c>
      <c r="I7" s="71" t="s">
        <v>56</v>
      </c>
      <c r="J7" s="72" t="s">
        <v>124</v>
      </c>
      <c r="K7" s="72" t="s">
        <v>125</v>
      </c>
      <c r="L7" s="72" t="s">
        <v>127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4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4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4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4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4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4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4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4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4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4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4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4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4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4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4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4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7" sqref="A7:J26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5" t="s">
        <v>58</v>
      </c>
      <c r="B4" s="204" t="s">
        <v>59</v>
      </c>
      <c r="C4" s="204" t="s">
        <v>60</v>
      </c>
      <c r="D4" s="204" t="s">
        <v>61</v>
      </c>
      <c r="E4" s="204" t="s">
        <v>62</v>
      </c>
      <c r="F4" s="204"/>
      <c r="G4" s="204"/>
      <c r="H4" s="204"/>
    </row>
    <row r="5" spans="1:8" ht="13.5" customHeight="1">
      <c r="A5" s="205"/>
      <c r="B5" s="204"/>
      <c r="C5" s="204"/>
      <c r="D5" s="204"/>
      <c r="E5" s="131" t="s">
        <v>63</v>
      </c>
      <c r="F5" s="131" t="s">
        <v>143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 t="s">
        <v>153</v>
      </c>
      <c r="D6" s="161" t="s">
        <v>154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/>
      <c r="B7" s="161"/>
      <c r="C7" s="148"/>
      <c r="D7" s="161"/>
      <c r="E7" s="161"/>
      <c r="F7" s="155"/>
      <c r="G7" s="155"/>
      <c r="H7" s="155"/>
    </row>
    <row r="8" spans="1:8" ht="13.5" customHeight="1">
      <c r="A8" s="160"/>
      <c r="B8" s="161"/>
      <c r="C8" s="148"/>
      <c r="D8" s="161"/>
      <c r="E8" s="161"/>
      <c r="F8" s="155"/>
      <c r="G8" s="155"/>
      <c r="H8" s="155"/>
    </row>
    <row r="9" spans="1:8" ht="13.5" customHeight="1">
      <c r="A9" s="160"/>
      <c r="B9" s="161"/>
      <c r="C9" s="148"/>
      <c r="D9" s="161"/>
      <c r="E9" s="161"/>
      <c r="F9" s="155"/>
      <c r="G9" s="155"/>
      <c r="H9" s="155"/>
    </row>
    <row r="10" spans="1:8" ht="13.5" customHeight="1">
      <c r="A10" s="160"/>
      <c r="B10" s="161"/>
      <c r="C10" s="148"/>
      <c r="D10" s="161"/>
      <c r="E10" s="161"/>
      <c r="F10" s="155"/>
      <c r="G10" s="155"/>
      <c r="H10" s="155"/>
    </row>
    <row r="11" spans="1:8" ht="13.5" customHeight="1">
      <c r="A11" s="160"/>
      <c r="B11" s="161"/>
      <c r="C11" s="148"/>
      <c r="D11" s="161"/>
      <c r="E11" s="161"/>
      <c r="F11" s="155"/>
      <c r="G11" s="155"/>
      <c r="H11" s="155"/>
    </row>
    <row r="12" spans="1:8" ht="13.5" customHeight="1">
      <c r="A12" s="160"/>
      <c r="B12" s="161"/>
      <c r="C12" s="148"/>
      <c r="D12" s="161"/>
      <c r="E12" s="161"/>
      <c r="F12" s="155"/>
      <c r="G12" s="155"/>
      <c r="H12" s="155"/>
    </row>
    <row r="13" spans="1:8" ht="13.5" customHeight="1">
      <c r="A13" s="160"/>
      <c r="B13" s="161"/>
      <c r="C13" s="148"/>
      <c r="D13" s="161"/>
      <c r="E13" s="161"/>
      <c r="F13" s="155"/>
      <c r="G13" s="155"/>
      <c r="H13" s="155"/>
    </row>
    <row r="14" spans="1:8" ht="13.5" customHeight="1">
      <c r="A14" s="160"/>
      <c r="B14" s="161"/>
      <c r="C14" s="148"/>
      <c r="D14" s="161"/>
      <c r="E14" s="161"/>
      <c r="F14" s="155"/>
      <c r="G14" s="155"/>
      <c r="H14" s="155"/>
    </row>
    <row r="15" spans="1:8" ht="13.5" customHeight="1">
      <c r="A15" s="160"/>
      <c r="B15" s="161"/>
      <c r="C15" s="148"/>
      <c r="D15" s="161"/>
      <c r="E15" s="161"/>
      <c r="F15" s="155"/>
      <c r="G15" s="155"/>
      <c r="H15" s="155"/>
    </row>
    <row r="16" spans="1:8" ht="13.5" customHeight="1">
      <c r="A16" s="160"/>
      <c r="B16" s="161"/>
      <c r="C16" s="148"/>
      <c r="D16" s="161"/>
      <c r="E16" s="161"/>
      <c r="F16" s="155"/>
      <c r="G16" s="155"/>
      <c r="H16" s="155"/>
    </row>
    <row r="17" spans="1:8" ht="13.5" customHeight="1">
      <c r="A17" s="160"/>
      <c r="B17" s="161"/>
      <c r="C17" s="148"/>
      <c r="D17" s="161"/>
      <c r="E17" s="161"/>
      <c r="F17" s="155"/>
      <c r="G17" s="155"/>
      <c r="H17" s="155"/>
    </row>
    <row r="18" spans="1:8" ht="13.5" customHeight="1">
      <c r="A18" s="160"/>
      <c r="B18" s="161"/>
      <c r="C18" s="148"/>
      <c r="D18" s="161"/>
      <c r="E18" s="161"/>
      <c r="F18" s="155"/>
      <c r="G18" s="155"/>
      <c r="H18" s="155"/>
    </row>
    <row r="19" spans="1:8" ht="13.5" customHeight="1">
      <c r="A19" s="160"/>
      <c r="B19" s="161"/>
      <c r="C19" s="148"/>
      <c r="D19" s="161"/>
      <c r="E19" s="161"/>
      <c r="F19" s="155"/>
      <c r="G19" s="155"/>
      <c r="H19" s="155"/>
    </row>
    <row r="20" spans="1:8" ht="13.5" customHeight="1">
      <c r="A20" s="160"/>
      <c r="B20" s="161"/>
      <c r="C20" s="148"/>
      <c r="D20" s="161"/>
      <c r="E20" s="161"/>
      <c r="F20" s="155"/>
      <c r="G20" s="155"/>
      <c r="H20" s="155"/>
    </row>
    <row r="21" spans="1:8" ht="13.5" customHeight="1">
      <c r="A21" s="160"/>
      <c r="B21" s="161"/>
      <c r="C21" s="148"/>
      <c r="D21" s="161"/>
      <c r="E21" s="161"/>
      <c r="F21" s="155"/>
      <c r="G21" s="155"/>
      <c r="H21" s="155"/>
    </row>
    <row r="22" spans="1:8" ht="13.5" customHeight="1">
      <c r="A22" s="160"/>
      <c r="B22" s="161"/>
      <c r="C22" s="148"/>
      <c r="D22" s="161"/>
      <c r="E22" s="161"/>
      <c r="F22" s="155"/>
      <c r="G22" s="155"/>
      <c r="H22" s="155"/>
    </row>
    <row r="23" spans="1:8" ht="13.5" customHeight="1">
      <c r="A23" s="160"/>
      <c r="B23" s="161"/>
      <c r="C23" s="148"/>
      <c r="D23" s="161"/>
      <c r="E23" s="161"/>
      <c r="F23" s="155"/>
      <c r="G23" s="155"/>
      <c r="H23" s="155"/>
    </row>
    <row r="24" spans="1:8" ht="13.5" customHeight="1">
      <c r="A24" s="160"/>
      <c r="B24" s="161"/>
      <c r="C24" s="148"/>
      <c r="D24" s="161"/>
      <c r="E24" s="161"/>
      <c r="F24" s="155"/>
      <c r="G24" s="155"/>
      <c r="H24" s="155"/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0"/>
  <sheetViews>
    <sheetView tabSelected="1" view="pageBreakPreview" zoomScaleNormal="100" zoomScaleSheetLayoutView="100" workbookViewId="0">
      <pane ySplit="6" topLeftCell="A7" activePane="bottomLeft" state="frozen"/>
      <selection pane="bottomLeft" activeCell="I15" sqref="I15"/>
    </sheetView>
  </sheetViews>
  <sheetFormatPr defaultRowHeight="13.5" customHeight="1"/>
  <cols>
    <col min="1" max="1" width="7.125" style="24" customWidth="1"/>
    <col min="2" max="5" width="7.125" style="42" customWidth="1"/>
    <col min="6" max="7" width="9" style="76" customWidth="1"/>
    <col min="8" max="9" width="9" style="24" customWidth="1"/>
    <col min="10" max="10" width="7.125" style="42" customWidth="1"/>
    <col min="11" max="12" width="9" style="24" customWidth="1"/>
    <col min="13" max="15" width="9" style="24" hidden="1" customWidth="1"/>
    <col min="16" max="16" width="9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120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7" t="s">
        <v>59</v>
      </c>
      <c r="B4" s="208" t="s">
        <v>69</v>
      </c>
      <c r="C4" s="208"/>
      <c r="D4" s="208"/>
      <c r="E4" s="208"/>
      <c r="F4" s="208"/>
      <c r="G4" s="208"/>
      <c r="H4" s="208"/>
      <c r="I4" s="208"/>
      <c r="J4" s="206" t="s">
        <v>70</v>
      </c>
      <c r="K4" s="206"/>
      <c r="L4" s="206"/>
      <c r="M4" s="206"/>
      <c r="N4" s="206"/>
      <c r="O4" s="206"/>
      <c r="P4" s="206"/>
    </row>
    <row r="5" spans="1:16" ht="13.5" customHeight="1">
      <c r="A5" s="207"/>
      <c r="B5" s="208" t="s">
        <v>67</v>
      </c>
      <c r="C5" s="208" t="s">
        <v>68</v>
      </c>
      <c r="D5" s="209" t="s">
        <v>77</v>
      </c>
      <c r="E5" s="208" t="s">
        <v>144</v>
      </c>
      <c r="F5" s="210" t="s">
        <v>141</v>
      </c>
      <c r="G5" s="210" t="s">
        <v>145</v>
      </c>
      <c r="H5" s="208" t="s">
        <v>146</v>
      </c>
      <c r="I5" s="208" t="s">
        <v>147</v>
      </c>
      <c r="J5" s="206" t="s">
        <v>37</v>
      </c>
      <c r="K5" s="206" t="s">
        <v>35</v>
      </c>
      <c r="L5" s="206"/>
      <c r="M5" s="206"/>
      <c r="N5" s="206" t="s">
        <v>36</v>
      </c>
      <c r="O5" s="206"/>
      <c r="P5" s="206"/>
    </row>
    <row r="6" spans="1:16" ht="13.5" customHeight="1">
      <c r="A6" s="207"/>
      <c r="B6" s="208"/>
      <c r="C6" s="208"/>
      <c r="D6" s="208"/>
      <c r="E6" s="208"/>
      <c r="F6" s="210"/>
      <c r="G6" s="210"/>
      <c r="H6" s="208"/>
      <c r="I6" s="208"/>
      <c r="J6" s="206"/>
      <c r="K6" s="121" t="s">
        <v>124</v>
      </c>
      <c r="L6" s="121" t="s">
        <v>125</v>
      </c>
      <c r="M6" s="121" t="s">
        <v>127</v>
      </c>
      <c r="N6" s="121" t="s">
        <v>124</v>
      </c>
      <c r="O6" s="121" t="s">
        <v>125</v>
      </c>
      <c r="P6" s="121" t="s">
        <v>127</v>
      </c>
    </row>
    <row r="7" spans="1:16" s="165" customFormat="1" ht="13.5" customHeight="1">
      <c r="A7" s="155">
        <v>1</v>
      </c>
      <c r="B7" s="162">
        <v>1</v>
      </c>
      <c r="C7" s="162">
        <v>-22</v>
      </c>
      <c r="D7" s="162" t="s">
        <v>155</v>
      </c>
      <c r="E7" s="162">
        <v>1</v>
      </c>
      <c r="F7" s="160">
        <v>1.7129999999999974</v>
      </c>
      <c r="G7" s="160">
        <v>7.452</v>
      </c>
      <c r="H7" s="163">
        <v>9247.5</v>
      </c>
      <c r="I7" s="163">
        <v>5980.2</v>
      </c>
      <c r="J7" s="162"/>
      <c r="K7" s="164"/>
      <c r="L7" s="164"/>
      <c r="M7" s="155"/>
      <c r="N7" s="155"/>
      <c r="O7" s="155"/>
      <c r="P7" s="155"/>
    </row>
    <row r="8" spans="1:16" s="165" customFormat="1" ht="13.5" customHeight="1">
      <c r="A8" s="155">
        <v>1</v>
      </c>
      <c r="B8" s="162">
        <v>1</v>
      </c>
      <c r="C8" s="162">
        <v>-22</v>
      </c>
      <c r="D8" s="162" t="s">
        <v>155</v>
      </c>
      <c r="E8" s="162">
        <v>1</v>
      </c>
      <c r="F8" s="160">
        <v>-6.3730000000000002</v>
      </c>
      <c r="G8" s="160">
        <v>-6.4249999999999998</v>
      </c>
      <c r="H8" s="163">
        <v>4465.3999999999996</v>
      </c>
      <c r="I8" s="163">
        <v>3986.3</v>
      </c>
      <c r="J8" s="162"/>
      <c r="K8" s="164"/>
      <c r="L8" s="164"/>
      <c r="M8" s="155"/>
      <c r="N8" s="155"/>
      <c r="O8" s="155"/>
      <c r="P8" s="155"/>
    </row>
    <row r="9" spans="1:16" s="165" customFormat="1" ht="13.5" customHeight="1">
      <c r="A9" s="155">
        <v>1</v>
      </c>
      <c r="B9" s="162">
        <v>1</v>
      </c>
      <c r="C9" s="162">
        <v>-22</v>
      </c>
      <c r="D9" s="162" t="s">
        <v>155</v>
      </c>
      <c r="E9" s="162">
        <v>1</v>
      </c>
      <c r="F9" s="160">
        <v>-6.4249999999999998</v>
      </c>
      <c r="G9" s="160">
        <v>-6.3730000000000002</v>
      </c>
      <c r="H9" s="163">
        <v>4465.3999999999996</v>
      </c>
      <c r="I9" s="163">
        <v>5980.2</v>
      </c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1</v>
      </c>
      <c r="B10" s="162">
        <v>1</v>
      </c>
      <c r="C10" s="162">
        <v>-22</v>
      </c>
      <c r="D10" s="162" t="s">
        <v>155</v>
      </c>
      <c r="E10" s="162">
        <v>1</v>
      </c>
      <c r="F10" s="160">
        <v>-6.7389999999999999</v>
      </c>
      <c r="G10" s="160"/>
      <c r="H10" s="163">
        <v>9247.5</v>
      </c>
      <c r="I10" s="163"/>
      <c r="J10" s="162"/>
      <c r="K10" s="164"/>
      <c r="L10" s="164"/>
      <c r="M10" s="155"/>
      <c r="N10" s="155"/>
      <c r="O10" s="155"/>
      <c r="P10" s="155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scale="92" orientation="portrait" horizontalDpi="4294967294" r:id="rId1"/>
  <headerFooter alignWithMargins="0"/>
  <colBreaks count="1" manualBreakCount="1">
    <brk id="12" max="162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C17" sqref="C17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1" t="s">
        <v>39</v>
      </c>
      <c r="C4" s="212"/>
      <c r="D4" s="90" t="s">
        <v>75</v>
      </c>
    </row>
    <row r="5" spans="2:37" ht="14.25" customHeight="1">
      <c r="B5" s="78"/>
      <c r="C5" s="79" t="s">
        <v>40</v>
      </c>
      <c r="D5" s="90" t="s">
        <v>121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1" t="s">
        <v>42</v>
      </c>
      <c r="C7" s="212"/>
      <c r="D7" s="90" t="s">
        <v>75</v>
      </c>
    </row>
    <row r="8" spans="2:37" ht="14.25" customHeight="1">
      <c r="B8" s="78"/>
      <c r="C8" s="79" t="s">
        <v>40</v>
      </c>
      <c r="D8" s="90" t="s">
        <v>121</v>
      </c>
    </row>
    <row r="9" spans="2:37" ht="14.25" customHeight="1">
      <c r="B9" s="80"/>
      <c r="C9" s="81" t="s">
        <v>41</v>
      </c>
      <c r="D9" s="92">
        <v>2</v>
      </c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3"/>
      <c r="AI9" s="213"/>
      <c r="AJ9" s="213"/>
      <c r="AK9" s="213"/>
    </row>
    <row r="10" spans="2:37" ht="14.25" customHeight="1">
      <c r="B10" s="211" t="s">
        <v>81</v>
      </c>
      <c r="C10" s="212"/>
      <c r="D10" s="90" t="s">
        <v>75</v>
      </c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</row>
    <row r="11" spans="2:37" ht="14.25" customHeight="1">
      <c r="B11" s="80"/>
      <c r="C11" s="82" t="s">
        <v>43</v>
      </c>
      <c r="D11" s="90">
        <v>30</v>
      </c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</row>
    <row r="12" spans="2:37" ht="14.25" customHeight="1">
      <c r="D12" s="8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</row>
    <row r="13" spans="2:37" ht="14.25" customHeight="1">
      <c r="B13" s="84" t="s">
        <v>44</v>
      </c>
      <c r="C13" s="85"/>
      <c r="D13" s="86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</row>
    <row r="14" spans="2:37" ht="14.25" customHeight="1">
      <c r="B14" s="87"/>
      <c r="C14" s="88" t="s">
        <v>20</v>
      </c>
      <c r="D14" s="90">
        <v>180</v>
      </c>
      <c r="I14" s="213"/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</row>
    <row r="15" spans="2:37" ht="14.25" customHeight="1">
      <c r="B15" s="87"/>
      <c r="C15" s="88" t="s">
        <v>21</v>
      </c>
      <c r="D15" s="90">
        <v>0</v>
      </c>
      <c r="I15" s="213"/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213"/>
      <c r="W15" s="213"/>
      <c r="X15" s="213"/>
      <c r="Y15" s="213"/>
      <c r="Z15" s="213"/>
      <c r="AA15" s="213"/>
      <c r="AB15" s="213"/>
      <c r="AC15" s="213"/>
      <c r="AD15" s="213"/>
      <c r="AE15" s="213"/>
      <c r="AF15" s="213"/>
      <c r="AG15" s="213"/>
      <c r="AH15" s="213"/>
      <c r="AI15" s="213"/>
      <c r="AJ15" s="213"/>
      <c r="AK15" s="213"/>
    </row>
    <row r="16" spans="2:37" ht="14.25" customHeight="1">
      <c r="B16" s="89"/>
      <c r="C16" s="88" t="s">
        <v>22</v>
      </c>
      <c r="D16" s="90">
        <v>0</v>
      </c>
      <c r="I16" s="213"/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/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/>
    </row>
    <row r="17" spans="3:37" ht="14.25" customHeight="1"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  <c r="AC17" s="213"/>
      <c r="AD17" s="213"/>
      <c r="AE17" s="213"/>
      <c r="AF17" s="213"/>
      <c r="AG17" s="213"/>
      <c r="AH17" s="213"/>
      <c r="AI17" s="213"/>
      <c r="AJ17" s="213"/>
      <c r="AK17" s="213"/>
    </row>
    <row r="18" spans="3:37" ht="14.25" customHeight="1"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  <c r="AC18" s="213"/>
      <c r="AD18" s="213"/>
      <c r="AE18" s="213"/>
      <c r="AF18" s="213"/>
      <c r="AG18" s="213"/>
      <c r="AH18" s="213"/>
      <c r="AI18" s="213"/>
      <c r="AJ18" s="213"/>
      <c r="AK18" s="213"/>
    </row>
    <row r="19" spans="3:37" ht="14.25" customHeight="1"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213"/>
      <c r="AC19" s="213"/>
      <c r="AD19" s="213"/>
      <c r="AE19" s="213"/>
      <c r="AF19" s="213"/>
      <c r="AG19" s="213"/>
      <c r="AH19" s="213"/>
      <c r="AI19" s="213"/>
      <c r="AJ19" s="213"/>
      <c r="AK19" s="213"/>
    </row>
    <row r="20" spans="3:37" ht="14.25" customHeight="1">
      <c r="I20" s="213"/>
      <c r="J20" s="213"/>
      <c r="K20" s="213"/>
      <c r="L20" s="213"/>
      <c r="M20" s="213"/>
      <c r="N20" s="213"/>
      <c r="O20" s="213"/>
      <c r="P20" s="213"/>
      <c r="Q20" s="213"/>
      <c r="R20" s="213"/>
      <c r="S20" s="213"/>
      <c r="T20" s="213"/>
      <c r="U20" s="213"/>
      <c r="V20" s="213"/>
      <c r="W20" s="213"/>
      <c r="X20" s="213"/>
      <c r="Y20" s="213"/>
      <c r="Z20" s="213"/>
      <c r="AA20" s="213"/>
      <c r="AB20" s="213"/>
      <c r="AC20" s="213"/>
      <c r="AD20" s="213"/>
      <c r="AE20" s="213"/>
      <c r="AF20" s="213"/>
      <c r="AG20" s="213"/>
      <c r="AH20" s="213"/>
      <c r="AI20" s="213"/>
      <c r="AJ20" s="213"/>
      <c r="AK20" s="213"/>
    </row>
    <row r="21" spans="3:37" ht="14.25" customHeight="1"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213"/>
      <c r="AA21" s="213"/>
      <c r="AB21" s="213"/>
      <c r="AC21" s="213"/>
      <c r="AD21" s="213"/>
      <c r="AE21" s="213"/>
      <c r="AF21" s="213"/>
      <c r="AG21" s="213"/>
      <c r="AH21" s="213"/>
      <c r="AI21" s="213"/>
      <c r="AJ21" s="213"/>
      <c r="AK21" s="213"/>
    </row>
    <row r="22" spans="3:37" ht="14.25" customHeight="1">
      <c r="I22" s="213"/>
      <c r="J22" s="213"/>
      <c r="K22" s="213"/>
      <c r="L22" s="213"/>
      <c r="M22" s="213"/>
      <c r="N22" s="213"/>
      <c r="O22" s="213"/>
      <c r="P22" s="213"/>
      <c r="Q22" s="213"/>
      <c r="R22" s="213"/>
      <c r="S22" s="213"/>
      <c r="T22" s="213"/>
      <c r="U22" s="213"/>
      <c r="V22" s="213"/>
      <c r="W22" s="213"/>
      <c r="X22" s="213"/>
      <c r="Y22" s="213"/>
      <c r="Z22" s="213"/>
      <c r="AA22" s="213"/>
      <c r="AB22" s="213"/>
      <c r="AC22" s="213"/>
      <c r="AD22" s="213"/>
      <c r="AE22" s="213"/>
      <c r="AF22" s="213"/>
      <c r="AG22" s="213"/>
      <c r="AH22" s="213"/>
      <c r="AI22" s="213"/>
      <c r="AJ22" s="213"/>
      <c r="AK22" s="213"/>
    </row>
    <row r="23" spans="3:37" ht="14.25" customHeight="1">
      <c r="I23" s="213"/>
      <c r="J23" s="213"/>
      <c r="K23" s="213"/>
      <c r="L23" s="213"/>
      <c r="M23" s="213"/>
      <c r="N23" s="213"/>
      <c r="O23" s="213"/>
      <c r="P23" s="213"/>
      <c r="Q23" s="213"/>
      <c r="R23" s="213"/>
      <c r="S23" s="213"/>
      <c r="T23" s="213"/>
      <c r="U23" s="213"/>
      <c r="V23" s="213"/>
      <c r="W23" s="213"/>
      <c r="X23" s="213"/>
      <c r="Y23" s="213"/>
      <c r="Z23" s="213"/>
      <c r="AA23" s="213"/>
      <c r="AB23" s="213"/>
      <c r="AC23" s="213"/>
      <c r="AD23" s="213"/>
      <c r="AE23" s="213"/>
      <c r="AF23" s="213"/>
      <c r="AG23" s="213"/>
      <c r="AH23" s="213"/>
      <c r="AI23" s="213"/>
      <c r="AJ23" s="213"/>
      <c r="AK23" s="213"/>
    </row>
    <row r="24" spans="3:37" ht="14.25" customHeight="1">
      <c r="C24" s="88" t="s">
        <v>59</v>
      </c>
      <c r="D24" s="90">
        <v>1</v>
      </c>
      <c r="I24" s="213"/>
      <c r="J24" s="213"/>
      <c r="K24" s="213"/>
      <c r="L24" s="213"/>
      <c r="M24" s="213"/>
      <c r="N24" s="213"/>
      <c r="O24" s="213"/>
      <c r="P24" s="213"/>
      <c r="Q24" s="213"/>
      <c r="R24" s="213"/>
      <c r="S24" s="213"/>
      <c r="T24" s="213"/>
      <c r="U24" s="213"/>
      <c r="V24" s="213"/>
      <c r="W24" s="213"/>
      <c r="X24" s="213"/>
      <c r="Y24" s="213"/>
      <c r="Z24" s="213"/>
      <c r="AA24" s="213"/>
      <c r="AB24" s="213"/>
      <c r="AC24" s="213"/>
      <c r="AD24" s="213"/>
      <c r="AE24" s="213"/>
      <c r="AF24" s="213"/>
      <c r="AG24" s="213"/>
      <c r="AH24" s="213"/>
      <c r="AI24" s="213"/>
      <c r="AJ24" s="213"/>
      <c r="AK24" s="213"/>
    </row>
    <row r="25" spans="3:37" ht="14.25" customHeight="1"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  <c r="AC25" s="213"/>
      <c r="AD25" s="213"/>
      <c r="AE25" s="213"/>
      <c r="AF25" s="213"/>
      <c r="AG25" s="213"/>
      <c r="AH25" s="213"/>
      <c r="AI25" s="213"/>
      <c r="AJ25" s="213"/>
      <c r="AK25" s="213"/>
    </row>
    <row r="26" spans="3:37" ht="14.25" customHeight="1"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</row>
    <row r="27" spans="3:37" ht="14.25" customHeight="1"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3"/>
      <c r="AI27" s="213"/>
      <c r="AJ27" s="213"/>
      <c r="AK27" s="213"/>
    </row>
    <row r="28" spans="3:37" ht="14.25" customHeight="1">
      <c r="I28" s="213"/>
      <c r="J28" s="213"/>
      <c r="K28" s="213"/>
      <c r="L28" s="213"/>
      <c r="M28" s="213"/>
      <c r="N28" s="213"/>
      <c r="O28" s="213"/>
      <c r="P28" s="213"/>
      <c r="Q28" s="213"/>
      <c r="R28" s="213"/>
      <c r="S28" s="213"/>
      <c r="T28" s="213"/>
      <c r="U28" s="213"/>
      <c r="V28" s="213"/>
      <c r="W28" s="213"/>
      <c r="X28" s="213"/>
      <c r="Y28" s="213"/>
      <c r="Z28" s="213"/>
      <c r="AA28" s="213"/>
      <c r="AB28" s="213"/>
      <c r="AC28" s="213"/>
      <c r="AD28" s="213"/>
      <c r="AE28" s="213"/>
      <c r="AF28" s="213"/>
      <c r="AG28" s="213"/>
      <c r="AH28" s="213"/>
      <c r="AI28" s="213"/>
      <c r="AJ28" s="213"/>
      <c r="AK28" s="213"/>
    </row>
    <row r="29" spans="3:37" ht="14.25" customHeight="1">
      <c r="I29" s="213"/>
      <c r="J29" s="213"/>
      <c r="K29" s="213"/>
      <c r="L29" s="213"/>
      <c r="M29" s="213"/>
      <c r="N29" s="213"/>
      <c r="O29" s="213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13"/>
      <c r="AH29" s="213"/>
      <c r="AI29" s="213"/>
      <c r="AJ29" s="213"/>
      <c r="AK29" s="213"/>
    </row>
    <row r="30" spans="3:37" ht="14.25" customHeight="1">
      <c r="I30" s="213"/>
      <c r="J30" s="213"/>
      <c r="K30" s="213"/>
      <c r="L30" s="213"/>
      <c r="M30" s="213"/>
      <c r="N30" s="213"/>
      <c r="O30" s="213"/>
      <c r="P30" s="213"/>
      <c r="Q30" s="213"/>
      <c r="R30" s="213"/>
      <c r="S30" s="213"/>
      <c r="T30" s="213"/>
      <c r="U30" s="213"/>
      <c r="V30" s="213"/>
      <c r="W30" s="213"/>
      <c r="X30" s="213"/>
      <c r="Y30" s="213"/>
      <c r="Z30" s="213"/>
      <c r="AA30" s="213"/>
      <c r="AB30" s="213"/>
      <c r="AC30" s="213"/>
      <c r="AD30" s="213"/>
      <c r="AE30" s="213"/>
      <c r="AF30" s="213"/>
      <c r="AG30" s="213"/>
      <c r="AH30" s="213"/>
      <c r="AI30" s="213"/>
      <c r="AJ30" s="213"/>
      <c r="AK30" s="213"/>
    </row>
    <row r="31" spans="3:37" ht="14.25" customHeight="1"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</row>
    <row r="32" spans="3:37" ht="14.25" customHeight="1"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6"/>
  <sheetViews>
    <sheetView zoomScale="85" zoomScaleNormal="85" workbookViewId="0">
      <selection activeCell="A5" sqref="A5:M28"/>
    </sheetView>
  </sheetViews>
  <sheetFormatPr defaultRowHeight="16.5" customHeight="1"/>
  <cols>
    <col min="1" max="1" width="9" style="141"/>
    <col min="2" max="16384" width="9" style="142"/>
  </cols>
  <sheetData>
    <row r="1" spans="1:17" s="136" customFormat="1" ht="16.5" customHeight="1">
      <c r="A1" s="135"/>
    </row>
    <row r="2" spans="1:17" s="136" customFormat="1" ht="16.5" customHeight="1">
      <c r="A2" s="137" t="s">
        <v>117</v>
      </c>
    </row>
    <row r="3" spans="1:17" s="139" customFormat="1" ht="16.5" customHeight="1">
      <c r="A3" s="138"/>
    </row>
    <row r="4" spans="1:17" s="95" customFormat="1" ht="16.5" customHeight="1">
      <c r="A4" s="99" t="s">
        <v>148</v>
      </c>
      <c r="B4" s="102" t="s">
        <v>149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22.5" customHeight="1">
      <c r="A5" s="96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22.5" customHeight="1">
      <c r="A6" s="96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22.5" customHeight="1">
      <c r="A7" s="96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22.5" customHeight="1">
      <c r="A8" s="96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22.5" customHeight="1"/>
    <row r="10" spans="1:17" ht="22.5" customHeight="1"/>
    <row r="11" spans="1:17" ht="22.5" customHeight="1"/>
    <row r="12" spans="1:17" ht="22.5" customHeight="1"/>
    <row r="13" spans="1:17" ht="22.5" customHeight="1"/>
    <row r="14" spans="1:17" ht="22.5" customHeight="1"/>
    <row r="15" spans="1:17" ht="22.5" customHeight="1"/>
    <row r="16" spans="1:17" ht="22.5" customHeight="1"/>
    <row r="17" ht="22.5" customHeight="1"/>
    <row r="18" ht="22.5" customHeight="1"/>
    <row r="19" ht="22.5" customHeight="1"/>
    <row r="20" ht="22.5" customHeight="1"/>
    <row r="21" ht="22.5" customHeight="1"/>
    <row r="22" ht="22.5" customHeight="1"/>
    <row r="23" ht="22.5" customHeight="1"/>
    <row r="24" ht="22.5" customHeight="1"/>
    <row r="25" ht="22.5" customHeight="1"/>
    <row r="26" ht="22.5" customHeight="1"/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B5" sqref="B5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118</v>
      </c>
    </row>
    <row r="3" spans="1:22" s="105" customFormat="1" ht="15.75" customHeight="1">
      <c r="A3" s="103"/>
    </row>
    <row r="4" spans="1:22" s="108" customFormat="1" ht="15.75" customHeight="1">
      <c r="A4" s="214" t="s">
        <v>150</v>
      </c>
      <c r="B4" s="107" t="s">
        <v>157</v>
      </c>
    </row>
    <row r="5" spans="1:22" s="104" customFormat="1" ht="15.75" customHeight="1">
      <c r="A5" s="215"/>
      <c r="B5" s="104">
        <v>1</v>
      </c>
    </row>
    <row r="6" spans="1:22" s="145" customFormat="1" ht="15.75" customHeight="1">
      <c r="A6" s="104"/>
      <c r="B6" s="146"/>
      <c r="C6" s="146"/>
      <c r="D6" s="146"/>
      <c r="E6" s="146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</row>
    <row r="7" spans="1:22" s="145" customFormat="1" ht="15.75" customHeight="1">
      <c r="A7" s="104">
        <v>2</v>
      </c>
      <c r="B7" s="146"/>
      <c r="C7" s="146"/>
      <c r="D7" s="146"/>
      <c r="E7" s="146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</row>
    <row r="8" spans="1:22" s="145" customFormat="1" ht="15.75" customHeight="1">
      <c r="A8" s="104">
        <v>3</v>
      </c>
      <c r="B8" s="146"/>
      <c r="C8" s="146"/>
      <c r="D8" s="146"/>
      <c r="E8" s="146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</row>
    <row r="9" spans="1:22" s="145" customFormat="1" ht="15.75" customHeight="1">
      <c r="A9" s="104">
        <v>4</v>
      </c>
      <c r="B9" s="146"/>
      <c r="C9" s="146"/>
      <c r="D9" s="146"/>
      <c r="E9" s="146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</row>
    <row r="10" spans="1:22" s="145" customFormat="1" ht="15.75" customHeight="1">
      <c r="A10" s="104">
        <v>5</v>
      </c>
      <c r="B10" s="146"/>
      <c r="C10" s="146"/>
      <c r="D10" s="146"/>
      <c r="E10" s="146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</row>
    <row r="11" spans="1:22" s="145" customFormat="1" ht="15.75" customHeight="1">
      <c r="A11" s="104">
        <v>6</v>
      </c>
      <c r="B11" s="146"/>
      <c r="C11" s="146"/>
      <c r="D11" s="146"/>
      <c r="E11" s="146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</row>
    <row r="12" spans="1:22" s="145" customFormat="1" ht="15.75" customHeight="1">
      <c r="A12" s="104">
        <v>7</v>
      </c>
      <c r="B12" s="146"/>
      <c r="C12" s="146"/>
      <c r="D12" s="146"/>
      <c r="E12" s="146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</row>
    <row r="13" spans="1:22" s="145" customFormat="1" ht="15.75" customHeight="1">
      <c r="A13" s="104">
        <v>8</v>
      </c>
      <c r="B13" s="143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</row>
    <row r="14" spans="1:22" s="145" customFormat="1" ht="15.75" customHeight="1">
      <c r="A14" s="104">
        <v>9</v>
      </c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</row>
    <row r="15" spans="1:22" s="145" customFormat="1" ht="15.75" customHeight="1">
      <c r="A15" s="104">
        <v>10</v>
      </c>
      <c r="B15" s="143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</row>
    <row r="16" spans="1:22" s="145" customFormat="1" ht="15.75" customHeight="1">
      <c r="A16" s="104">
        <v>11</v>
      </c>
      <c r="B16" s="143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</row>
    <row r="17" spans="1:22" s="145" customFormat="1" ht="15.75" customHeight="1">
      <c r="A17" s="104">
        <v>12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</row>
    <row r="18" spans="1:22" s="145" customFormat="1" ht="15.75" customHeight="1">
      <c r="A18" s="104">
        <v>13</v>
      </c>
      <c r="B18" s="143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</row>
    <row r="19" spans="1:22" s="145" customFormat="1" ht="15.75" customHeight="1">
      <c r="A19" s="104">
        <v>14</v>
      </c>
      <c r="B19" s="143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</row>
    <row r="20" spans="1:22" s="145" customFormat="1" ht="15.75" customHeight="1">
      <c r="A20" s="104">
        <v>15</v>
      </c>
      <c r="B20" s="146"/>
      <c r="C20" s="146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</row>
    <row r="21" spans="1:22" s="145" customFormat="1" ht="15.75" customHeight="1">
      <c r="A21" s="104">
        <v>16</v>
      </c>
      <c r="B21" s="146"/>
      <c r="C21" s="146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</row>
    <row r="22" spans="1:22" s="145" customFormat="1" ht="15.75" customHeight="1">
      <c r="A22" s="104">
        <v>17</v>
      </c>
      <c r="B22" s="146"/>
      <c r="C22" s="146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</row>
    <row r="23" spans="1:22" s="145" customFormat="1" ht="15.75" customHeight="1">
      <c r="A23" s="104">
        <v>18</v>
      </c>
      <c r="B23" s="146"/>
      <c r="C23" s="146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S23" s="143"/>
      <c r="T23" s="143"/>
      <c r="U23" s="143"/>
    </row>
    <row r="24" spans="1:22" s="145" customFormat="1" ht="15.75" customHeight="1">
      <c r="A24" s="104">
        <v>19</v>
      </c>
      <c r="B24" s="146"/>
      <c r="C24" s="146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S24" s="143"/>
      <c r="T24" s="143"/>
      <c r="U24" s="143"/>
    </row>
    <row r="25" spans="1:22" s="145" customFormat="1" ht="15.75" customHeight="1">
      <c r="A25" s="104">
        <v>20</v>
      </c>
      <c r="B25" s="146"/>
      <c r="C25" s="146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S25" s="143"/>
      <c r="T25" s="143"/>
      <c r="U25" s="143"/>
    </row>
    <row r="26" spans="1:22" s="145" customFormat="1" ht="15.75" customHeight="1">
      <c r="A26" s="104">
        <v>21</v>
      </c>
      <c r="B26" s="146"/>
      <c r="C26" s="146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S26" s="143"/>
      <c r="T26" s="143"/>
      <c r="U26" s="143"/>
    </row>
    <row r="27" spans="1:22" s="145" customFormat="1" ht="15.75" customHeight="1">
      <c r="A27" s="104">
        <v>22</v>
      </c>
      <c r="B27" s="146"/>
      <c r="C27" s="146"/>
      <c r="D27" s="143"/>
      <c r="E27" s="143"/>
      <c r="V27" s="143"/>
    </row>
    <row r="28" spans="1:22" s="145" customFormat="1" ht="15.75" customHeight="1">
      <c r="A28" s="104">
        <v>23</v>
      </c>
      <c r="B28" s="143"/>
      <c r="C28" s="143"/>
      <c r="D28" s="143"/>
      <c r="E28" s="143"/>
      <c r="F28" s="143"/>
    </row>
    <row r="29" spans="1:22" s="145" customFormat="1" ht="15.75" customHeight="1">
      <c r="A29" s="104">
        <v>24</v>
      </c>
      <c r="B29" s="143"/>
      <c r="C29" s="143"/>
      <c r="D29" s="143"/>
      <c r="E29" s="143"/>
      <c r="F29" s="143"/>
      <c r="N29" s="143"/>
      <c r="T29" s="143"/>
    </row>
    <row r="30" spans="1:22" s="145" customFormat="1" ht="15.75" customHeight="1">
      <c r="A30" s="104">
        <v>25</v>
      </c>
      <c r="B30" s="143"/>
      <c r="C30" s="143"/>
      <c r="D30" s="143"/>
      <c r="E30" s="143"/>
      <c r="F30" s="143"/>
      <c r="O30" s="143"/>
      <c r="P30" s="143"/>
      <c r="Q30" s="143"/>
      <c r="R30" s="143"/>
      <c r="T30" s="143"/>
    </row>
    <row r="31" spans="1:22" s="145" customFormat="1" ht="15.75" customHeight="1">
      <c r="A31" s="104">
        <v>26</v>
      </c>
      <c r="B31" s="143"/>
      <c r="C31" s="143"/>
      <c r="D31" s="143"/>
      <c r="E31" s="143"/>
      <c r="F31" s="143"/>
      <c r="O31" s="143"/>
      <c r="P31" s="143"/>
      <c r="Q31" s="143"/>
      <c r="R31" s="143"/>
      <c r="T31" s="143"/>
    </row>
    <row r="32" spans="1:22" s="145" customFormat="1" ht="15.75" customHeight="1">
      <c r="A32" s="104">
        <v>27</v>
      </c>
      <c r="B32" s="143"/>
      <c r="C32" s="143"/>
      <c r="D32" s="143"/>
      <c r="E32" s="143"/>
      <c r="F32" s="143"/>
      <c r="O32" s="143"/>
      <c r="P32" s="143"/>
      <c r="Q32" s="143"/>
      <c r="R32" s="143"/>
      <c r="T32" s="143"/>
    </row>
    <row r="33" spans="1:21" s="145" customFormat="1" ht="15.75" customHeight="1">
      <c r="A33" s="104">
        <v>28</v>
      </c>
      <c r="B33" s="143"/>
      <c r="C33" s="143"/>
      <c r="D33" s="143"/>
      <c r="E33" s="143"/>
      <c r="F33" s="143"/>
      <c r="O33" s="143"/>
      <c r="P33" s="143"/>
      <c r="Q33" s="143"/>
      <c r="R33" s="143"/>
      <c r="T33" s="143"/>
    </row>
    <row r="34" spans="1:21" s="145" customFormat="1" ht="15.75" customHeight="1">
      <c r="A34" s="104">
        <v>29</v>
      </c>
      <c r="B34" s="143"/>
      <c r="C34" s="143"/>
      <c r="D34" s="143"/>
      <c r="E34" s="143"/>
      <c r="F34" s="143"/>
      <c r="O34" s="143"/>
      <c r="P34" s="143"/>
      <c r="Q34" s="143"/>
      <c r="R34" s="143"/>
      <c r="T34" s="143"/>
    </row>
    <row r="35" spans="1:21" s="145" customFormat="1" ht="15.75" customHeight="1">
      <c r="A35" s="104">
        <v>30</v>
      </c>
      <c r="B35" s="143"/>
      <c r="C35" s="143"/>
      <c r="D35" s="143"/>
      <c r="E35" s="143"/>
      <c r="F35" s="143"/>
      <c r="O35" s="143"/>
      <c r="P35" s="143"/>
      <c r="Q35" s="143"/>
      <c r="R35" s="143"/>
      <c r="T35" s="143"/>
    </row>
    <row r="36" spans="1:21" s="145" customFormat="1" ht="15.75" customHeight="1">
      <c r="A36" s="104">
        <v>31</v>
      </c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</row>
    <row r="37" spans="1:21" s="145" customFormat="1" ht="15.75" customHeight="1">
      <c r="A37" s="104">
        <v>32</v>
      </c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</row>
    <row r="38" spans="1:21" s="145" customFormat="1" ht="15.75" customHeight="1">
      <c r="A38" s="104">
        <v>33</v>
      </c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</row>
    <row r="39" spans="1:21" s="145" customFormat="1" ht="15.75" customHeight="1">
      <c r="A39" s="104">
        <v>34</v>
      </c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</row>
    <row r="40" spans="1:21" s="145" customFormat="1" ht="15.75" customHeight="1">
      <c r="A40" s="104">
        <v>35</v>
      </c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</row>
    <row r="41" spans="1:21" s="145" customFormat="1" ht="15.75" customHeight="1">
      <c r="A41" s="104">
        <v>36</v>
      </c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</row>
    <row r="42" spans="1:21" s="145" customFormat="1" ht="15.75" customHeight="1">
      <c r="A42" s="104">
        <v>37</v>
      </c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zoomScale="85" zoomScaleNormal="85" workbookViewId="0">
      <selection activeCell="V18" sqref="V18"/>
    </sheetView>
  </sheetViews>
  <sheetFormatPr defaultRowHeight="16.5" customHeight="1"/>
  <cols>
    <col min="1" max="1" width="9" style="141"/>
    <col min="2" max="16384" width="9" style="142"/>
  </cols>
  <sheetData>
    <row r="1" spans="1:40" s="136" customFormat="1" ht="16.5" customHeight="1">
      <c r="A1" s="135"/>
    </row>
    <row r="2" spans="1:40" s="136" customFormat="1" ht="16.5" customHeight="1">
      <c r="A2" s="137" t="s">
        <v>119</v>
      </c>
    </row>
    <row r="3" spans="1:40" s="139" customFormat="1" ht="16.5" customHeight="1">
      <c r="A3" s="138"/>
    </row>
    <row r="4" spans="1:40" s="95" customFormat="1" ht="16.5" customHeight="1">
      <c r="A4" s="99" t="s">
        <v>151</v>
      </c>
      <c r="B4" s="102" t="s">
        <v>149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22.5" customHeight="1">
      <c r="A5" s="96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22.5" customHeight="1">
      <c r="A6" s="96">
        <v>2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22.5" customHeight="1">
      <c r="A7" s="96">
        <v>3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40" ht="22.5" customHeight="1">
      <c r="A8" s="141">
        <v>4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J234"/>
  <sheetViews>
    <sheetView zoomScale="85" zoomScaleNormal="85" workbookViewId="0">
      <selection activeCell="G29" sqref="G29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5">
      <c r="B6" s="25" t="s">
        <v>159</v>
      </c>
      <c r="C6" s="25" t="s">
        <v>160</v>
      </c>
      <c r="D6" s="25" t="s">
        <v>161</v>
      </c>
      <c r="E6" s="25" t="s">
        <v>162</v>
      </c>
    </row>
    <row r="7" spans="2:5">
      <c r="B7" s="25">
        <v>1</v>
      </c>
      <c r="C7" s="25">
        <v>1</v>
      </c>
      <c r="D7" s="25" t="s">
        <v>153</v>
      </c>
      <c r="E7" s="25" t="s">
        <v>158</v>
      </c>
    </row>
    <row r="9" spans="2:5">
      <c r="B9" s="25" t="s">
        <v>163</v>
      </c>
      <c r="C9" s="25">
        <v>37</v>
      </c>
    </row>
    <row r="11" spans="2:5">
      <c r="B11" s="25" t="s">
        <v>164</v>
      </c>
    </row>
    <row r="12" spans="2:5">
      <c r="C12" s="25" t="s">
        <v>112</v>
      </c>
      <c r="D12" s="25" t="s">
        <v>113</v>
      </c>
      <c r="E12" s="25" t="s">
        <v>165</v>
      </c>
    </row>
    <row r="13" spans="2:5">
      <c r="B13" s="25">
        <v>1</v>
      </c>
      <c r="C13" s="25">
        <v>-21.25</v>
      </c>
      <c r="D13" s="25">
        <v>-7.35</v>
      </c>
      <c r="E13" s="25">
        <v>0</v>
      </c>
    </row>
    <row r="14" spans="2:5">
      <c r="B14" s="25">
        <v>2</v>
      </c>
      <c r="C14" s="25">
        <v>-19.684999999999999</v>
      </c>
      <c r="D14" s="25">
        <v>-7.35</v>
      </c>
      <c r="E14" s="25">
        <v>0</v>
      </c>
    </row>
    <row r="15" spans="2:5">
      <c r="B15" s="25">
        <v>3</v>
      </c>
      <c r="C15" s="25">
        <v>-19.41</v>
      </c>
      <c r="D15" s="25">
        <v>-7.35</v>
      </c>
      <c r="E15" s="25">
        <v>0</v>
      </c>
    </row>
    <row r="16" spans="2:5">
      <c r="B16" s="25">
        <v>4</v>
      </c>
      <c r="C16" s="25">
        <v>-19.135000000000002</v>
      </c>
      <c r="D16" s="25">
        <v>-7.35</v>
      </c>
      <c r="E16" s="25">
        <v>0</v>
      </c>
    </row>
    <row r="17" spans="2:5">
      <c r="B17" s="25">
        <v>5</v>
      </c>
      <c r="C17" s="25">
        <v>-13.215</v>
      </c>
      <c r="D17" s="25">
        <v>-7.35</v>
      </c>
      <c r="E17" s="25">
        <v>0</v>
      </c>
    </row>
    <row r="18" spans="2:5">
      <c r="B18" s="25">
        <v>6</v>
      </c>
      <c r="C18" s="25">
        <v>-12.94</v>
      </c>
      <c r="D18" s="25">
        <v>-7.35</v>
      </c>
      <c r="E18" s="25">
        <v>0</v>
      </c>
    </row>
    <row r="19" spans="2:5">
      <c r="B19" s="25">
        <v>7</v>
      </c>
      <c r="C19" s="25">
        <v>-12.664999999999999</v>
      </c>
      <c r="D19" s="25">
        <v>-7.35</v>
      </c>
      <c r="E19" s="25">
        <v>0</v>
      </c>
    </row>
    <row r="20" spans="2:5">
      <c r="B20" s="25">
        <v>8</v>
      </c>
      <c r="C20" s="25">
        <v>-6.7450000000000001</v>
      </c>
      <c r="D20" s="25">
        <v>-7.35</v>
      </c>
      <c r="E20" s="25">
        <v>0</v>
      </c>
    </row>
    <row r="21" spans="2:5">
      <c r="B21" s="25">
        <v>9</v>
      </c>
      <c r="C21" s="25">
        <v>-6.47</v>
      </c>
      <c r="D21" s="25">
        <v>-7.35</v>
      </c>
      <c r="E21" s="25">
        <v>0</v>
      </c>
    </row>
    <row r="22" spans="2:5">
      <c r="B22" s="25">
        <v>10</v>
      </c>
      <c r="C22" s="25">
        <v>-6.1950000000000003</v>
      </c>
      <c r="D22" s="25">
        <v>-7.35</v>
      </c>
      <c r="E22" s="25">
        <v>0</v>
      </c>
    </row>
    <row r="23" spans="2:5">
      <c r="B23" s="25">
        <v>11</v>
      </c>
      <c r="C23" s="25">
        <v>-0.27500000000000002</v>
      </c>
      <c r="D23" s="25">
        <v>-7.35</v>
      </c>
      <c r="E23" s="25">
        <v>0</v>
      </c>
    </row>
    <row r="24" spans="2:5">
      <c r="B24" s="25">
        <v>12</v>
      </c>
      <c r="C24" s="25">
        <v>0</v>
      </c>
      <c r="D24" s="25">
        <v>-7.35</v>
      </c>
      <c r="E24" s="25">
        <v>0</v>
      </c>
    </row>
    <row r="25" spans="2:5">
      <c r="B25" s="25">
        <v>13</v>
      </c>
      <c r="C25" s="25">
        <v>0.27500000000000002</v>
      </c>
      <c r="D25" s="25">
        <v>-7.35</v>
      </c>
      <c r="E25" s="25">
        <v>0</v>
      </c>
    </row>
    <row r="26" spans="2:5">
      <c r="B26" s="25">
        <v>14</v>
      </c>
      <c r="C26" s="25">
        <v>6.1950000000000003</v>
      </c>
      <c r="D26" s="25">
        <v>-7.35</v>
      </c>
      <c r="E26" s="25">
        <v>0</v>
      </c>
    </row>
    <row r="27" spans="2:5">
      <c r="B27" s="25">
        <v>15</v>
      </c>
      <c r="C27" s="25">
        <v>6.47</v>
      </c>
      <c r="D27" s="25">
        <v>-7.35</v>
      </c>
      <c r="E27" s="25">
        <v>0</v>
      </c>
    </row>
    <row r="28" spans="2:5">
      <c r="B28" s="25">
        <v>16</v>
      </c>
      <c r="C28" s="25">
        <v>6.7450000000000001</v>
      </c>
      <c r="D28" s="25">
        <v>-7.35</v>
      </c>
      <c r="E28" s="25">
        <v>0</v>
      </c>
    </row>
    <row r="29" spans="2:5">
      <c r="B29" s="25">
        <v>17</v>
      </c>
      <c r="C29" s="25">
        <v>12.664999999999999</v>
      </c>
      <c r="D29" s="25">
        <v>-7.35</v>
      </c>
      <c r="E29" s="25">
        <v>0</v>
      </c>
    </row>
    <row r="30" spans="2:5">
      <c r="B30" s="25">
        <v>18</v>
      </c>
      <c r="C30" s="25">
        <v>12.94</v>
      </c>
      <c r="D30" s="25">
        <v>-7.35</v>
      </c>
      <c r="E30" s="25">
        <v>0</v>
      </c>
    </row>
    <row r="31" spans="2:5">
      <c r="B31" s="25">
        <v>19</v>
      </c>
      <c r="C31" s="25">
        <v>13.215</v>
      </c>
      <c r="D31" s="25">
        <v>-7.35</v>
      </c>
      <c r="E31" s="25">
        <v>0</v>
      </c>
    </row>
    <row r="32" spans="2:5">
      <c r="B32" s="25">
        <v>20</v>
      </c>
      <c r="C32" s="25">
        <v>19.135000000000002</v>
      </c>
      <c r="D32" s="25">
        <v>-7.35</v>
      </c>
      <c r="E32" s="25">
        <v>0</v>
      </c>
    </row>
    <row r="33" spans="2:5">
      <c r="B33" s="25">
        <v>21</v>
      </c>
      <c r="C33" s="25">
        <v>19.41</v>
      </c>
      <c r="D33" s="25">
        <v>-7.35</v>
      </c>
      <c r="E33" s="25">
        <v>0</v>
      </c>
    </row>
    <row r="34" spans="2:5">
      <c r="B34" s="25">
        <v>22</v>
      </c>
      <c r="C34" s="25">
        <v>19.684999999999999</v>
      </c>
      <c r="D34" s="25">
        <v>-7.35</v>
      </c>
      <c r="E34" s="25">
        <v>0</v>
      </c>
    </row>
    <row r="35" spans="2:5">
      <c r="B35" s="25">
        <v>23</v>
      </c>
      <c r="C35" s="25">
        <v>21.25</v>
      </c>
      <c r="D35" s="25">
        <v>-7.35</v>
      </c>
      <c r="E35" s="25">
        <v>0</v>
      </c>
    </row>
    <row r="36" spans="2:5">
      <c r="B36" s="25">
        <v>24</v>
      </c>
      <c r="C36" s="25">
        <v>-19.41</v>
      </c>
      <c r="D36" s="25">
        <v>-6.1749999999999998</v>
      </c>
      <c r="E36" s="25">
        <v>0</v>
      </c>
    </row>
    <row r="37" spans="2:5">
      <c r="B37" s="25">
        <v>25</v>
      </c>
      <c r="C37" s="25">
        <v>-12.94</v>
      </c>
      <c r="D37" s="25">
        <v>-6.1749999999999998</v>
      </c>
      <c r="E37" s="25">
        <v>0</v>
      </c>
    </row>
    <row r="38" spans="2:5">
      <c r="B38" s="25">
        <v>26</v>
      </c>
      <c r="C38" s="25">
        <v>-6.47</v>
      </c>
      <c r="D38" s="25">
        <v>-6.1749999999999998</v>
      </c>
      <c r="E38" s="25">
        <v>0</v>
      </c>
    </row>
    <row r="39" spans="2:5">
      <c r="B39" s="25">
        <v>27</v>
      </c>
      <c r="C39" s="25">
        <v>0</v>
      </c>
      <c r="D39" s="25">
        <v>-6.1749999999999998</v>
      </c>
      <c r="E39" s="25">
        <v>0</v>
      </c>
    </row>
    <row r="40" spans="2:5">
      <c r="B40" s="25">
        <v>28</v>
      </c>
      <c r="C40" s="25">
        <v>6.47</v>
      </c>
      <c r="D40" s="25">
        <v>-6.1749999999999998</v>
      </c>
      <c r="E40" s="25">
        <v>0</v>
      </c>
    </row>
    <row r="41" spans="2:5">
      <c r="B41" s="25">
        <v>29</v>
      </c>
      <c r="C41" s="25">
        <v>12.94</v>
      </c>
      <c r="D41" s="25">
        <v>-6.1749999999999998</v>
      </c>
      <c r="E41" s="25">
        <v>0</v>
      </c>
    </row>
    <row r="42" spans="2:5">
      <c r="B42" s="25">
        <v>30</v>
      </c>
      <c r="C42" s="25">
        <v>19.41</v>
      </c>
      <c r="D42" s="25">
        <v>-6.1749999999999998</v>
      </c>
      <c r="E42" s="25">
        <v>0</v>
      </c>
    </row>
    <row r="43" spans="2:5">
      <c r="B43" s="25">
        <v>31</v>
      </c>
      <c r="C43" s="25">
        <v>-19.41</v>
      </c>
      <c r="D43" s="25">
        <v>0</v>
      </c>
      <c r="E43" s="25">
        <v>0</v>
      </c>
    </row>
    <row r="44" spans="2:5">
      <c r="B44" s="25">
        <v>32</v>
      </c>
      <c r="C44" s="25">
        <v>-12.94</v>
      </c>
      <c r="D44" s="25">
        <v>0</v>
      </c>
      <c r="E44" s="25">
        <v>0</v>
      </c>
    </row>
    <row r="45" spans="2:5">
      <c r="B45" s="25">
        <v>33</v>
      </c>
      <c r="C45" s="25">
        <v>-6.47</v>
      </c>
      <c r="D45" s="25">
        <v>0</v>
      </c>
      <c r="E45" s="25">
        <v>0</v>
      </c>
    </row>
    <row r="46" spans="2:5">
      <c r="B46" s="25">
        <v>34</v>
      </c>
      <c r="C46" s="25">
        <v>0</v>
      </c>
      <c r="D46" s="25">
        <v>0</v>
      </c>
      <c r="E46" s="25">
        <v>0</v>
      </c>
    </row>
    <row r="47" spans="2:5">
      <c r="B47" s="25">
        <v>35</v>
      </c>
      <c r="C47" s="25">
        <v>6.47</v>
      </c>
      <c r="D47" s="25">
        <v>0</v>
      </c>
      <c r="E47" s="25">
        <v>0</v>
      </c>
    </row>
    <row r="48" spans="2:5">
      <c r="B48" s="25">
        <v>36</v>
      </c>
      <c r="C48" s="25">
        <v>12.94</v>
      </c>
      <c r="D48" s="25">
        <v>0</v>
      </c>
      <c r="E48" s="25">
        <v>0</v>
      </c>
    </row>
    <row r="49" spans="2:8">
      <c r="B49" s="25">
        <v>37</v>
      </c>
      <c r="C49" s="25">
        <v>19.41</v>
      </c>
      <c r="D49" s="25">
        <v>0</v>
      </c>
      <c r="E49" s="25">
        <v>0</v>
      </c>
    </row>
    <row r="52" spans="2:8">
      <c r="B52" s="25" t="s">
        <v>166</v>
      </c>
    </row>
    <row r="53" spans="2:8">
      <c r="C53" s="25" t="s">
        <v>112</v>
      </c>
      <c r="D53" s="25" t="s">
        <v>113</v>
      </c>
      <c r="E53" s="25" t="s">
        <v>165</v>
      </c>
      <c r="F53" s="25" t="s">
        <v>167</v>
      </c>
      <c r="G53" s="25" t="s">
        <v>168</v>
      </c>
      <c r="H53" s="25" t="s">
        <v>114</v>
      </c>
    </row>
    <row r="54" spans="2:8">
      <c r="B54" s="25">
        <v>1</v>
      </c>
      <c r="C54" s="25">
        <v>-3.0977604183135554E-5</v>
      </c>
      <c r="D54" s="25">
        <v>3.3641859772615135E-4</v>
      </c>
      <c r="E54" s="25">
        <v>0</v>
      </c>
      <c r="F54" s="25">
        <v>0</v>
      </c>
      <c r="G54" s="25">
        <v>0</v>
      </c>
      <c r="H54" s="25">
        <v>-6.3254628912545741E-6</v>
      </c>
    </row>
    <row r="55" spans="2:8">
      <c r="B55" s="25">
        <v>2</v>
      </c>
      <c r="C55" s="25">
        <v>-3.0977604183135554E-5</v>
      </c>
      <c r="D55" s="25">
        <v>3.265192499384284E-4</v>
      </c>
      <c r="E55" s="25">
        <v>0</v>
      </c>
      <c r="F55" s="25">
        <v>0</v>
      </c>
      <c r="G55" s="25">
        <v>0</v>
      </c>
      <c r="H55" s="25">
        <v>-6.3254628912545741E-6</v>
      </c>
    </row>
    <row r="56" spans="2:8">
      <c r="B56" s="25">
        <v>3</v>
      </c>
      <c r="C56" s="25">
        <v>-3.0977604183135554E-5</v>
      </c>
      <c r="D56" s="25">
        <v>3.2477983040735126E-4</v>
      </c>
      <c r="E56" s="25">
        <v>0</v>
      </c>
      <c r="F56" s="25">
        <v>0</v>
      </c>
      <c r="G56" s="25">
        <v>0</v>
      </c>
      <c r="H56" s="25">
        <v>-6.323332399915671E-6</v>
      </c>
    </row>
    <row r="57" spans="2:8">
      <c r="B57" s="25">
        <v>4</v>
      </c>
      <c r="C57" s="25">
        <v>-3.0977800633991137E-5</v>
      </c>
      <c r="D57" s="25">
        <v>3.2304116757586598E-4</v>
      </c>
      <c r="E57" s="25">
        <v>0</v>
      </c>
      <c r="F57" s="25">
        <v>0</v>
      </c>
      <c r="G57" s="25">
        <v>0</v>
      </c>
      <c r="H57" s="25">
        <v>-6.3252559812099207E-6</v>
      </c>
    </row>
    <row r="58" spans="2:8">
      <c r="B58" s="25">
        <v>5</v>
      </c>
      <c r="C58" s="25">
        <v>-3.1164679967332631E-5</v>
      </c>
      <c r="D58" s="25">
        <v>2.2080729831941426E-4</v>
      </c>
      <c r="E58" s="25">
        <v>0</v>
      </c>
      <c r="F58" s="25">
        <v>0</v>
      </c>
      <c r="G58" s="25">
        <v>0</v>
      </c>
      <c r="H58" s="25">
        <v>-1.6974528989521787E-5</v>
      </c>
    </row>
    <row r="59" spans="2:8">
      <c r="B59" s="25">
        <v>6</v>
      </c>
      <c r="C59" s="25">
        <v>-3.1164876418188214E-5</v>
      </c>
      <c r="D59" s="25">
        <v>2.1614332217723131E-4</v>
      </c>
      <c r="E59" s="25">
        <v>0</v>
      </c>
      <c r="F59" s="25">
        <v>0</v>
      </c>
      <c r="G59" s="25">
        <v>0</v>
      </c>
      <c r="H59" s="25">
        <v>-1.6944624803727493E-5</v>
      </c>
    </row>
    <row r="60" spans="2:8">
      <c r="B60" s="25">
        <v>7</v>
      </c>
      <c r="C60" s="25">
        <v>-3.116306834272109E-5</v>
      </c>
      <c r="D60" s="25">
        <v>2.1148528321646154E-4</v>
      </c>
      <c r="E60" s="25">
        <v>0</v>
      </c>
      <c r="F60" s="25">
        <v>0</v>
      </c>
      <c r="G60" s="25">
        <v>0</v>
      </c>
      <c r="H60" s="25">
        <v>-1.6936051906668581E-5</v>
      </c>
    </row>
    <row r="61" spans="2:8">
      <c r="B61" s="25">
        <v>8</v>
      </c>
      <c r="C61" s="25">
        <v>-2.9452397939166985E-5</v>
      </c>
      <c r="D61" s="25">
        <v>6.4285493863280863E-5</v>
      </c>
      <c r="E61" s="25">
        <v>0</v>
      </c>
      <c r="F61" s="25">
        <v>0</v>
      </c>
      <c r="G61" s="25">
        <v>0</v>
      </c>
      <c r="H61" s="25">
        <v>-1.6814012269605882E-5</v>
      </c>
    </row>
    <row r="62" spans="2:8">
      <c r="B62" s="25">
        <v>9</v>
      </c>
      <c r="C62" s="25">
        <v>-2.9450589863699861E-5</v>
      </c>
      <c r="D62" s="25">
        <v>5.9669688198482618E-5</v>
      </c>
      <c r="E62" s="25">
        <v>0</v>
      </c>
      <c r="F62" s="25">
        <v>0</v>
      </c>
      <c r="G62" s="25">
        <v>0</v>
      </c>
      <c r="H62" s="25">
        <v>-1.6754545868025161E-5</v>
      </c>
    </row>
    <row r="63" spans="2:8">
      <c r="B63" s="25">
        <v>10</v>
      </c>
      <c r="C63" s="25">
        <v>-2.944673178717494E-5</v>
      </c>
      <c r="D63" s="25">
        <v>5.5069082009140402E-5</v>
      </c>
      <c r="E63" s="25">
        <v>0</v>
      </c>
      <c r="F63" s="25">
        <v>0</v>
      </c>
      <c r="G63" s="25">
        <v>0</v>
      </c>
      <c r="H63" s="25">
        <v>-1.6704771041986533E-5</v>
      </c>
    </row>
    <row r="64" spans="2:8">
      <c r="B64" s="25">
        <v>11</v>
      </c>
      <c r="C64" s="25">
        <v>-2.5796663976507261E-5</v>
      </c>
      <c r="D64" s="25">
        <v>4.6195596951292828E-5</v>
      </c>
      <c r="E64" s="25">
        <v>0</v>
      </c>
      <c r="F64" s="25">
        <v>0</v>
      </c>
      <c r="G64" s="25">
        <v>0</v>
      </c>
      <c r="H64" s="25">
        <v>6.3559982663718984E-6</v>
      </c>
    </row>
    <row r="65" spans="2:8">
      <c r="B65" s="25">
        <v>12</v>
      </c>
      <c r="C65" s="25">
        <v>-2.5792805899982341E-5</v>
      </c>
      <c r="D65" s="25">
        <v>4.7943547542672604E-5</v>
      </c>
      <c r="E65" s="25">
        <v>0</v>
      </c>
      <c r="F65" s="25">
        <v>0</v>
      </c>
      <c r="G65" s="25">
        <v>0</v>
      </c>
      <c r="H65" s="25">
        <v>6.3559805312252138E-6</v>
      </c>
    </row>
    <row r="66" spans="2:8">
      <c r="B66" s="25">
        <v>13</v>
      </c>
      <c r="C66" s="25">
        <v>-2.5791532607399859E-5</v>
      </c>
      <c r="D66" s="25">
        <v>4.969254950992763E-5</v>
      </c>
      <c r="E66" s="25">
        <v>0</v>
      </c>
      <c r="F66" s="25">
        <v>0</v>
      </c>
      <c r="G66" s="25">
        <v>0</v>
      </c>
      <c r="H66" s="25">
        <v>6.36265258435742E-6</v>
      </c>
    </row>
    <row r="67" spans="2:8">
      <c r="B67" s="25">
        <v>14</v>
      </c>
      <c r="C67" s="25">
        <v>-2.4587161533418112E-5</v>
      </c>
      <c r="D67" s="25">
        <v>6.2984705436974764E-5</v>
      </c>
      <c r="E67" s="25">
        <v>0</v>
      </c>
      <c r="F67" s="25">
        <v>0</v>
      </c>
      <c r="G67" s="25">
        <v>0</v>
      </c>
      <c r="H67" s="25">
        <v>-1.6493426073793671E-6</v>
      </c>
    </row>
    <row r="68" spans="2:8">
      <c r="B68" s="25">
        <v>15</v>
      </c>
      <c r="C68" s="25">
        <v>-2.4585890059825033E-5</v>
      </c>
      <c r="D68" s="25">
        <v>6.2530190916731954E-5</v>
      </c>
      <c r="E68" s="25">
        <v>0</v>
      </c>
      <c r="F68" s="25">
        <v>0</v>
      </c>
      <c r="G68" s="25">
        <v>0</v>
      </c>
      <c r="H68" s="25">
        <v>-1.6562113387408317E-6</v>
      </c>
    </row>
    <row r="69" spans="2:8">
      <c r="B69" s="25">
        <v>16</v>
      </c>
      <c r="C69" s="25">
        <v>-2.4585473511251621E-5</v>
      </c>
      <c r="D69" s="25">
        <v>6.2073908338788897E-5</v>
      </c>
      <c r="E69" s="25">
        <v>0</v>
      </c>
      <c r="F69" s="25">
        <v>0</v>
      </c>
      <c r="G69" s="25">
        <v>0</v>
      </c>
      <c r="H69" s="25">
        <v>-1.6635267456877045E-6</v>
      </c>
    </row>
    <row r="70" spans="2:8">
      <c r="B70" s="25">
        <v>17</v>
      </c>
      <c r="C70" s="25">
        <v>-2.4192038836190477E-5</v>
      </c>
      <c r="D70" s="25">
        <v>2.047705311269965E-5</v>
      </c>
      <c r="E70" s="25">
        <v>0</v>
      </c>
      <c r="F70" s="25">
        <v>0</v>
      </c>
      <c r="G70" s="25">
        <v>0</v>
      </c>
      <c r="H70" s="25">
        <v>-6.9285301833588164E-6</v>
      </c>
    </row>
    <row r="71" spans="2:8">
      <c r="B71" s="25">
        <v>18</v>
      </c>
      <c r="C71" s="25">
        <v>-2.4191622287617065E-5</v>
      </c>
      <c r="D71" s="25">
        <v>1.857355709944386E-5</v>
      </c>
      <c r="E71" s="25">
        <v>0</v>
      </c>
      <c r="F71" s="25">
        <v>0</v>
      </c>
      <c r="G71" s="25">
        <v>0</v>
      </c>
      <c r="H71" s="25">
        <v>-6.9147858994256239E-6</v>
      </c>
    </row>
    <row r="72" spans="2:8">
      <c r="B72" s="25">
        <v>19</v>
      </c>
      <c r="C72" s="25">
        <v>-2.4190949261537753E-5</v>
      </c>
      <c r="D72" s="25">
        <v>1.6673673599143513E-5</v>
      </c>
      <c r="E72" s="25">
        <v>0</v>
      </c>
      <c r="F72" s="25">
        <v>0</v>
      </c>
      <c r="G72" s="25">
        <v>0</v>
      </c>
      <c r="H72" s="25">
        <v>-6.9026500568725169E-6</v>
      </c>
    </row>
    <row r="73" spans="2:8">
      <c r="B73" s="25">
        <v>20</v>
      </c>
      <c r="C73" s="25">
        <v>-2.3553926439490169E-5</v>
      </c>
      <c r="D73" s="25">
        <v>-4.2874576138274278E-6</v>
      </c>
      <c r="E73" s="25">
        <v>0</v>
      </c>
      <c r="F73" s="25">
        <v>0</v>
      </c>
      <c r="G73" s="25">
        <v>0</v>
      </c>
      <c r="H73" s="25">
        <v>-2.2941294446354732E-6</v>
      </c>
    </row>
    <row r="74" spans="2:8">
      <c r="B74" s="25">
        <v>21</v>
      </c>
      <c r="C74" s="25">
        <v>-2.3553253413410857E-5</v>
      </c>
      <c r="D74" s="25">
        <v>-4.9186301112058572E-6</v>
      </c>
      <c r="E74" s="25">
        <v>0</v>
      </c>
      <c r="F74" s="25">
        <v>0</v>
      </c>
      <c r="G74" s="25">
        <v>0</v>
      </c>
      <c r="H74" s="25">
        <v>-2.2963217816140968E-6</v>
      </c>
    </row>
    <row r="75" spans="2:8">
      <c r="B75" s="25">
        <v>22</v>
      </c>
      <c r="C75" s="25">
        <v>-2.3553253413410857E-5</v>
      </c>
      <c r="D75" s="25">
        <v>-5.5501186579931527E-6</v>
      </c>
      <c r="E75" s="25">
        <v>0</v>
      </c>
      <c r="F75" s="25">
        <v>0</v>
      </c>
      <c r="G75" s="25">
        <v>0</v>
      </c>
      <c r="H75" s="25">
        <v>-2.2963217816140968E-6</v>
      </c>
    </row>
    <row r="76" spans="2:8">
      <c r="B76" s="25">
        <v>23</v>
      </c>
      <c r="C76" s="25">
        <v>-2.3553253413410857E-5</v>
      </c>
      <c r="D76" s="25">
        <v>-9.1438623712747358E-6</v>
      </c>
      <c r="E76" s="25">
        <v>0</v>
      </c>
      <c r="F76" s="25">
        <v>0</v>
      </c>
      <c r="G76" s="25">
        <v>0</v>
      </c>
      <c r="H76" s="25">
        <v>-2.2963217816140968E-6</v>
      </c>
    </row>
    <row r="77" spans="2:8">
      <c r="B77" s="25">
        <v>24</v>
      </c>
      <c r="C77" s="25">
        <v>-2.3548240278614685E-5</v>
      </c>
      <c r="D77" s="25">
        <v>3.2412729342468083E-4</v>
      </c>
      <c r="E77" s="25">
        <v>0</v>
      </c>
      <c r="F77" s="25">
        <v>0</v>
      </c>
      <c r="G77" s="25">
        <v>0</v>
      </c>
      <c r="H77" s="25">
        <v>-6.3222250901162624E-6</v>
      </c>
    </row>
    <row r="78" spans="2:8">
      <c r="B78" s="25">
        <v>25</v>
      </c>
      <c r="C78" s="25">
        <v>-1.1281037586741149E-5</v>
      </c>
      <c r="D78" s="25">
        <v>2.1570906392298639E-4</v>
      </c>
      <c r="E78" s="25">
        <v>0</v>
      </c>
      <c r="F78" s="25">
        <v>0</v>
      </c>
      <c r="G78" s="25">
        <v>0</v>
      </c>
      <c r="H78" s="25">
        <v>-1.6901887647691183E-5</v>
      </c>
    </row>
    <row r="79" spans="2:8">
      <c r="B79" s="25">
        <v>26</v>
      </c>
      <c r="C79" s="25">
        <v>-9.7904476206167601E-6</v>
      </c>
      <c r="D79" s="25">
        <v>5.9549802244873717E-5</v>
      </c>
      <c r="E79" s="25">
        <v>0</v>
      </c>
      <c r="F79" s="25">
        <v>0</v>
      </c>
      <c r="G79" s="25">
        <v>0</v>
      </c>
      <c r="H79" s="25">
        <v>-1.6711241187294945E-5</v>
      </c>
    </row>
    <row r="80" spans="2:8">
      <c r="B80" s="25">
        <v>27</v>
      </c>
      <c r="C80" s="25">
        <v>-3.3233500289497897E-5</v>
      </c>
      <c r="D80" s="25">
        <v>4.784722113981843E-5</v>
      </c>
      <c r="E80" s="25">
        <v>0</v>
      </c>
      <c r="F80" s="25">
        <v>0</v>
      </c>
      <c r="G80" s="25">
        <v>0</v>
      </c>
      <c r="H80" s="25">
        <v>6.3111951931205112E-6</v>
      </c>
    </row>
    <row r="81" spans="2:8">
      <c r="B81" s="25">
        <v>28</v>
      </c>
      <c r="C81" s="25">
        <v>-2.2632166292169131E-5</v>
      </c>
      <c r="D81" s="25">
        <v>6.2404556956607848E-5</v>
      </c>
      <c r="E81" s="25">
        <v>0</v>
      </c>
      <c r="F81" s="25">
        <v>0</v>
      </c>
      <c r="G81" s="25">
        <v>0</v>
      </c>
      <c r="H81" s="25">
        <v>-1.6685575019437238E-6</v>
      </c>
    </row>
    <row r="82" spans="2:8">
      <c r="B82" s="25">
        <v>29</v>
      </c>
      <c r="C82" s="25">
        <v>-1.607195008546114E-5</v>
      </c>
      <c r="D82" s="25">
        <v>1.8536238712840714E-5</v>
      </c>
      <c r="E82" s="25">
        <v>0</v>
      </c>
      <c r="F82" s="25">
        <v>0</v>
      </c>
      <c r="G82" s="25">
        <v>0</v>
      </c>
      <c r="H82" s="25">
        <v>-6.9061470640008338E-6</v>
      </c>
    </row>
    <row r="83" spans="2:8">
      <c r="B83" s="25">
        <v>30</v>
      </c>
      <c r="C83" s="25">
        <v>-2.0849434804404154E-5</v>
      </c>
      <c r="D83" s="25">
        <v>-4.9087479965237435E-6</v>
      </c>
      <c r="E83" s="25">
        <v>0</v>
      </c>
      <c r="F83" s="25">
        <v>0</v>
      </c>
      <c r="G83" s="25">
        <v>0</v>
      </c>
      <c r="H83" s="25">
        <v>-2.3053580662235618E-6</v>
      </c>
    </row>
    <row r="84" spans="2: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</row>
    <row r="85" spans="2: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</row>
    <row r="86" spans="2: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</row>
    <row r="87" spans="2: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</row>
    <row r="88" spans="2: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</row>
    <row r="89" spans="2: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</row>
    <row r="90" spans="2: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</row>
    <row r="93" spans="2:8">
      <c r="B93" s="25" t="s">
        <v>169</v>
      </c>
    </row>
    <row r="94" spans="2:8">
      <c r="C94" s="25" t="s">
        <v>170</v>
      </c>
      <c r="D94" s="25" t="s">
        <v>171</v>
      </c>
      <c r="E94" s="25" t="s">
        <v>172</v>
      </c>
      <c r="F94" s="25" t="s">
        <v>173</v>
      </c>
      <c r="G94" s="25" t="s">
        <v>174</v>
      </c>
      <c r="H94" s="25" t="s">
        <v>175</v>
      </c>
    </row>
    <row r="95" spans="2:8">
      <c r="B95" s="25">
        <v>31</v>
      </c>
      <c r="C95" s="25">
        <v>-25.135650634765625</v>
      </c>
      <c r="D95" s="25">
        <v>19437.140625</v>
      </c>
      <c r="E95" s="25">
        <v>0</v>
      </c>
      <c r="F95" s="25">
        <v>0</v>
      </c>
      <c r="G95" s="25">
        <v>0</v>
      </c>
      <c r="H95" s="25">
        <v>-202.95603942871094</v>
      </c>
    </row>
    <row r="96" spans="2:8">
      <c r="B96" s="25">
        <v>32</v>
      </c>
      <c r="C96" s="25">
        <v>255.22402954101563</v>
      </c>
      <c r="D96" s="25">
        <v>12935.556640625</v>
      </c>
      <c r="E96" s="25">
        <v>0</v>
      </c>
      <c r="F96" s="25">
        <v>0</v>
      </c>
      <c r="G96" s="25">
        <v>0</v>
      </c>
      <c r="H96" s="25">
        <v>452.893310546875</v>
      </c>
    </row>
    <row r="97" spans="2:8">
      <c r="B97" s="25">
        <v>33</v>
      </c>
      <c r="C97" s="25">
        <v>260.85202026367188</v>
      </c>
      <c r="D97" s="25">
        <v>3571.0595703125</v>
      </c>
      <c r="E97" s="25">
        <v>0</v>
      </c>
      <c r="F97" s="25">
        <v>0</v>
      </c>
      <c r="G97" s="25">
        <v>0</v>
      </c>
      <c r="H97" s="25">
        <v>474.04959106445312</v>
      </c>
    </row>
    <row r="98" spans="2:8">
      <c r="B98" s="25">
        <v>34</v>
      </c>
      <c r="C98" s="25">
        <v>-328.950439453125</v>
      </c>
      <c r="D98" s="25">
        <v>2869.283447265625</v>
      </c>
      <c r="E98" s="25">
        <v>0</v>
      </c>
      <c r="F98" s="25">
        <v>0</v>
      </c>
      <c r="G98" s="25">
        <v>0</v>
      </c>
      <c r="H98" s="25">
        <v>-890.50347900390625</v>
      </c>
    </row>
    <row r="99" spans="2:8">
      <c r="B99" s="25">
        <v>35</v>
      </c>
      <c r="C99" s="25">
        <v>-109.07228851318359</v>
      </c>
      <c r="D99" s="25">
        <v>3742.252197265625</v>
      </c>
      <c r="E99" s="25">
        <v>0</v>
      </c>
      <c r="F99" s="25">
        <v>0</v>
      </c>
      <c r="G99" s="25">
        <v>0</v>
      </c>
      <c r="H99" s="25">
        <v>-369.8428955078125</v>
      </c>
    </row>
    <row r="100" spans="2:8">
      <c r="B100" s="25">
        <v>36</v>
      </c>
      <c r="C100" s="25">
        <v>32.763053894042969</v>
      </c>
      <c r="D100" s="25">
        <v>1111.573974609375</v>
      </c>
      <c r="E100" s="25">
        <v>0</v>
      </c>
      <c r="F100" s="25">
        <v>0</v>
      </c>
      <c r="G100" s="25">
        <v>0</v>
      </c>
      <c r="H100" s="25">
        <v>-35.771102905273438</v>
      </c>
    </row>
    <row r="101" spans="2:8">
      <c r="B101" s="25">
        <v>37</v>
      </c>
      <c r="C101" s="25">
        <v>-85.680732727050781</v>
      </c>
      <c r="D101" s="25">
        <v>-294.36590576171875</v>
      </c>
      <c r="E101" s="25">
        <v>0</v>
      </c>
      <c r="F101" s="25">
        <v>0</v>
      </c>
      <c r="G101" s="25">
        <v>0</v>
      </c>
      <c r="H101" s="25">
        <v>-310.2471923828125</v>
      </c>
    </row>
    <row r="134" spans="2:10">
      <c r="B134" s="25" t="s">
        <v>176</v>
      </c>
      <c r="C134" s="25">
        <v>36</v>
      </c>
    </row>
    <row r="136" spans="2:10">
      <c r="B136" s="25" t="s">
        <v>177</v>
      </c>
    </row>
    <row r="137" spans="2:10">
      <c r="C137" s="25" t="s">
        <v>178</v>
      </c>
      <c r="D137" s="25" t="s">
        <v>115</v>
      </c>
      <c r="E137" s="25" t="s">
        <v>179</v>
      </c>
      <c r="F137" s="25" t="s">
        <v>180</v>
      </c>
      <c r="G137" s="25" t="s">
        <v>181</v>
      </c>
      <c r="H137" s="25" t="s">
        <v>173</v>
      </c>
      <c r="I137" s="25" t="s">
        <v>174</v>
      </c>
      <c r="J137" s="25" t="s">
        <v>175</v>
      </c>
    </row>
    <row r="138" spans="2:10">
      <c r="B138" s="25">
        <v>1</v>
      </c>
      <c r="C138" s="25">
        <v>1</v>
      </c>
      <c r="D138" s="25">
        <v>0</v>
      </c>
      <c r="E138" s="25">
        <v>0</v>
      </c>
      <c r="F138" s="25">
        <v>-1.1641532182693481E-10</v>
      </c>
      <c r="G138" s="25">
        <v>0</v>
      </c>
      <c r="H138" s="25">
        <v>0</v>
      </c>
      <c r="I138" s="25">
        <v>0</v>
      </c>
      <c r="J138" s="25">
        <v>1.1641532182693481E-10</v>
      </c>
    </row>
    <row r="139" spans="2:10">
      <c r="C139" s="25">
        <v>2</v>
      </c>
      <c r="D139" s="25">
        <v>1.565000057220459</v>
      </c>
      <c r="E139" s="25">
        <v>0</v>
      </c>
      <c r="F139" s="25">
        <v>-1.1641532182693481E-10</v>
      </c>
      <c r="G139" s="25">
        <v>0</v>
      </c>
      <c r="H139" s="25">
        <v>0</v>
      </c>
      <c r="I139" s="25">
        <v>0</v>
      </c>
      <c r="J139" s="25">
        <v>0</v>
      </c>
    </row>
    <row r="140" spans="2:10">
      <c r="B140" s="25">
        <v>2</v>
      </c>
      <c r="C140" s="25">
        <v>2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25">
        <v>0</v>
      </c>
      <c r="J140" s="25">
        <v>-1.430511474609375E-6</v>
      </c>
    </row>
    <row r="141" spans="2:10">
      <c r="C141" s="25">
        <v>3</v>
      </c>
      <c r="D141" s="25">
        <v>0.27500000596046448</v>
      </c>
      <c r="E141" s="25">
        <v>-3.7066638469696045E-7</v>
      </c>
      <c r="F141" s="25">
        <v>-9247.5</v>
      </c>
      <c r="G141" s="25">
        <v>0</v>
      </c>
      <c r="H141" s="25">
        <v>0</v>
      </c>
      <c r="I141" s="25">
        <v>0</v>
      </c>
      <c r="J141" s="25">
        <v>-1174.4324951171875</v>
      </c>
    </row>
    <row r="142" spans="2:10">
      <c r="B142" s="25">
        <v>3</v>
      </c>
      <c r="C142" s="25">
        <v>3</v>
      </c>
      <c r="D142" s="25">
        <v>0</v>
      </c>
      <c r="E142" s="25">
        <v>-25.135650634765625</v>
      </c>
      <c r="F142" s="25">
        <v>10189.6396484375</v>
      </c>
      <c r="G142" s="25">
        <v>0</v>
      </c>
      <c r="H142" s="25">
        <v>0</v>
      </c>
      <c r="I142" s="25">
        <v>0</v>
      </c>
      <c r="J142" s="25">
        <v>-1156.2235107421875</v>
      </c>
    </row>
    <row r="143" spans="2:10">
      <c r="C143" s="25">
        <v>4</v>
      </c>
      <c r="D143" s="25">
        <v>0.27500000596046448</v>
      </c>
      <c r="E143" s="25">
        <v>-25.135650634765625</v>
      </c>
      <c r="F143" s="25">
        <v>10189.6396484375</v>
      </c>
      <c r="G143" s="25">
        <v>0</v>
      </c>
      <c r="H143" s="25">
        <v>0</v>
      </c>
      <c r="I143" s="25">
        <v>0</v>
      </c>
      <c r="J143" s="25">
        <v>1645.927490234375</v>
      </c>
    </row>
    <row r="144" spans="2:10">
      <c r="B144" s="25">
        <v>4</v>
      </c>
      <c r="C144" s="25">
        <v>4</v>
      </c>
      <c r="D144" s="25">
        <v>0</v>
      </c>
      <c r="E144" s="25">
        <v>-25.135650634765625</v>
      </c>
      <c r="F144" s="25">
        <v>10189.6396484375</v>
      </c>
      <c r="G144" s="25">
        <v>0</v>
      </c>
      <c r="H144" s="25">
        <v>0</v>
      </c>
      <c r="I144" s="25">
        <v>0</v>
      </c>
      <c r="J144" s="25">
        <v>1645.927490234375</v>
      </c>
    </row>
    <row r="145" spans="2:10">
      <c r="D145" s="25">
        <v>0.875</v>
      </c>
      <c r="E145" s="25">
        <v>-25.135650634765625</v>
      </c>
      <c r="F145" s="25">
        <v>-1770.76025390625</v>
      </c>
      <c r="G145" s="25">
        <v>0</v>
      </c>
      <c r="H145" s="25">
        <v>0</v>
      </c>
      <c r="I145" s="25">
        <v>0</v>
      </c>
      <c r="J145" s="25">
        <v>5371.048828125</v>
      </c>
    </row>
    <row r="146" spans="2:10">
      <c r="D146" s="25">
        <v>2.9600000381469727</v>
      </c>
      <c r="E146" s="25">
        <v>-25.135650634765625</v>
      </c>
      <c r="F146" s="25">
        <v>-1770.76025390625</v>
      </c>
      <c r="G146" s="25">
        <v>0</v>
      </c>
      <c r="H146" s="25">
        <v>0</v>
      </c>
      <c r="I146" s="25">
        <v>0</v>
      </c>
      <c r="J146" s="25">
        <v>1679.0135498046875</v>
      </c>
    </row>
    <row r="147" spans="2:10">
      <c r="D147" s="25">
        <v>5.0450000762939453</v>
      </c>
      <c r="E147" s="25">
        <v>-25.135650634765625</v>
      </c>
      <c r="F147" s="25">
        <v>-1770.76025390625</v>
      </c>
      <c r="G147" s="25">
        <v>0</v>
      </c>
      <c r="H147" s="25">
        <v>0</v>
      </c>
      <c r="I147" s="25">
        <v>0</v>
      </c>
      <c r="J147" s="25">
        <v>-2013.021484375</v>
      </c>
    </row>
    <row r="148" spans="2:10">
      <c r="C148" s="25">
        <v>5</v>
      </c>
      <c r="D148" s="25">
        <v>5.9200000762939453</v>
      </c>
      <c r="E148" s="25">
        <v>-25.135652542114258</v>
      </c>
      <c r="F148" s="25">
        <v>-1770.76025390625</v>
      </c>
      <c r="G148" s="25">
        <v>0</v>
      </c>
      <c r="H148" s="25">
        <v>0</v>
      </c>
      <c r="I148" s="25">
        <v>0</v>
      </c>
      <c r="J148" s="25">
        <v>-3562.436767578125</v>
      </c>
    </row>
    <row r="149" spans="2:10">
      <c r="B149" s="25">
        <v>5</v>
      </c>
      <c r="C149" s="25">
        <v>5</v>
      </c>
      <c r="D149" s="25">
        <v>0</v>
      </c>
      <c r="E149" s="25">
        <v>-25.135652542114258</v>
      </c>
      <c r="F149" s="25">
        <v>-1770.76025390625</v>
      </c>
      <c r="G149" s="25">
        <v>0</v>
      </c>
      <c r="H149" s="25">
        <v>0</v>
      </c>
      <c r="I149" s="25">
        <v>0</v>
      </c>
      <c r="J149" s="25">
        <v>-3562.436767578125</v>
      </c>
    </row>
    <row r="150" spans="2:10">
      <c r="C150" s="25">
        <v>6</v>
      </c>
      <c r="D150" s="25">
        <v>0.27500000596046448</v>
      </c>
      <c r="E150" s="25">
        <v>-25.135652542114258</v>
      </c>
      <c r="F150" s="25">
        <v>-1770.76025390625</v>
      </c>
      <c r="G150" s="25">
        <v>0</v>
      </c>
      <c r="H150" s="25">
        <v>0</v>
      </c>
      <c r="I150" s="25">
        <v>0</v>
      </c>
      <c r="J150" s="25">
        <v>-4049.395751953125</v>
      </c>
    </row>
    <row r="151" spans="2:10">
      <c r="B151" s="25">
        <v>6</v>
      </c>
      <c r="C151" s="25">
        <v>6</v>
      </c>
      <c r="D151" s="25">
        <v>0</v>
      </c>
      <c r="E151" s="25">
        <v>230.08837890625</v>
      </c>
      <c r="F151" s="25">
        <v>11164.796875</v>
      </c>
      <c r="G151" s="25">
        <v>0</v>
      </c>
      <c r="H151" s="25">
        <v>0</v>
      </c>
      <c r="I151" s="25">
        <v>0</v>
      </c>
      <c r="J151" s="25">
        <v>-2626.392333984375</v>
      </c>
    </row>
    <row r="152" spans="2:10">
      <c r="C152" s="25">
        <v>7</v>
      </c>
      <c r="D152" s="25">
        <v>0.27500000596046448</v>
      </c>
      <c r="E152" s="25">
        <v>230.08837890625</v>
      </c>
      <c r="F152" s="25">
        <v>11164.796875</v>
      </c>
      <c r="G152" s="25">
        <v>0</v>
      </c>
      <c r="H152" s="25">
        <v>0</v>
      </c>
      <c r="I152" s="25">
        <v>0</v>
      </c>
      <c r="J152" s="25">
        <v>443.92669677734375</v>
      </c>
    </row>
    <row r="153" spans="2:10">
      <c r="B153" s="25">
        <v>7</v>
      </c>
      <c r="C153" s="25">
        <v>7</v>
      </c>
      <c r="D153" s="25">
        <v>0</v>
      </c>
      <c r="E153" s="25">
        <v>230.08837890625</v>
      </c>
      <c r="F153" s="25">
        <v>11164.796875</v>
      </c>
      <c r="G153" s="25">
        <v>0</v>
      </c>
      <c r="H153" s="25">
        <v>0</v>
      </c>
      <c r="I153" s="25">
        <v>0</v>
      </c>
      <c r="J153" s="25">
        <v>443.92669677734375</v>
      </c>
    </row>
    <row r="154" spans="2:10">
      <c r="D154" s="25">
        <v>0.875</v>
      </c>
      <c r="E154" s="25">
        <v>230.08837890625</v>
      </c>
      <c r="F154" s="25">
        <v>-2548.103271484375</v>
      </c>
      <c r="G154" s="25">
        <v>0</v>
      </c>
      <c r="H154" s="25">
        <v>0</v>
      </c>
      <c r="I154" s="25">
        <v>0</v>
      </c>
      <c r="J154" s="25">
        <v>5637.1005859375</v>
      </c>
    </row>
    <row r="155" spans="2:10">
      <c r="D155" s="25">
        <v>2.9600000381469727</v>
      </c>
      <c r="E155" s="25">
        <v>230.08837890625</v>
      </c>
      <c r="F155" s="25">
        <v>-2548.103271484375</v>
      </c>
      <c r="G155" s="25">
        <v>0</v>
      </c>
      <c r="H155" s="25">
        <v>0</v>
      </c>
      <c r="I155" s="25">
        <v>0</v>
      </c>
      <c r="J155" s="25">
        <v>324.30569458007813</v>
      </c>
    </row>
    <row r="156" spans="2:10">
      <c r="D156" s="25">
        <v>5.0450000762939453</v>
      </c>
      <c r="E156" s="25">
        <v>230.08837890625</v>
      </c>
      <c r="F156" s="25">
        <v>-2548.103271484375</v>
      </c>
      <c r="G156" s="25">
        <v>0</v>
      </c>
      <c r="H156" s="25">
        <v>0</v>
      </c>
      <c r="I156" s="25">
        <v>0</v>
      </c>
      <c r="J156" s="25">
        <v>-4988.4892578125</v>
      </c>
    </row>
    <row r="157" spans="2:10">
      <c r="C157" s="25">
        <v>8</v>
      </c>
      <c r="D157" s="25">
        <v>5.9200000762939453</v>
      </c>
      <c r="E157" s="25">
        <v>230.08837890625</v>
      </c>
      <c r="F157" s="25">
        <v>-2548.103271484375</v>
      </c>
      <c r="G157" s="25">
        <v>0</v>
      </c>
      <c r="H157" s="25">
        <v>0</v>
      </c>
      <c r="I157" s="25">
        <v>0</v>
      </c>
      <c r="J157" s="25">
        <v>-7218.07958984375</v>
      </c>
    </row>
    <row r="158" spans="2:10">
      <c r="B158" s="25">
        <v>8</v>
      </c>
      <c r="C158" s="25">
        <v>8</v>
      </c>
      <c r="D158" s="25">
        <v>0</v>
      </c>
      <c r="E158" s="25">
        <v>230.08837890625</v>
      </c>
      <c r="F158" s="25">
        <v>-2548.103271484375</v>
      </c>
      <c r="G158" s="25">
        <v>0</v>
      </c>
      <c r="H158" s="25">
        <v>0</v>
      </c>
      <c r="I158" s="25">
        <v>0</v>
      </c>
      <c r="J158" s="25">
        <v>-7218.07958984375</v>
      </c>
    </row>
    <row r="159" spans="2:10">
      <c r="C159" s="25">
        <v>9</v>
      </c>
      <c r="D159" s="25">
        <v>0.27500000596046448</v>
      </c>
      <c r="E159" s="25">
        <v>230.08837890625</v>
      </c>
      <c r="F159" s="25">
        <v>-2548.103271484375</v>
      </c>
      <c r="G159" s="25">
        <v>0</v>
      </c>
      <c r="H159" s="25">
        <v>0</v>
      </c>
      <c r="I159" s="25">
        <v>0</v>
      </c>
      <c r="J159" s="25">
        <v>-7918.80810546875</v>
      </c>
    </row>
    <row r="160" spans="2:10">
      <c r="B160" s="25">
        <v>9</v>
      </c>
      <c r="C160" s="25">
        <v>9</v>
      </c>
      <c r="D160" s="25">
        <v>0</v>
      </c>
      <c r="E160" s="25">
        <v>490.94039916992187</v>
      </c>
      <c r="F160" s="25">
        <v>1022.956298828125</v>
      </c>
      <c r="G160" s="25">
        <v>0</v>
      </c>
      <c r="H160" s="25">
        <v>0</v>
      </c>
      <c r="I160" s="25">
        <v>0</v>
      </c>
      <c r="J160" s="25">
        <v>-6475.59521484375</v>
      </c>
    </row>
    <row r="161" spans="2:10">
      <c r="C161" s="25">
        <v>10</v>
      </c>
      <c r="D161" s="25">
        <v>0.27500000596046448</v>
      </c>
      <c r="E161" s="25">
        <v>490.94039916992187</v>
      </c>
      <c r="F161" s="25">
        <v>1022.956298828125</v>
      </c>
      <c r="G161" s="25">
        <v>0</v>
      </c>
      <c r="H161" s="25">
        <v>0</v>
      </c>
      <c r="I161" s="25">
        <v>0</v>
      </c>
      <c r="J161" s="25">
        <v>-6194.2822265625</v>
      </c>
    </row>
    <row r="162" spans="2:10">
      <c r="B162" s="25">
        <v>10</v>
      </c>
      <c r="C162" s="25">
        <v>10</v>
      </c>
      <c r="D162" s="25">
        <v>0</v>
      </c>
      <c r="E162" s="25">
        <v>490.94039916992187</v>
      </c>
      <c r="F162" s="25">
        <v>1022.956298828125</v>
      </c>
      <c r="G162" s="25">
        <v>0</v>
      </c>
      <c r="H162" s="25">
        <v>0</v>
      </c>
      <c r="I162" s="25">
        <v>0</v>
      </c>
      <c r="J162" s="25">
        <v>-6194.2822265625</v>
      </c>
    </row>
    <row r="163" spans="2:10">
      <c r="D163" s="25">
        <v>0.875</v>
      </c>
      <c r="E163" s="25">
        <v>490.94039916992187</v>
      </c>
      <c r="F163" s="25">
        <v>1022.956298828125</v>
      </c>
      <c r="G163" s="25">
        <v>0</v>
      </c>
      <c r="H163" s="25">
        <v>0</v>
      </c>
      <c r="I163" s="25">
        <v>0</v>
      </c>
      <c r="J163" s="25">
        <v>-5299.19580078125</v>
      </c>
    </row>
    <row r="164" spans="2:10">
      <c r="D164" s="25">
        <v>2.9600000381469727</v>
      </c>
      <c r="E164" s="25">
        <v>490.94039916992187</v>
      </c>
      <c r="F164" s="25">
        <v>1022.956298828125</v>
      </c>
      <c r="G164" s="25">
        <v>0</v>
      </c>
      <c r="H164" s="25">
        <v>0</v>
      </c>
      <c r="I164" s="25">
        <v>0</v>
      </c>
      <c r="J164" s="25">
        <v>-3166.331787109375</v>
      </c>
    </row>
    <row r="165" spans="2:10">
      <c r="D165" s="25">
        <v>5.0450000762939453</v>
      </c>
      <c r="E165" s="25">
        <v>490.94039916992187</v>
      </c>
      <c r="F165" s="25">
        <v>1022.956298828125</v>
      </c>
      <c r="G165" s="25">
        <v>0</v>
      </c>
      <c r="H165" s="25">
        <v>0</v>
      </c>
      <c r="I165" s="25">
        <v>0</v>
      </c>
      <c r="J165" s="25">
        <v>-1033.4678955078125</v>
      </c>
    </row>
    <row r="166" spans="2:10">
      <c r="C166" s="25">
        <v>11</v>
      </c>
      <c r="D166" s="25">
        <v>5.9200000762939453</v>
      </c>
      <c r="E166" s="25">
        <v>490.94039916992187</v>
      </c>
      <c r="F166" s="25">
        <v>1022.956298828125</v>
      </c>
      <c r="G166" s="25">
        <v>0</v>
      </c>
      <c r="H166" s="25">
        <v>0</v>
      </c>
      <c r="I166" s="25">
        <v>0</v>
      </c>
      <c r="J166" s="25">
        <v>-138.38117980957031</v>
      </c>
    </row>
    <row r="167" spans="2:10">
      <c r="B167" s="25">
        <v>11</v>
      </c>
      <c r="C167" s="25">
        <v>11</v>
      </c>
      <c r="D167" s="25">
        <v>0</v>
      </c>
      <c r="E167" s="25">
        <v>490.94039916992187</v>
      </c>
      <c r="F167" s="25">
        <v>1022.956298828125</v>
      </c>
      <c r="G167" s="25">
        <v>0</v>
      </c>
      <c r="H167" s="25">
        <v>0</v>
      </c>
      <c r="I167" s="25">
        <v>0</v>
      </c>
      <c r="J167" s="25">
        <v>-138.38117980957031</v>
      </c>
    </row>
    <row r="168" spans="2:10">
      <c r="C168" s="25">
        <v>12</v>
      </c>
      <c r="D168" s="25">
        <v>0.27500000596046448</v>
      </c>
      <c r="E168" s="25">
        <v>490.94039916992187</v>
      </c>
      <c r="F168" s="25">
        <v>1022.956298828125</v>
      </c>
      <c r="G168" s="25">
        <v>0</v>
      </c>
      <c r="H168" s="25">
        <v>0</v>
      </c>
      <c r="I168" s="25">
        <v>0</v>
      </c>
      <c r="J168" s="25">
        <v>142.93179321289062</v>
      </c>
    </row>
    <row r="169" spans="2:10">
      <c r="B169" s="25">
        <v>12</v>
      </c>
      <c r="C169" s="25">
        <v>12</v>
      </c>
      <c r="D169" s="25">
        <v>0</v>
      </c>
      <c r="E169" s="25">
        <v>161.98995971679687</v>
      </c>
      <c r="F169" s="25">
        <v>3892.23974609375</v>
      </c>
      <c r="G169" s="25">
        <v>0</v>
      </c>
      <c r="H169" s="25">
        <v>0</v>
      </c>
      <c r="I169" s="25">
        <v>0</v>
      </c>
      <c r="J169" s="25">
        <v>-1384.3504638671875</v>
      </c>
    </row>
    <row r="170" spans="2:10">
      <c r="C170" s="25">
        <v>13</v>
      </c>
      <c r="D170" s="25">
        <v>0.27500000596046448</v>
      </c>
      <c r="E170" s="25">
        <v>161.98995971679687</v>
      </c>
      <c r="F170" s="25">
        <v>3892.23974609375</v>
      </c>
      <c r="G170" s="25">
        <v>0</v>
      </c>
      <c r="H170" s="25">
        <v>0</v>
      </c>
      <c r="I170" s="25">
        <v>0</v>
      </c>
      <c r="J170" s="25">
        <v>-313.98452758789062</v>
      </c>
    </row>
    <row r="171" spans="2:10">
      <c r="B171" s="25">
        <v>13</v>
      </c>
      <c r="C171" s="25">
        <v>13</v>
      </c>
      <c r="D171" s="25">
        <v>0</v>
      </c>
      <c r="E171" s="25">
        <v>161.98995971679687</v>
      </c>
      <c r="F171" s="25">
        <v>3892.23974609375</v>
      </c>
      <c r="G171" s="25">
        <v>0</v>
      </c>
      <c r="H171" s="25">
        <v>0</v>
      </c>
      <c r="I171" s="25">
        <v>0</v>
      </c>
      <c r="J171" s="25">
        <v>-313.98452758789062</v>
      </c>
    </row>
    <row r="172" spans="2:10">
      <c r="D172" s="25">
        <v>0.875</v>
      </c>
      <c r="E172" s="25">
        <v>161.98995971679687</v>
      </c>
      <c r="F172" s="25">
        <v>-94.060218811035156</v>
      </c>
      <c r="G172" s="25">
        <v>0</v>
      </c>
      <c r="H172" s="25">
        <v>0</v>
      </c>
      <c r="I172" s="25">
        <v>0</v>
      </c>
      <c r="J172" s="25">
        <v>1361.6710205078125</v>
      </c>
    </row>
    <row r="173" spans="2:10">
      <c r="D173" s="25">
        <v>2.9600000381469727</v>
      </c>
      <c r="E173" s="25">
        <v>161.98995971679687</v>
      </c>
      <c r="F173" s="25">
        <v>-94.060218811035156</v>
      </c>
      <c r="G173" s="25">
        <v>0</v>
      </c>
      <c r="H173" s="25">
        <v>0</v>
      </c>
      <c r="I173" s="25">
        <v>0</v>
      </c>
      <c r="J173" s="25">
        <v>1165.5555419921875</v>
      </c>
    </row>
    <row r="174" spans="2:10">
      <c r="D174" s="25">
        <v>5.0450000762939453</v>
      </c>
      <c r="E174" s="25">
        <v>161.98995971679687</v>
      </c>
      <c r="F174" s="25">
        <v>-94.060218811035156</v>
      </c>
      <c r="G174" s="25">
        <v>0</v>
      </c>
      <c r="H174" s="25">
        <v>0</v>
      </c>
      <c r="I174" s="25">
        <v>0</v>
      </c>
      <c r="J174" s="25">
        <v>969.43994140625</v>
      </c>
    </row>
    <row r="175" spans="2:10">
      <c r="C175" s="25">
        <v>14</v>
      </c>
      <c r="D175" s="25">
        <v>5.9200000762939453</v>
      </c>
      <c r="E175" s="25">
        <v>161.98995971679687</v>
      </c>
      <c r="F175" s="25">
        <v>-94.060218811035156</v>
      </c>
      <c r="G175" s="25">
        <v>0</v>
      </c>
      <c r="H175" s="25">
        <v>0</v>
      </c>
      <c r="I175" s="25">
        <v>0</v>
      </c>
      <c r="J175" s="25">
        <v>887.13726806640625</v>
      </c>
    </row>
    <row r="176" spans="2:10">
      <c r="B176" s="25">
        <v>14</v>
      </c>
      <c r="C176" s="25">
        <v>14</v>
      </c>
      <c r="D176" s="25">
        <v>0</v>
      </c>
      <c r="E176" s="25">
        <v>161.98995971679687</v>
      </c>
      <c r="F176" s="25">
        <v>-94.060218811035156</v>
      </c>
      <c r="G176" s="25">
        <v>0</v>
      </c>
      <c r="H176" s="25">
        <v>0</v>
      </c>
      <c r="I176" s="25">
        <v>0</v>
      </c>
      <c r="J176" s="25">
        <v>887.13726806640625</v>
      </c>
    </row>
    <row r="177" spans="2:10">
      <c r="C177" s="25">
        <v>15</v>
      </c>
      <c r="D177" s="25">
        <v>0.27500000596046448</v>
      </c>
      <c r="E177" s="25">
        <v>161.98995971679687</v>
      </c>
      <c r="F177" s="25">
        <v>-94.060218811035156</v>
      </c>
      <c r="G177" s="25">
        <v>0</v>
      </c>
      <c r="H177" s="25">
        <v>0</v>
      </c>
      <c r="I177" s="25">
        <v>0</v>
      </c>
      <c r="J177" s="25">
        <v>861.27069091796875</v>
      </c>
    </row>
    <row r="178" spans="2:10">
      <c r="B178" s="25">
        <v>15</v>
      </c>
      <c r="C178" s="25">
        <v>15</v>
      </c>
      <c r="D178" s="25">
        <v>0</v>
      </c>
      <c r="E178" s="25">
        <v>52.917675018310547</v>
      </c>
      <c r="F178" s="25">
        <v>3648.19189453125</v>
      </c>
      <c r="G178" s="25">
        <v>0</v>
      </c>
      <c r="H178" s="25">
        <v>0</v>
      </c>
      <c r="I178" s="25">
        <v>0</v>
      </c>
      <c r="J178" s="25">
        <v>429.43228149414062</v>
      </c>
    </row>
    <row r="179" spans="2:10">
      <c r="C179" s="25">
        <v>16</v>
      </c>
      <c r="D179" s="25">
        <v>0.27500000596046448</v>
      </c>
      <c r="E179" s="25">
        <v>52.917675018310547</v>
      </c>
      <c r="F179" s="25">
        <v>3648.19189453125</v>
      </c>
      <c r="G179" s="25">
        <v>0</v>
      </c>
      <c r="H179" s="25">
        <v>0</v>
      </c>
      <c r="I179" s="25">
        <v>0</v>
      </c>
      <c r="J179" s="25">
        <v>1432.68505859375</v>
      </c>
    </row>
    <row r="180" spans="2:10">
      <c r="B180" s="25">
        <v>16</v>
      </c>
      <c r="C180" s="25">
        <v>16</v>
      </c>
      <c r="D180" s="25">
        <v>0</v>
      </c>
      <c r="E180" s="25">
        <v>52.917675018310547</v>
      </c>
      <c r="F180" s="25">
        <v>3648.19189453125</v>
      </c>
      <c r="G180" s="25">
        <v>0</v>
      </c>
      <c r="H180" s="25">
        <v>0</v>
      </c>
      <c r="I180" s="25">
        <v>0</v>
      </c>
      <c r="J180" s="25">
        <v>1432.68505859375</v>
      </c>
    </row>
    <row r="181" spans="2:10">
      <c r="D181" s="25">
        <v>0.875</v>
      </c>
      <c r="E181" s="25">
        <v>52.917675018310547</v>
      </c>
      <c r="F181" s="25">
        <v>-817.2081298828125</v>
      </c>
      <c r="G181" s="25">
        <v>0</v>
      </c>
      <c r="H181" s="25">
        <v>0</v>
      </c>
      <c r="I181" s="25">
        <v>0</v>
      </c>
      <c r="J181" s="25">
        <v>2485.92626953125</v>
      </c>
    </row>
    <row r="182" spans="2:10">
      <c r="D182" s="25">
        <v>2.9600000381469727</v>
      </c>
      <c r="E182" s="25">
        <v>52.917675018310547</v>
      </c>
      <c r="F182" s="25">
        <v>-817.2081298828125</v>
      </c>
      <c r="G182" s="25">
        <v>0</v>
      </c>
      <c r="H182" s="25">
        <v>0</v>
      </c>
      <c r="I182" s="25">
        <v>0</v>
      </c>
      <c r="J182" s="25">
        <v>782.0474853515625</v>
      </c>
    </row>
    <row r="183" spans="2:10">
      <c r="D183" s="25">
        <v>5.0450000762939453</v>
      </c>
      <c r="E183" s="25">
        <v>52.917675018310547</v>
      </c>
      <c r="F183" s="25">
        <v>-817.2081298828125</v>
      </c>
      <c r="G183" s="25">
        <v>0</v>
      </c>
      <c r="H183" s="25">
        <v>0</v>
      </c>
      <c r="I183" s="25">
        <v>0</v>
      </c>
      <c r="J183" s="25">
        <v>-921.8314208984375</v>
      </c>
    </row>
    <row r="184" spans="2:10">
      <c r="C184" s="25">
        <v>17</v>
      </c>
      <c r="D184" s="25">
        <v>5.9200000762939453</v>
      </c>
      <c r="E184" s="25">
        <v>52.917675018310547</v>
      </c>
      <c r="F184" s="25">
        <v>-817.2081298828125</v>
      </c>
      <c r="G184" s="25">
        <v>0</v>
      </c>
      <c r="H184" s="25">
        <v>0</v>
      </c>
      <c r="I184" s="25">
        <v>0</v>
      </c>
      <c r="J184" s="25">
        <v>-1636.888427734375</v>
      </c>
    </row>
    <row r="185" spans="2:10">
      <c r="B185" s="25">
        <v>17</v>
      </c>
      <c r="C185" s="25">
        <v>17</v>
      </c>
      <c r="D185" s="25">
        <v>0</v>
      </c>
      <c r="E185" s="25">
        <v>52.917675018310547</v>
      </c>
      <c r="F185" s="25">
        <v>-817.2081298828125</v>
      </c>
      <c r="G185" s="25">
        <v>0</v>
      </c>
      <c r="H185" s="25">
        <v>0</v>
      </c>
      <c r="I185" s="25">
        <v>0</v>
      </c>
      <c r="J185" s="25">
        <v>-1636.888427734375</v>
      </c>
    </row>
    <row r="186" spans="2:10">
      <c r="C186" s="25">
        <v>18</v>
      </c>
      <c r="D186" s="25">
        <v>0.27500000596046448</v>
      </c>
      <c r="E186" s="25">
        <v>52.917675018310547</v>
      </c>
      <c r="F186" s="25">
        <v>-817.2081298828125</v>
      </c>
      <c r="G186" s="25">
        <v>0</v>
      </c>
      <c r="H186" s="25">
        <v>0</v>
      </c>
      <c r="I186" s="25">
        <v>0</v>
      </c>
      <c r="J186" s="25">
        <v>-1861.6207275390625</v>
      </c>
    </row>
    <row r="187" spans="2:10">
      <c r="B187" s="25">
        <v>18</v>
      </c>
      <c r="C187" s="25">
        <v>18</v>
      </c>
      <c r="D187" s="25">
        <v>0</v>
      </c>
      <c r="E187" s="25">
        <v>85.680732727050781</v>
      </c>
      <c r="F187" s="25">
        <v>294.36590576171875</v>
      </c>
      <c r="G187" s="25">
        <v>0</v>
      </c>
      <c r="H187" s="25">
        <v>0</v>
      </c>
      <c r="I187" s="25">
        <v>0</v>
      </c>
      <c r="J187" s="25">
        <v>-1585.0411376953125</v>
      </c>
    </row>
    <row r="188" spans="2:10">
      <c r="C188" s="25">
        <v>19</v>
      </c>
      <c r="D188" s="25">
        <v>0.27500000596046448</v>
      </c>
      <c r="E188" s="25">
        <v>85.680732727050781</v>
      </c>
      <c r="F188" s="25">
        <v>294.36590576171875</v>
      </c>
      <c r="G188" s="25">
        <v>0</v>
      </c>
      <c r="H188" s="25">
        <v>0</v>
      </c>
      <c r="I188" s="25">
        <v>0</v>
      </c>
      <c r="J188" s="25">
        <v>-1504.090576171875</v>
      </c>
    </row>
    <row r="189" spans="2:10">
      <c r="B189" s="25">
        <v>19</v>
      </c>
      <c r="C189" s="25">
        <v>19</v>
      </c>
      <c r="D189" s="25">
        <v>0</v>
      </c>
      <c r="E189" s="25">
        <v>85.680732727050781</v>
      </c>
      <c r="F189" s="25">
        <v>294.36590576171875</v>
      </c>
      <c r="G189" s="25">
        <v>0</v>
      </c>
      <c r="H189" s="25">
        <v>0</v>
      </c>
      <c r="I189" s="25">
        <v>0</v>
      </c>
      <c r="J189" s="25">
        <v>-1504.090576171875</v>
      </c>
    </row>
    <row r="190" spans="2:10">
      <c r="D190" s="25">
        <v>0.875</v>
      </c>
      <c r="E190" s="25">
        <v>85.680732727050781</v>
      </c>
      <c r="F190" s="25">
        <v>294.36590576171875</v>
      </c>
      <c r="G190" s="25">
        <v>0</v>
      </c>
      <c r="H190" s="25">
        <v>0</v>
      </c>
      <c r="I190" s="25">
        <v>0</v>
      </c>
      <c r="J190" s="25">
        <v>-1246.5203857421875</v>
      </c>
    </row>
    <row r="191" spans="2:10">
      <c r="D191" s="25">
        <v>2.9600000381469727</v>
      </c>
      <c r="E191" s="25">
        <v>85.680732727050781</v>
      </c>
      <c r="F191" s="25">
        <v>294.36590576171875</v>
      </c>
      <c r="G191" s="25">
        <v>0</v>
      </c>
      <c r="H191" s="25">
        <v>0</v>
      </c>
      <c r="I191" s="25">
        <v>0</v>
      </c>
      <c r="J191" s="25">
        <v>-632.76751708984375</v>
      </c>
    </row>
    <row r="192" spans="2:10">
      <c r="D192" s="25">
        <v>5.0450000762939453</v>
      </c>
      <c r="E192" s="25">
        <v>85.680732727050781</v>
      </c>
      <c r="F192" s="25">
        <v>294.36590576171875</v>
      </c>
      <c r="G192" s="25">
        <v>0</v>
      </c>
      <c r="H192" s="25">
        <v>0</v>
      </c>
      <c r="I192" s="25">
        <v>0</v>
      </c>
      <c r="J192" s="25">
        <v>-19.014621734619141</v>
      </c>
    </row>
    <row r="193" spans="2:10">
      <c r="C193" s="25">
        <v>20</v>
      </c>
      <c r="D193" s="25">
        <v>5.9200000762939453</v>
      </c>
      <c r="E193" s="25">
        <v>85.680732727050781</v>
      </c>
      <c r="F193" s="25">
        <v>294.36590576171875</v>
      </c>
      <c r="G193" s="25">
        <v>0</v>
      </c>
      <c r="H193" s="25">
        <v>0</v>
      </c>
      <c r="I193" s="25">
        <v>0</v>
      </c>
      <c r="J193" s="25">
        <v>238.55552673339844</v>
      </c>
    </row>
    <row r="194" spans="2:10">
      <c r="B194" s="25">
        <v>20</v>
      </c>
      <c r="C194" s="25">
        <v>20</v>
      </c>
      <c r="D194" s="25">
        <v>0</v>
      </c>
      <c r="E194" s="25">
        <v>85.680732727050781</v>
      </c>
      <c r="F194" s="25">
        <v>294.36590576171875</v>
      </c>
      <c r="G194" s="25">
        <v>0</v>
      </c>
      <c r="H194" s="25">
        <v>0</v>
      </c>
      <c r="I194" s="25">
        <v>0</v>
      </c>
      <c r="J194" s="25">
        <v>238.55552673339844</v>
      </c>
    </row>
    <row r="195" spans="2:10">
      <c r="C195" s="25">
        <v>21</v>
      </c>
      <c r="D195" s="25">
        <v>0.27500000596046448</v>
      </c>
      <c r="E195" s="25">
        <v>85.680732727050781</v>
      </c>
      <c r="F195" s="25">
        <v>294.36590576171875</v>
      </c>
      <c r="G195" s="25">
        <v>0</v>
      </c>
      <c r="H195" s="25">
        <v>0</v>
      </c>
      <c r="I195" s="25">
        <v>0</v>
      </c>
      <c r="J195" s="25">
        <v>319.50616455078125</v>
      </c>
    </row>
    <row r="196" spans="2:10">
      <c r="B196" s="25">
        <v>21</v>
      </c>
      <c r="C196" s="25">
        <v>21</v>
      </c>
      <c r="D196" s="25">
        <v>0</v>
      </c>
      <c r="E196" s="25">
        <v>4.6566128730773926E-10</v>
      </c>
      <c r="F196" s="25">
        <v>0</v>
      </c>
      <c r="G196" s="25">
        <v>0</v>
      </c>
      <c r="H196" s="25">
        <v>0</v>
      </c>
      <c r="I196" s="25">
        <v>0</v>
      </c>
      <c r="J196" s="25">
        <v>0</v>
      </c>
    </row>
    <row r="197" spans="2:10">
      <c r="C197" s="25">
        <v>22</v>
      </c>
      <c r="D197" s="25">
        <v>0.27500000596046448</v>
      </c>
      <c r="E197" s="25">
        <v>4.6566128730773926E-10</v>
      </c>
      <c r="F197" s="25">
        <v>0</v>
      </c>
      <c r="G197" s="25">
        <v>0</v>
      </c>
      <c r="H197" s="25">
        <v>0</v>
      </c>
      <c r="I197" s="25">
        <v>0</v>
      </c>
      <c r="J197" s="25">
        <v>0</v>
      </c>
    </row>
    <row r="198" spans="2:10">
      <c r="B198" s="25">
        <v>22</v>
      </c>
      <c r="C198" s="25">
        <v>22</v>
      </c>
      <c r="D198" s="25">
        <v>0</v>
      </c>
      <c r="E198" s="25">
        <v>-1.2732925824820995E-11</v>
      </c>
      <c r="F198" s="25">
        <v>3.637978807091713E-12</v>
      </c>
      <c r="G198" s="25">
        <v>0</v>
      </c>
      <c r="H198" s="25">
        <v>0</v>
      </c>
      <c r="I198" s="25">
        <v>0</v>
      </c>
      <c r="J198" s="25">
        <v>-5.4569682106375694E-12</v>
      </c>
    </row>
    <row r="199" spans="2:10">
      <c r="C199" s="25">
        <v>23</v>
      </c>
      <c r="D199" s="25">
        <v>1.565000057220459</v>
      </c>
      <c r="E199" s="25">
        <v>-1.2732925824820995E-11</v>
      </c>
      <c r="F199" s="25">
        <v>3.637978807091713E-12</v>
      </c>
      <c r="G199" s="25">
        <v>0</v>
      </c>
      <c r="H199" s="25">
        <v>0</v>
      </c>
      <c r="I199" s="25">
        <v>0</v>
      </c>
      <c r="J199" s="25">
        <v>1.8189894035458565E-12</v>
      </c>
    </row>
    <row r="200" spans="2:10">
      <c r="B200" s="25">
        <v>23</v>
      </c>
      <c r="C200" s="25">
        <v>3</v>
      </c>
      <c r="D200" s="25">
        <v>0</v>
      </c>
      <c r="E200" s="25">
        <v>-19437.140625</v>
      </c>
      <c r="F200" s="25">
        <v>-25.135650634765625</v>
      </c>
      <c r="G200" s="25">
        <v>0</v>
      </c>
      <c r="H200" s="25">
        <v>0</v>
      </c>
      <c r="I200" s="25">
        <v>0</v>
      </c>
      <c r="J200" s="25">
        <v>-18.208995819091797</v>
      </c>
    </row>
    <row r="201" spans="2:10">
      <c r="C201" s="25">
        <v>24</v>
      </c>
      <c r="D201" s="25">
        <v>1.1749999523162842</v>
      </c>
      <c r="E201" s="25">
        <v>-19437.140625</v>
      </c>
      <c r="F201" s="25">
        <v>-25.135650634765625</v>
      </c>
      <c r="G201" s="25">
        <v>0</v>
      </c>
      <c r="H201" s="25">
        <v>0</v>
      </c>
      <c r="I201" s="25">
        <v>0</v>
      </c>
      <c r="J201" s="25">
        <v>-47.743385314941406</v>
      </c>
    </row>
    <row r="202" spans="2:10">
      <c r="B202" s="25">
        <v>24</v>
      </c>
      <c r="C202" s="25">
        <v>6</v>
      </c>
      <c r="D202" s="25">
        <v>0</v>
      </c>
      <c r="E202" s="25">
        <v>-12935.556640625</v>
      </c>
      <c r="F202" s="25">
        <v>255.22402954101563</v>
      </c>
      <c r="G202" s="25">
        <v>0</v>
      </c>
      <c r="H202" s="25">
        <v>0</v>
      </c>
      <c r="I202" s="25">
        <v>0</v>
      </c>
      <c r="J202" s="25">
        <v>-1423.00341796875</v>
      </c>
    </row>
    <row r="203" spans="2:10">
      <c r="C203" s="25">
        <v>25</v>
      </c>
      <c r="D203" s="25">
        <v>1.1749999523162842</v>
      </c>
      <c r="E203" s="25">
        <v>-12935.556640625</v>
      </c>
      <c r="F203" s="25">
        <v>255.22402954101563</v>
      </c>
      <c r="G203" s="25">
        <v>0</v>
      </c>
      <c r="H203" s="25">
        <v>0</v>
      </c>
      <c r="I203" s="25">
        <v>0</v>
      </c>
      <c r="J203" s="25">
        <v>-1123.1151123046875</v>
      </c>
    </row>
    <row r="204" spans="2:10">
      <c r="B204" s="25">
        <v>25</v>
      </c>
      <c r="C204" s="25">
        <v>9</v>
      </c>
      <c r="D204" s="25">
        <v>0</v>
      </c>
      <c r="E204" s="25">
        <v>-3571.0595703125</v>
      </c>
      <c r="F204" s="25">
        <v>260.85202026367188</v>
      </c>
      <c r="G204" s="25">
        <v>0</v>
      </c>
      <c r="H204" s="25">
        <v>0</v>
      </c>
      <c r="I204" s="25">
        <v>0</v>
      </c>
      <c r="J204" s="25">
        <v>-1443.212646484375</v>
      </c>
    </row>
    <row r="205" spans="2:10">
      <c r="C205" s="25">
        <v>26</v>
      </c>
      <c r="D205" s="25">
        <v>1.1749999523162842</v>
      </c>
      <c r="E205" s="25">
        <v>-3571.0595703125</v>
      </c>
      <c r="F205" s="25">
        <v>260.85202026367188</v>
      </c>
      <c r="G205" s="25">
        <v>0</v>
      </c>
      <c r="H205" s="25">
        <v>0</v>
      </c>
      <c r="I205" s="25">
        <v>0</v>
      </c>
      <c r="J205" s="25">
        <v>-1136.7115478515625</v>
      </c>
    </row>
    <row r="206" spans="2:10">
      <c r="B206" s="25">
        <v>26</v>
      </c>
      <c r="C206" s="25">
        <v>12</v>
      </c>
      <c r="D206" s="25">
        <v>0</v>
      </c>
      <c r="E206" s="25">
        <v>-2869.283447265625</v>
      </c>
      <c r="F206" s="25">
        <v>-328.950439453125</v>
      </c>
      <c r="G206" s="25">
        <v>0</v>
      </c>
      <c r="H206" s="25">
        <v>0</v>
      </c>
      <c r="I206" s="25">
        <v>0</v>
      </c>
      <c r="J206" s="25">
        <v>1527.2822265625</v>
      </c>
    </row>
    <row r="207" spans="2:10">
      <c r="C207" s="25">
        <v>27</v>
      </c>
      <c r="D207" s="25">
        <v>1.1749999523162842</v>
      </c>
      <c r="E207" s="25">
        <v>-2869.283447265625</v>
      </c>
      <c r="F207" s="25">
        <v>-328.950439453125</v>
      </c>
      <c r="G207" s="25">
        <v>0</v>
      </c>
      <c r="H207" s="25">
        <v>0</v>
      </c>
      <c r="I207" s="25">
        <v>0</v>
      </c>
      <c r="J207" s="25">
        <v>1140.7655029296875</v>
      </c>
    </row>
    <row r="208" spans="2:10">
      <c r="B208" s="25">
        <v>27</v>
      </c>
      <c r="C208" s="25">
        <v>15</v>
      </c>
      <c r="D208" s="25">
        <v>0</v>
      </c>
      <c r="E208" s="25">
        <v>-3742.252197265625</v>
      </c>
      <c r="F208" s="25">
        <v>-109.07228851318359</v>
      </c>
      <c r="G208" s="25">
        <v>0</v>
      </c>
      <c r="H208" s="25">
        <v>0</v>
      </c>
      <c r="I208" s="25">
        <v>0</v>
      </c>
      <c r="J208" s="25">
        <v>431.83840942382812</v>
      </c>
    </row>
    <row r="209" spans="2:10">
      <c r="C209" s="25">
        <v>28</v>
      </c>
      <c r="D209" s="25">
        <v>1.1749999523162842</v>
      </c>
      <c r="E209" s="25">
        <v>-3742.252197265625</v>
      </c>
      <c r="F209" s="25">
        <v>-109.07228851318359</v>
      </c>
      <c r="G209" s="25">
        <v>0</v>
      </c>
      <c r="H209" s="25">
        <v>0</v>
      </c>
      <c r="I209" s="25">
        <v>0</v>
      </c>
      <c r="J209" s="25">
        <v>303.678466796875</v>
      </c>
    </row>
    <row r="210" spans="2:10">
      <c r="B210" s="25">
        <v>28</v>
      </c>
      <c r="C210" s="25">
        <v>18</v>
      </c>
      <c r="D210" s="25">
        <v>0</v>
      </c>
      <c r="E210" s="25">
        <v>-1111.573974609375</v>
      </c>
      <c r="F210" s="25">
        <v>32.763053894042969</v>
      </c>
      <c r="G210" s="25">
        <v>0</v>
      </c>
      <c r="H210" s="25">
        <v>0</v>
      </c>
      <c r="I210" s="25">
        <v>0</v>
      </c>
      <c r="J210" s="25">
        <v>-276.57955932617188</v>
      </c>
    </row>
    <row r="211" spans="2:10">
      <c r="C211" s="25">
        <v>29</v>
      </c>
      <c r="D211" s="25">
        <v>1.1749999523162842</v>
      </c>
      <c r="E211" s="25">
        <v>-1111.573974609375</v>
      </c>
      <c r="F211" s="25">
        <v>32.763053894042969</v>
      </c>
      <c r="G211" s="25">
        <v>0</v>
      </c>
      <c r="H211" s="25">
        <v>0</v>
      </c>
      <c r="I211" s="25">
        <v>0</v>
      </c>
      <c r="J211" s="25">
        <v>-238.08296203613281</v>
      </c>
    </row>
    <row r="212" spans="2:10">
      <c r="B212" s="25">
        <v>29</v>
      </c>
      <c r="C212" s="25">
        <v>21</v>
      </c>
      <c r="D212" s="25">
        <v>0</v>
      </c>
      <c r="E212" s="25">
        <v>294.36590576171875</v>
      </c>
      <c r="F212" s="25">
        <v>-85.680732727050781</v>
      </c>
      <c r="G212" s="25">
        <v>0</v>
      </c>
      <c r="H212" s="25">
        <v>0</v>
      </c>
      <c r="I212" s="25">
        <v>0</v>
      </c>
      <c r="J212" s="25">
        <v>319.50616455078125</v>
      </c>
    </row>
    <row r="213" spans="2:10">
      <c r="C213" s="25">
        <v>30</v>
      </c>
      <c r="D213" s="25">
        <v>1.1749999523162842</v>
      </c>
      <c r="E213" s="25">
        <v>294.36590576171875</v>
      </c>
      <c r="F213" s="25">
        <v>-85.680732727050781</v>
      </c>
      <c r="G213" s="25">
        <v>0</v>
      </c>
      <c r="H213" s="25">
        <v>0</v>
      </c>
      <c r="I213" s="25">
        <v>0</v>
      </c>
      <c r="J213" s="25">
        <v>218.831298828125</v>
      </c>
    </row>
    <row r="214" spans="2:10">
      <c r="B214" s="25">
        <v>30</v>
      </c>
      <c r="C214" s="25">
        <v>24</v>
      </c>
      <c r="D214" s="25">
        <v>0</v>
      </c>
      <c r="E214" s="25">
        <v>-19437.140625</v>
      </c>
      <c r="F214" s="25">
        <v>-25.135650634765625</v>
      </c>
      <c r="G214" s="25">
        <v>0</v>
      </c>
      <c r="H214" s="25">
        <v>0</v>
      </c>
      <c r="I214" s="25">
        <v>0</v>
      </c>
      <c r="J214" s="25">
        <v>-47.743385314941406</v>
      </c>
    </row>
    <row r="215" spans="2:10">
      <c r="D215" s="25">
        <v>0.57499998807907104</v>
      </c>
      <c r="E215" s="25">
        <v>-19437.140625</v>
      </c>
      <c r="F215" s="25">
        <v>-25.135650634765625</v>
      </c>
      <c r="G215" s="25">
        <v>0</v>
      </c>
      <c r="H215" s="25">
        <v>0</v>
      </c>
      <c r="I215" s="25">
        <v>0</v>
      </c>
      <c r="J215" s="25">
        <v>-62.196384429931641</v>
      </c>
    </row>
    <row r="216" spans="2:10">
      <c r="C216" s="25">
        <v>31</v>
      </c>
      <c r="D216" s="25">
        <v>6.1750001907348633</v>
      </c>
      <c r="E216" s="25">
        <v>-19437.140625</v>
      </c>
      <c r="F216" s="25">
        <v>-25.135650634765625</v>
      </c>
      <c r="G216" s="25">
        <v>0</v>
      </c>
      <c r="H216" s="25">
        <v>0</v>
      </c>
      <c r="I216" s="25">
        <v>0</v>
      </c>
      <c r="J216" s="25">
        <v>-202.95603942871094</v>
      </c>
    </row>
    <row r="217" spans="2:10">
      <c r="B217" s="25">
        <v>31</v>
      </c>
      <c r="C217" s="25">
        <v>25</v>
      </c>
      <c r="D217" s="25">
        <v>0</v>
      </c>
      <c r="E217" s="25">
        <v>-12935.556640625</v>
      </c>
      <c r="F217" s="25">
        <v>255.22402954101563</v>
      </c>
      <c r="G217" s="25">
        <v>0</v>
      </c>
      <c r="H217" s="25">
        <v>0</v>
      </c>
      <c r="I217" s="25">
        <v>0</v>
      </c>
      <c r="J217" s="25">
        <v>-1123.1151123046875</v>
      </c>
    </row>
    <row r="218" spans="2:10">
      <c r="D218" s="25">
        <v>0.57499998807907104</v>
      </c>
      <c r="E218" s="25">
        <v>-12935.556640625</v>
      </c>
      <c r="F218" s="25">
        <v>255.22402954101563</v>
      </c>
      <c r="G218" s="25">
        <v>0</v>
      </c>
      <c r="H218" s="25">
        <v>0</v>
      </c>
      <c r="I218" s="25">
        <v>0</v>
      </c>
      <c r="J218" s="25">
        <v>-976.361328125</v>
      </c>
    </row>
    <row r="219" spans="2:10">
      <c r="C219" s="25">
        <v>32</v>
      </c>
      <c r="D219" s="25">
        <v>6.1750001907348633</v>
      </c>
      <c r="E219" s="25">
        <v>-12935.556640625</v>
      </c>
      <c r="F219" s="25">
        <v>255.22402954101563</v>
      </c>
      <c r="G219" s="25">
        <v>0</v>
      </c>
      <c r="H219" s="25">
        <v>0</v>
      </c>
      <c r="I219" s="25">
        <v>0</v>
      </c>
      <c r="J219" s="25">
        <v>452.893310546875</v>
      </c>
    </row>
    <row r="220" spans="2:10">
      <c r="B220" s="25">
        <v>32</v>
      </c>
      <c r="C220" s="25">
        <v>26</v>
      </c>
      <c r="D220" s="25">
        <v>0</v>
      </c>
      <c r="E220" s="25">
        <v>-3571.0595703125</v>
      </c>
      <c r="F220" s="25">
        <v>260.85202026367188</v>
      </c>
      <c r="G220" s="25">
        <v>0</v>
      </c>
      <c r="H220" s="25">
        <v>0</v>
      </c>
      <c r="I220" s="25">
        <v>0</v>
      </c>
      <c r="J220" s="25">
        <v>-1136.7115478515625</v>
      </c>
    </row>
    <row r="221" spans="2:10">
      <c r="D221" s="25">
        <v>0.57499998807907104</v>
      </c>
      <c r="E221" s="25">
        <v>-3571.0595703125</v>
      </c>
      <c r="F221" s="25">
        <v>260.85202026367188</v>
      </c>
      <c r="G221" s="25">
        <v>0</v>
      </c>
      <c r="H221" s="25">
        <v>0</v>
      </c>
      <c r="I221" s="25">
        <v>0</v>
      </c>
      <c r="J221" s="25">
        <v>-986.7216796875</v>
      </c>
    </row>
    <row r="222" spans="2:10">
      <c r="C222" s="25">
        <v>33</v>
      </c>
      <c r="D222" s="25">
        <v>6.1750001907348633</v>
      </c>
      <c r="E222" s="25">
        <v>-3571.0595703125</v>
      </c>
      <c r="F222" s="25">
        <v>260.85202026367188</v>
      </c>
      <c r="G222" s="25">
        <v>0</v>
      </c>
      <c r="H222" s="25">
        <v>0</v>
      </c>
      <c r="I222" s="25">
        <v>0</v>
      </c>
      <c r="J222" s="25">
        <v>474.04959106445312</v>
      </c>
    </row>
    <row r="223" spans="2:10">
      <c r="B223" s="25">
        <v>33</v>
      </c>
      <c r="C223" s="25">
        <v>27</v>
      </c>
      <c r="D223" s="25">
        <v>0</v>
      </c>
      <c r="E223" s="25">
        <v>-2869.283447265625</v>
      </c>
      <c r="F223" s="25">
        <v>-328.950439453125</v>
      </c>
      <c r="G223" s="25">
        <v>0</v>
      </c>
      <c r="H223" s="25">
        <v>0</v>
      </c>
      <c r="I223" s="25">
        <v>0</v>
      </c>
      <c r="J223" s="25">
        <v>1140.7655029296875</v>
      </c>
    </row>
    <row r="224" spans="2:10">
      <c r="D224" s="25">
        <v>0.57499998807907104</v>
      </c>
      <c r="E224" s="25">
        <v>-2869.283447265625</v>
      </c>
      <c r="F224" s="25">
        <v>-328.950439453125</v>
      </c>
      <c r="G224" s="25">
        <v>0</v>
      </c>
      <c r="H224" s="25">
        <v>0</v>
      </c>
      <c r="I224" s="25">
        <v>0</v>
      </c>
      <c r="J224" s="25">
        <v>951.6190185546875</v>
      </c>
    </row>
    <row r="225" spans="2:10">
      <c r="C225" s="25">
        <v>34</v>
      </c>
      <c r="D225" s="25">
        <v>6.1750001907348633</v>
      </c>
      <c r="E225" s="25">
        <v>-2869.283447265625</v>
      </c>
      <c r="F225" s="25">
        <v>-328.950439453125</v>
      </c>
      <c r="G225" s="25">
        <v>0</v>
      </c>
      <c r="H225" s="25">
        <v>0</v>
      </c>
      <c r="I225" s="25">
        <v>0</v>
      </c>
      <c r="J225" s="25">
        <v>-890.50347900390625</v>
      </c>
    </row>
    <row r="226" spans="2:10">
      <c r="B226" s="25">
        <v>34</v>
      </c>
      <c r="C226" s="25">
        <v>28</v>
      </c>
      <c r="D226" s="25">
        <v>0</v>
      </c>
      <c r="E226" s="25">
        <v>-3742.252197265625</v>
      </c>
      <c r="F226" s="25">
        <v>-109.07228851318359</v>
      </c>
      <c r="G226" s="25">
        <v>0</v>
      </c>
      <c r="H226" s="25">
        <v>0</v>
      </c>
      <c r="I226" s="25">
        <v>0</v>
      </c>
      <c r="J226" s="25">
        <v>303.678466796875</v>
      </c>
    </row>
    <row r="227" spans="2:10">
      <c r="D227" s="25">
        <v>0.57499998807907104</v>
      </c>
      <c r="E227" s="25">
        <v>-3742.252197265625</v>
      </c>
      <c r="F227" s="25">
        <v>-109.07228851318359</v>
      </c>
      <c r="G227" s="25">
        <v>0</v>
      </c>
      <c r="H227" s="25">
        <v>0</v>
      </c>
      <c r="I227" s="25">
        <v>0</v>
      </c>
      <c r="J227" s="25">
        <v>240.9619140625</v>
      </c>
    </row>
    <row r="228" spans="2:10">
      <c r="C228" s="25">
        <v>35</v>
      </c>
      <c r="D228" s="25">
        <v>6.1750001907348633</v>
      </c>
      <c r="E228" s="25">
        <v>-3742.252197265625</v>
      </c>
      <c r="F228" s="25">
        <v>-109.07228851318359</v>
      </c>
      <c r="G228" s="25">
        <v>0</v>
      </c>
      <c r="H228" s="25">
        <v>0</v>
      </c>
      <c r="I228" s="25">
        <v>0</v>
      </c>
      <c r="J228" s="25">
        <v>-369.8428955078125</v>
      </c>
    </row>
    <row r="229" spans="2:10">
      <c r="B229" s="25">
        <v>35</v>
      </c>
      <c r="C229" s="25">
        <v>29</v>
      </c>
      <c r="D229" s="25">
        <v>0</v>
      </c>
      <c r="E229" s="25">
        <v>-1111.573974609375</v>
      </c>
      <c r="F229" s="25">
        <v>32.763053894042969</v>
      </c>
      <c r="G229" s="25">
        <v>0</v>
      </c>
      <c r="H229" s="25">
        <v>0</v>
      </c>
      <c r="I229" s="25">
        <v>0</v>
      </c>
      <c r="J229" s="25">
        <v>-238.08296203613281</v>
      </c>
    </row>
    <row r="230" spans="2:10">
      <c r="D230" s="25">
        <v>0.57499998807907104</v>
      </c>
      <c r="E230" s="25">
        <v>-1111.573974609375</v>
      </c>
      <c r="F230" s="25">
        <v>32.763053894042969</v>
      </c>
      <c r="G230" s="25">
        <v>0</v>
      </c>
      <c r="H230" s="25">
        <v>0</v>
      </c>
      <c r="I230" s="25">
        <v>0</v>
      </c>
      <c r="J230" s="25">
        <v>-219.24420166015625</v>
      </c>
    </row>
    <row r="231" spans="2:10">
      <c r="C231" s="25">
        <v>36</v>
      </c>
      <c r="D231" s="25">
        <v>6.1750001907348633</v>
      </c>
      <c r="E231" s="25">
        <v>-1111.573974609375</v>
      </c>
      <c r="F231" s="25">
        <v>32.763053894042969</v>
      </c>
      <c r="G231" s="25">
        <v>0</v>
      </c>
      <c r="H231" s="25">
        <v>0</v>
      </c>
      <c r="I231" s="25">
        <v>0</v>
      </c>
      <c r="J231" s="25">
        <v>-35.771102905273438</v>
      </c>
    </row>
    <row r="232" spans="2:10">
      <c r="B232" s="25">
        <v>36</v>
      </c>
      <c r="C232" s="25">
        <v>30</v>
      </c>
      <c r="D232" s="25">
        <v>0</v>
      </c>
      <c r="E232" s="25">
        <v>294.36590576171875</v>
      </c>
      <c r="F232" s="25">
        <v>-85.680732727050781</v>
      </c>
      <c r="G232" s="25">
        <v>0</v>
      </c>
      <c r="H232" s="25">
        <v>0</v>
      </c>
      <c r="I232" s="25">
        <v>0</v>
      </c>
      <c r="J232" s="25">
        <v>218.831298828125</v>
      </c>
    </row>
    <row r="233" spans="2:10">
      <c r="D233" s="25">
        <v>0.57499998807907104</v>
      </c>
      <c r="E233" s="25">
        <v>294.36590576171875</v>
      </c>
      <c r="F233" s="25">
        <v>-85.680732727050781</v>
      </c>
      <c r="G233" s="25">
        <v>0</v>
      </c>
      <c r="H233" s="25">
        <v>0</v>
      </c>
      <c r="I233" s="25">
        <v>0</v>
      </c>
      <c r="J233" s="25">
        <v>169.56488037109375</v>
      </c>
    </row>
    <row r="234" spans="2:10">
      <c r="C234" s="25">
        <v>37</v>
      </c>
      <c r="D234" s="25">
        <v>6.1750001907348633</v>
      </c>
      <c r="E234" s="25">
        <v>294.36590576171875</v>
      </c>
      <c r="F234" s="25">
        <v>-85.680732727050781</v>
      </c>
      <c r="G234" s="25">
        <v>0</v>
      </c>
      <c r="H234" s="25">
        <v>0</v>
      </c>
      <c r="I234" s="25">
        <v>0</v>
      </c>
      <c r="J234" s="25">
        <v>-310.2471923828125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1" t="s">
        <v>39</v>
      </c>
      <c r="C4" s="212"/>
      <c r="D4" s="90" t="s">
        <v>75</v>
      </c>
      <c r="F4" s="216"/>
      <c r="G4" s="217"/>
      <c r="H4" s="217"/>
      <c r="I4" s="217"/>
      <c r="J4" s="217"/>
      <c r="K4" s="218"/>
    </row>
    <row r="5" spans="2:11" ht="16.5" customHeight="1">
      <c r="B5" s="78"/>
      <c r="C5" s="79" t="s">
        <v>40</v>
      </c>
      <c r="D5" s="90" t="s">
        <v>116</v>
      </c>
      <c r="F5" s="219"/>
      <c r="G5" s="213"/>
      <c r="H5" s="213"/>
      <c r="I5" s="213"/>
      <c r="J5" s="213"/>
      <c r="K5" s="220"/>
    </row>
    <row r="6" spans="2:11" ht="16.5" customHeight="1">
      <c r="B6" s="80"/>
      <c r="C6" s="81" t="s">
        <v>41</v>
      </c>
      <c r="D6" s="91">
        <v>1</v>
      </c>
      <c r="F6" s="219"/>
      <c r="G6" s="213"/>
      <c r="H6" s="213"/>
      <c r="I6" s="213"/>
      <c r="J6" s="213"/>
      <c r="K6" s="220"/>
    </row>
    <row r="7" spans="2:11" ht="16.5" customHeight="1">
      <c r="B7" s="211" t="s">
        <v>42</v>
      </c>
      <c r="C7" s="212"/>
      <c r="D7" s="90" t="s">
        <v>75</v>
      </c>
      <c r="F7" s="219"/>
      <c r="G7" s="213"/>
      <c r="H7" s="213"/>
      <c r="I7" s="213"/>
      <c r="J7" s="213"/>
      <c r="K7" s="220"/>
    </row>
    <row r="8" spans="2:11" ht="16.5" customHeight="1">
      <c r="B8" s="78"/>
      <c r="C8" s="79" t="s">
        <v>40</v>
      </c>
      <c r="D8" s="90" t="s">
        <v>76</v>
      </c>
      <c r="F8" s="219"/>
      <c r="G8" s="213"/>
      <c r="H8" s="213"/>
      <c r="I8" s="213"/>
      <c r="J8" s="213"/>
      <c r="K8" s="220"/>
    </row>
    <row r="9" spans="2:11" ht="16.5" customHeight="1">
      <c r="B9" s="80"/>
      <c r="C9" s="81" t="s">
        <v>41</v>
      </c>
      <c r="D9" s="92">
        <v>1</v>
      </c>
      <c r="F9" s="219"/>
      <c r="G9" s="213"/>
      <c r="H9" s="213"/>
      <c r="I9" s="213"/>
      <c r="J9" s="213"/>
      <c r="K9" s="220"/>
    </row>
    <row r="10" spans="2:11" ht="16.5" customHeight="1">
      <c r="B10" s="211" t="s">
        <v>82</v>
      </c>
      <c r="C10" s="212"/>
      <c r="D10" s="90" t="s">
        <v>83</v>
      </c>
      <c r="F10" s="219"/>
      <c r="G10" s="213"/>
      <c r="H10" s="213"/>
      <c r="I10" s="213"/>
      <c r="J10" s="213"/>
      <c r="K10" s="220"/>
    </row>
    <row r="11" spans="2:11" ht="16.5" customHeight="1">
      <c r="B11" s="80"/>
      <c r="C11" s="82" t="s">
        <v>43</v>
      </c>
      <c r="D11" s="93">
        <v>20</v>
      </c>
      <c r="F11" s="219"/>
      <c r="G11" s="213"/>
      <c r="H11" s="213"/>
      <c r="I11" s="213"/>
      <c r="J11" s="213"/>
      <c r="K11" s="220"/>
    </row>
    <row r="12" spans="2:11" ht="16.5" customHeight="1">
      <c r="D12" s="83"/>
      <c r="F12" s="219"/>
      <c r="G12" s="213"/>
      <c r="H12" s="213"/>
      <c r="I12" s="213"/>
      <c r="J12" s="213"/>
      <c r="K12" s="220"/>
    </row>
    <row r="13" spans="2:11" ht="16.5" customHeight="1">
      <c r="B13" s="84" t="s">
        <v>44</v>
      </c>
      <c r="C13" s="85"/>
      <c r="D13" s="86"/>
      <c r="F13" s="219"/>
      <c r="G13" s="213"/>
      <c r="H13" s="213"/>
      <c r="I13" s="213"/>
      <c r="J13" s="213"/>
      <c r="K13" s="220"/>
    </row>
    <row r="14" spans="2:11" ht="16.5" customHeight="1">
      <c r="B14" s="87"/>
      <c r="C14" s="88" t="s">
        <v>45</v>
      </c>
      <c r="D14" s="90">
        <v>180</v>
      </c>
      <c r="F14" s="219"/>
      <c r="G14" s="213"/>
      <c r="H14" s="213"/>
      <c r="I14" s="213"/>
      <c r="J14" s="213"/>
      <c r="K14" s="220"/>
    </row>
    <row r="15" spans="2:11" ht="16.5" customHeight="1">
      <c r="B15" s="87"/>
      <c r="C15" s="88" t="s">
        <v>46</v>
      </c>
      <c r="D15" s="90">
        <v>0</v>
      </c>
      <c r="F15" s="219"/>
      <c r="G15" s="213"/>
      <c r="H15" s="213"/>
      <c r="I15" s="213"/>
      <c r="J15" s="213"/>
      <c r="K15" s="220"/>
    </row>
    <row r="16" spans="2:11" ht="16.5" customHeight="1">
      <c r="B16" s="89"/>
      <c r="C16" s="88" t="s">
        <v>47</v>
      </c>
      <c r="D16" s="90">
        <v>0</v>
      </c>
      <c r="F16" s="219"/>
      <c r="G16" s="213"/>
      <c r="H16" s="213"/>
      <c r="I16" s="213"/>
      <c r="J16" s="213"/>
      <c r="K16" s="220"/>
    </row>
    <row r="17" spans="3:11" ht="16.5" customHeight="1">
      <c r="F17" s="219"/>
      <c r="G17" s="213"/>
      <c r="H17" s="213"/>
      <c r="I17" s="213"/>
      <c r="J17" s="213"/>
      <c r="K17" s="220"/>
    </row>
    <row r="18" spans="3:11" ht="16.5" customHeight="1">
      <c r="F18" s="219"/>
      <c r="G18" s="213"/>
      <c r="H18" s="213"/>
      <c r="I18" s="213"/>
      <c r="J18" s="213"/>
      <c r="K18" s="220"/>
    </row>
    <row r="19" spans="3:11" ht="16.5" customHeight="1">
      <c r="F19" s="219"/>
      <c r="G19" s="213"/>
      <c r="H19" s="213"/>
      <c r="I19" s="213"/>
      <c r="J19" s="213"/>
      <c r="K19" s="220"/>
    </row>
    <row r="20" spans="3:11" ht="16.5" customHeight="1">
      <c r="F20" s="219"/>
      <c r="G20" s="213"/>
      <c r="H20" s="213"/>
      <c r="I20" s="213"/>
      <c r="J20" s="213"/>
      <c r="K20" s="220"/>
    </row>
    <row r="21" spans="3:11" ht="16.5" customHeight="1">
      <c r="F21" s="219"/>
      <c r="G21" s="213"/>
      <c r="H21" s="213"/>
      <c r="I21" s="213"/>
      <c r="J21" s="213"/>
      <c r="K21" s="220"/>
    </row>
    <row r="22" spans="3:11" ht="16.5" customHeight="1">
      <c r="F22" s="219"/>
      <c r="G22" s="213"/>
      <c r="H22" s="213"/>
      <c r="I22" s="213"/>
      <c r="J22" s="213"/>
      <c r="K22" s="220"/>
    </row>
    <row r="23" spans="3:11" ht="16.5" customHeight="1">
      <c r="F23" s="219"/>
      <c r="G23" s="213"/>
      <c r="H23" s="213"/>
      <c r="I23" s="213"/>
      <c r="J23" s="213"/>
      <c r="K23" s="220"/>
    </row>
    <row r="24" spans="3:11" ht="16.5" customHeight="1">
      <c r="F24" s="219"/>
      <c r="G24" s="213"/>
      <c r="H24" s="213"/>
      <c r="I24" s="213"/>
      <c r="J24" s="213"/>
      <c r="K24" s="220"/>
    </row>
    <row r="25" spans="3:11" ht="16.5" customHeight="1">
      <c r="C25" s="88" t="s">
        <v>59</v>
      </c>
      <c r="D25" s="90">
        <v>1</v>
      </c>
      <c r="F25" s="219"/>
      <c r="G25" s="213"/>
      <c r="H25" s="213"/>
      <c r="I25" s="213"/>
      <c r="J25" s="213"/>
      <c r="K25" s="220"/>
    </row>
    <row r="26" spans="3:11" ht="16.5" customHeight="1">
      <c r="F26" s="219"/>
      <c r="G26" s="213"/>
      <c r="H26" s="213"/>
      <c r="I26" s="213"/>
      <c r="J26" s="213"/>
      <c r="K26" s="220"/>
    </row>
    <row r="27" spans="3:11" ht="16.5" customHeight="1">
      <c r="F27" s="221"/>
      <c r="G27" s="222"/>
      <c r="H27" s="222"/>
      <c r="I27" s="222"/>
      <c r="J27" s="222"/>
      <c r="K27" s="223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178</vt:i4>
      </vt:variant>
    </vt:vector>
  </HeadingPairs>
  <TitlesOfParts>
    <vt:vector size="196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計算・出力!header_回転Y1</vt:lpstr>
      <vt:lpstr>計算・出力!header_回転Z1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計算・出力!header_節点Y1</vt:lpstr>
      <vt:lpstr>計算・出力!header_節点Z1</vt:lpstr>
      <vt:lpstr>計算・出力!header_断面力FX1</vt:lpstr>
      <vt:lpstr>計算・出力!header_断面力FY1</vt:lpstr>
      <vt:lpstr>計算・出力!header_断面力FZ1</vt:lpstr>
      <vt:lpstr>計算・出力!header_断面力MX1</vt:lpstr>
      <vt:lpstr>計算・出力!header_断面力MY1</vt:lpstr>
      <vt:lpstr>計算・出力!header_断面力MZ1</vt:lpstr>
      <vt:lpstr>計算・出力!header_断面力節点1</vt:lpstr>
      <vt:lpstr>計算・出力!header_着目点1</vt:lpstr>
      <vt:lpstr>計算・出力!header_反力MX1</vt:lpstr>
      <vt:lpstr>計算・出力!header_反力MY1</vt:lpstr>
      <vt:lpstr>計算・出力!header_反力MZ1</vt:lpstr>
      <vt:lpstr>計算・出力!header_反力RX1</vt:lpstr>
      <vt:lpstr>計算・出力!header_反力RY1</vt:lpstr>
      <vt:lpstr>計算・出力!header_反力RZ1</vt:lpstr>
      <vt:lpstr>荷重強度!header_部材1</vt:lpstr>
      <vt:lpstr>荷重強度!header_部材2</vt:lpstr>
      <vt:lpstr>計算・出力!header_変位X1</vt:lpstr>
      <vt:lpstr>計算・出力!header_変位Y1</vt:lpstr>
      <vt:lpstr>計算・出力!header_変位Z1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荷重名称!割増係数_header</vt:lpstr>
      <vt:lpstr>計算・出力!割増係数1</vt:lpstr>
      <vt:lpstr>荷重名称!記号_header</vt:lpstr>
      <vt:lpstr>計算・出力!記号1</vt:lpstr>
      <vt:lpstr>荷重名称!結合_header</vt:lpstr>
      <vt:lpstr>荷重名称!支点_header</vt:lpstr>
      <vt:lpstr>計算・出力!節点数1</vt:lpstr>
      <vt:lpstr>荷重名称!断面_header</vt:lpstr>
      <vt:lpstr>荷重名称!名称_header</vt:lpstr>
      <vt:lpstr>計算・出力!名称1</vt:lpstr>
      <vt:lpstr>計算・出力!要素数1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2018-06-26T01:16:50Z</dcterms:modified>
</cp:coreProperties>
</file>